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120" yWindow="105" windowWidth="9510" windowHeight="3810" tabRatio="856" activeTab="6"/>
  </bookViews>
  <sheets>
    <sheet name="TM-A0001-AA" sheetId="29" r:id="rId1"/>
    <sheet name="TM-00001-AA" sheetId="30" r:id="rId2"/>
    <sheet name="tblMaterials2013" sheetId="37" r:id="rId3"/>
    <sheet name="tblProcesses2013" sheetId="40" r:id="rId4"/>
    <sheet name="tblProcessMultipliers2013" sheetId="35" r:id="rId5"/>
    <sheet name="tblFasteners2013" sheetId="39" r:id="rId6"/>
    <sheet name="tblToolings2013" sheetId="36" r:id="rId7"/>
    <sheet name="Cross Reference List" sheetId="42" r:id="rId8"/>
    <sheet name="EV" sheetId="43" r:id="rId9"/>
  </sheets>
  <externalReferences>
    <externalReference r:id="rId10"/>
  </externalReferences>
  <definedNames>
    <definedName name="_xlnm._FilterDatabase" localSheetId="7" hidden="1">'Cross Reference List'!$B$2:$D$3</definedName>
    <definedName name="_xlnm._FilterDatabase" localSheetId="2" hidden="1">tblMaterials2013!$2:$804</definedName>
    <definedName name="_xlnm._FilterDatabase" localSheetId="3" hidden="1">tblProcesses2013!$A$2:$J$2</definedName>
    <definedName name="Excel_BuiltIn_Print_Area" localSheetId="7">'Cross Reference List'!#REF!</definedName>
    <definedName name="_xlnm.Print_Titles" localSheetId="7">'Cross Reference List'!$2:$2</definedName>
    <definedName name="_xlnm.Print_Titles" localSheetId="2">tblMaterials2013!$2:$2</definedName>
    <definedName name="pricepercc" localSheetId="7">#REF!</definedName>
    <definedName name="pricepercc" localSheetId="8">#REF!</definedName>
    <definedName name="pricepercc">#REF!</definedName>
    <definedName name="pricepercc2">#REF!</definedName>
    <definedName name="pricepercyl" localSheetId="7">#REF!</definedName>
    <definedName name="pricepercyl" localSheetId="8">#REF!</definedName>
    <definedName name="pricepercyl">#REF!</definedName>
    <definedName name="_xlnm.Print_Area" localSheetId="2">tblMaterials2013!$B$259:$F$305</definedName>
  </definedNames>
  <calcPr calcId="145621" refMode="R1C1"/>
</workbook>
</file>

<file path=xl/calcChain.xml><?xml version="1.0" encoding="utf-8"?>
<calcChain xmlns="http://schemas.openxmlformats.org/spreadsheetml/2006/main">
  <c r="J58" i="29" l="1"/>
  <c r="H58" i="29"/>
  <c r="F58" i="29"/>
  <c r="D58" i="29"/>
  <c r="B58" i="29"/>
  <c r="J57" i="29"/>
  <c r="H57" i="29"/>
  <c r="F57" i="29"/>
  <c r="D57" i="29"/>
  <c r="B57" i="29"/>
  <c r="J56" i="29"/>
  <c r="H56" i="29"/>
  <c r="F56" i="29"/>
  <c r="D56" i="29"/>
  <c r="B56" i="29"/>
  <c r="J55" i="29"/>
  <c r="H55" i="29"/>
  <c r="F55" i="29"/>
  <c r="D55" i="29"/>
  <c r="B55" i="29"/>
  <c r="J54" i="29"/>
  <c r="H54" i="29"/>
  <c r="F54" i="29"/>
  <c r="D54" i="29"/>
  <c r="B54" i="29"/>
  <c r="J53" i="29"/>
  <c r="H53" i="29"/>
  <c r="F53" i="29"/>
  <c r="D53" i="29"/>
  <c r="B53" i="29"/>
  <c r="J52" i="29"/>
  <c r="H52" i="29"/>
  <c r="F52" i="29"/>
  <c r="D52" i="29"/>
  <c r="B52" i="29"/>
  <c r="J51" i="29"/>
  <c r="H51" i="29"/>
  <c r="F51" i="29"/>
  <c r="D51" i="29"/>
  <c r="B51" i="29"/>
  <c r="J29" i="29"/>
  <c r="H29" i="29"/>
  <c r="F29" i="29"/>
  <c r="D29" i="29"/>
  <c r="B29" i="29"/>
  <c r="J28" i="29"/>
  <c r="H28" i="29"/>
  <c r="F28" i="29"/>
  <c r="D28" i="29"/>
  <c r="B28" i="29"/>
  <c r="J27" i="29"/>
  <c r="H27" i="29"/>
  <c r="F27" i="29"/>
  <c r="D27" i="29"/>
  <c r="B27" i="29"/>
  <c r="J26" i="29"/>
  <c r="H26" i="29"/>
  <c r="F26" i="29"/>
  <c r="D26" i="29"/>
  <c r="B26" i="29"/>
  <c r="J25" i="29"/>
  <c r="H25" i="29"/>
  <c r="F25" i="29"/>
  <c r="D25" i="29"/>
  <c r="B25" i="29"/>
  <c r="I46" i="29"/>
  <c r="G46" i="29"/>
  <c r="H46" i="29" s="1"/>
  <c r="E46" i="29"/>
  <c r="D46" i="29"/>
  <c r="B46" i="29"/>
  <c r="I45" i="29"/>
  <c r="G45" i="29"/>
  <c r="H45" i="29" s="1"/>
  <c r="E45" i="29"/>
  <c r="D45" i="29"/>
  <c r="B45" i="29"/>
  <c r="I44" i="29"/>
  <c r="G44" i="29"/>
  <c r="H44" i="29" s="1"/>
  <c r="E44" i="29"/>
  <c r="D44" i="29"/>
  <c r="B44" i="29"/>
  <c r="I43" i="29"/>
  <c r="G43" i="29"/>
  <c r="H43" i="29" s="1"/>
  <c r="E43" i="29"/>
  <c r="D43" i="29"/>
  <c r="B43" i="29"/>
  <c r="I42" i="29"/>
  <c r="G42" i="29"/>
  <c r="H42" i="29" s="1"/>
  <c r="E42" i="29"/>
  <c r="D42" i="29"/>
  <c r="B42" i="29"/>
  <c r="I41" i="29"/>
  <c r="G41" i="29"/>
  <c r="H41" i="29" s="1"/>
  <c r="E41" i="29"/>
  <c r="D41" i="29"/>
  <c r="B41" i="29"/>
  <c r="I40" i="29"/>
  <c r="G40" i="29"/>
  <c r="H40" i="29" s="1"/>
  <c r="E40" i="29"/>
  <c r="D40" i="29"/>
  <c r="B40" i="29"/>
  <c r="I39" i="29"/>
  <c r="G39" i="29"/>
  <c r="H39" i="29" s="1"/>
  <c r="E39" i="29"/>
  <c r="D39" i="29"/>
  <c r="B39" i="29"/>
  <c r="I38" i="29"/>
  <c r="G38" i="29"/>
  <c r="H38" i="29" s="1"/>
  <c r="E38" i="29"/>
  <c r="D38" i="29"/>
  <c r="B38" i="29"/>
  <c r="I37" i="29"/>
  <c r="G37" i="29"/>
  <c r="H37" i="29" s="1"/>
  <c r="E37" i="29"/>
  <c r="D37" i="29"/>
  <c r="B37" i="29"/>
  <c r="I36" i="29"/>
  <c r="G36" i="29"/>
  <c r="H36" i="29" s="1"/>
  <c r="E36" i="29"/>
  <c r="D36" i="29"/>
  <c r="B36" i="29"/>
  <c r="I35" i="29"/>
  <c r="G35" i="29"/>
  <c r="H35" i="29" s="1"/>
  <c r="E35" i="29"/>
  <c r="D35" i="29"/>
  <c r="B35" i="29"/>
  <c r="I34" i="29"/>
  <c r="G34" i="29"/>
  <c r="H34" i="29" s="1"/>
  <c r="E34" i="29"/>
  <c r="D34" i="29"/>
  <c r="B34" i="29"/>
  <c r="J24" i="29"/>
  <c r="H24" i="29"/>
  <c r="F24" i="29"/>
  <c r="D24" i="29"/>
  <c r="B24" i="29"/>
  <c r="J46" i="30"/>
  <c r="H46" i="30"/>
  <c r="F46" i="30"/>
  <c r="D46" i="30"/>
  <c r="B46" i="30"/>
  <c r="J45" i="30"/>
  <c r="H45" i="30"/>
  <c r="F45" i="30"/>
  <c r="D45" i="30"/>
  <c r="B45" i="30"/>
  <c r="J44" i="30"/>
  <c r="H44" i="30"/>
  <c r="F44" i="30"/>
  <c r="D44" i="30"/>
  <c r="B44" i="30"/>
  <c r="J43" i="30"/>
  <c r="H43" i="30"/>
  <c r="F43" i="30"/>
  <c r="D43" i="30"/>
  <c r="B43" i="30"/>
  <c r="J42" i="30"/>
  <c r="H42" i="30"/>
  <c r="F42" i="30"/>
  <c r="D42" i="30"/>
  <c r="B42" i="30"/>
  <c r="J41" i="30"/>
  <c r="H41" i="30"/>
  <c r="F41" i="30"/>
  <c r="D41" i="30"/>
  <c r="B41" i="30"/>
  <c r="J40" i="30"/>
  <c r="H40" i="30"/>
  <c r="F40" i="30"/>
  <c r="D40" i="30"/>
  <c r="B40" i="30"/>
  <c r="H39" i="30"/>
  <c r="F39" i="30"/>
  <c r="D39" i="30"/>
  <c r="B39" i="30"/>
  <c r="G22" i="30"/>
  <c r="I34" i="30"/>
  <c r="G34" i="30"/>
  <c r="H34" i="30" s="1"/>
  <c r="E34" i="30"/>
  <c r="D34" i="30"/>
  <c r="B34" i="30"/>
  <c r="I33" i="30"/>
  <c r="G33" i="30"/>
  <c r="H33" i="30" s="1"/>
  <c r="E33" i="30"/>
  <c r="D33" i="30"/>
  <c r="B33" i="30"/>
  <c r="I32" i="30"/>
  <c r="G32" i="30"/>
  <c r="H32" i="30" s="1"/>
  <c r="E32" i="30"/>
  <c r="D32" i="30"/>
  <c r="B32" i="30"/>
  <c r="I31" i="30"/>
  <c r="G31" i="30"/>
  <c r="H31" i="30" s="1"/>
  <c r="E31" i="30"/>
  <c r="D31" i="30"/>
  <c r="B31" i="30"/>
  <c r="I30" i="30"/>
  <c r="G30" i="30"/>
  <c r="H30" i="30" s="1"/>
  <c r="E30" i="30"/>
  <c r="D30" i="30"/>
  <c r="B30" i="30"/>
  <c r="I29" i="30"/>
  <c r="G29" i="30"/>
  <c r="H29" i="30" s="1"/>
  <c r="E29" i="30"/>
  <c r="D29" i="30"/>
  <c r="B29" i="30"/>
  <c r="I28" i="30"/>
  <c r="G28" i="30"/>
  <c r="H28" i="30" s="1"/>
  <c r="E28" i="30"/>
  <c r="D28" i="30"/>
  <c r="B28" i="30"/>
  <c r="I27" i="30"/>
  <c r="G27" i="30"/>
  <c r="H27" i="30" s="1"/>
  <c r="E27" i="30"/>
  <c r="D27" i="30"/>
  <c r="B27" i="30"/>
  <c r="I26" i="30"/>
  <c r="G26" i="30"/>
  <c r="H26" i="30" s="1"/>
  <c r="E26" i="30"/>
  <c r="D26" i="30"/>
  <c r="B26" i="30"/>
  <c r="I25" i="30"/>
  <c r="G25" i="30"/>
  <c r="H25" i="30" s="1"/>
  <c r="E25" i="30"/>
  <c r="D25" i="30"/>
  <c r="B25" i="30"/>
  <c r="I24" i="30"/>
  <c r="G24" i="30"/>
  <c r="H24" i="30" s="1"/>
  <c r="E24" i="30"/>
  <c r="D24" i="30"/>
  <c r="B24" i="30"/>
  <c r="I23" i="30"/>
  <c r="G23" i="30"/>
  <c r="H23" i="30" s="1"/>
  <c r="E23" i="30"/>
  <c r="D23" i="30"/>
  <c r="B23" i="30"/>
  <c r="E22" i="30"/>
  <c r="D22" i="30"/>
  <c r="B22" i="30"/>
  <c r="N65" i="39" l="1"/>
  <c r="N64" i="39"/>
  <c r="N63" i="39"/>
  <c r="N54" i="39"/>
  <c r="N53" i="39"/>
  <c r="N52" i="39"/>
  <c r="N49" i="39"/>
  <c r="N48" i="39"/>
  <c r="N47" i="39"/>
  <c r="N43" i="39"/>
  <c r="N42" i="39"/>
  <c r="N40" i="39"/>
  <c r="N39" i="39"/>
  <c r="N38" i="39"/>
  <c r="N37" i="39"/>
  <c r="N36" i="39"/>
  <c r="N35" i="39"/>
  <c r="N34" i="39"/>
  <c r="N30" i="39"/>
  <c r="N27" i="39"/>
  <c r="N26" i="39"/>
  <c r="N25" i="39"/>
  <c r="N24" i="39"/>
  <c r="N23" i="39"/>
  <c r="N22" i="39"/>
  <c r="N21" i="39"/>
  <c r="N18" i="39"/>
  <c r="N16" i="39"/>
  <c r="N15" i="39"/>
  <c r="N14" i="39"/>
  <c r="N13" i="39"/>
  <c r="N12" i="39"/>
  <c r="N11" i="39"/>
  <c r="N10" i="39"/>
  <c r="N9" i="39"/>
  <c r="N8" i="39"/>
  <c r="N7" i="39"/>
  <c r="N6" i="39"/>
  <c r="N5" i="39"/>
  <c r="N4" i="39"/>
  <c r="H17" i="30"/>
  <c r="F17" i="30"/>
  <c r="D17" i="30"/>
  <c r="B17" i="30"/>
  <c r="H16" i="30"/>
  <c r="F16" i="30"/>
  <c r="D16" i="30"/>
  <c r="B16" i="30"/>
  <c r="H15" i="30"/>
  <c r="F15" i="30"/>
  <c r="D15" i="30"/>
  <c r="B15" i="30"/>
  <c r="H14" i="30"/>
  <c r="F14" i="30"/>
  <c r="D14" i="30"/>
  <c r="B14" i="30"/>
  <c r="H13" i="30"/>
  <c r="F13" i="30"/>
  <c r="D13" i="30"/>
  <c r="B13" i="30"/>
  <c r="H12" i="30"/>
  <c r="F12" i="30"/>
  <c r="D12" i="30"/>
  <c r="B12" i="30"/>
  <c r="E732" i="37"/>
  <c r="E731" i="37"/>
  <c r="L647" i="37"/>
  <c r="L646" i="37"/>
  <c r="L644" i="37"/>
  <c r="L643" i="37"/>
  <c r="L583" i="37"/>
  <c r="L582" i="37"/>
  <c r="L581" i="37"/>
  <c r="L580" i="37"/>
  <c r="L579" i="37"/>
  <c r="L578" i="37"/>
  <c r="L577" i="37"/>
  <c r="L576" i="37"/>
  <c r="L575" i="37"/>
  <c r="L574" i="37"/>
  <c r="L573" i="37"/>
  <c r="L572" i="37"/>
  <c r="L571" i="37"/>
  <c r="L567" i="37"/>
  <c r="L566" i="37"/>
  <c r="L565" i="37"/>
  <c r="L564" i="37"/>
  <c r="L563" i="37"/>
  <c r="L562" i="37"/>
  <c r="L561" i="37"/>
  <c r="L560" i="37"/>
  <c r="L559" i="37"/>
  <c r="L558" i="37"/>
  <c r="L557" i="37"/>
  <c r="L556" i="37"/>
  <c r="L555" i="37"/>
  <c r="L554" i="37"/>
  <c r="L553" i="37"/>
  <c r="L552" i="37"/>
  <c r="L551" i="37"/>
  <c r="L550" i="37"/>
  <c r="L549" i="37"/>
  <c r="L548" i="37"/>
  <c r="L547" i="37"/>
  <c r="L546" i="37"/>
  <c r="L545" i="37"/>
  <c r="L544" i="37"/>
  <c r="L543" i="37"/>
  <c r="L542" i="37"/>
  <c r="L541" i="37"/>
  <c r="L540" i="37"/>
  <c r="L539" i="37"/>
  <c r="L538" i="37"/>
  <c r="L537" i="37"/>
  <c r="L536" i="37"/>
  <c r="L535" i="37"/>
  <c r="L534" i="37"/>
  <c r="L533" i="37"/>
  <c r="L532" i="37"/>
  <c r="L531" i="37"/>
  <c r="L530" i="37"/>
  <c r="L529" i="37"/>
  <c r="L528" i="37"/>
  <c r="L527" i="37"/>
  <c r="L526" i="37"/>
  <c r="L525" i="37"/>
  <c r="L524" i="37"/>
  <c r="L523" i="37"/>
  <c r="L522" i="37"/>
  <c r="L521" i="37"/>
  <c r="L520" i="37"/>
  <c r="L519" i="37"/>
  <c r="L518" i="37"/>
  <c r="L517" i="37"/>
  <c r="L516" i="37"/>
  <c r="L804" i="37"/>
  <c r="L508" i="37"/>
  <c r="L507" i="37"/>
  <c r="L506" i="37"/>
  <c r="L499" i="37"/>
  <c r="L498" i="37"/>
  <c r="L497" i="37"/>
  <c r="L496" i="37"/>
  <c r="L495" i="37"/>
  <c r="L494" i="37"/>
  <c r="L493" i="37"/>
  <c r="L492" i="37"/>
  <c r="L491" i="37"/>
  <c r="L490" i="37"/>
  <c r="L489" i="37"/>
  <c r="L488" i="37"/>
  <c r="L487" i="37"/>
  <c r="L486" i="37"/>
  <c r="L485" i="37"/>
  <c r="L484" i="37"/>
  <c r="L483" i="37"/>
  <c r="L482" i="37"/>
  <c r="L481" i="37"/>
  <c r="L480" i="37"/>
  <c r="L479" i="37"/>
  <c r="L478" i="37"/>
  <c r="L477" i="37"/>
  <c r="L476" i="37"/>
  <c r="L475" i="37"/>
  <c r="L474" i="37"/>
  <c r="L473" i="37"/>
  <c r="L472" i="37"/>
  <c r="L471" i="37"/>
  <c r="L470" i="37"/>
  <c r="L469" i="37"/>
  <c r="L468" i="37"/>
  <c r="L467" i="37"/>
  <c r="L466" i="37"/>
  <c r="L465" i="37"/>
  <c r="L464" i="37"/>
  <c r="L463" i="37"/>
  <c r="L462" i="37"/>
  <c r="L461" i="37"/>
  <c r="L460" i="37"/>
  <c r="L459" i="37"/>
  <c r="L458" i="37"/>
  <c r="L457" i="37"/>
  <c r="L456" i="37"/>
  <c r="L455" i="37"/>
  <c r="L454" i="37"/>
  <c r="L453" i="37"/>
  <c r="L452" i="37"/>
  <c r="L451" i="37"/>
  <c r="L450" i="37"/>
  <c r="L449" i="37"/>
  <c r="L447" i="37"/>
  <c r="L445" i="37"/>
  <c r="L444" i="37"/>
  <c r="L443" i="37"/>
  <c r="L428" i="37"/>
  <c r="L424" i="37"/>
  <c r="L423" i="37"/>
  <c r="L422" i="37"/>
  <c r="L421" i="37"/>
  <c r="L418" i="37"/>
  <c r="L321" i="37"/>
  <c r="L320" i="37"/>
  <c r="L30" i="37"/>
  <c r="L29" i="37"/>
  <c r="L28" i="37"/>
  <c r="L27" i="37"/>
  <c r="L26" i="37"/>
  <c r="L25" i="37"/>
  <c r="L24" i="37"/>
  <c r="L23" i="37"/>
  <c r="L22" i="37"/>
  <c r="L21" i="37"/>
  <c r="L20" i="37"/>
  <c r="L18" i="37"/>
  <c r="L17" i="37"/>
  <c r="L16" i="37"/>
  <c r="L15" i="37"/>
  <c r="L14" i="37"/>
  <c r="L13" i="37"/>
  <c r="L12" i="37"/>
  <c r="L11" i="37"/>
  <c r="L10" i="37"/>
  <c r="L9" i="37"/>
  <c r="L8" i="37"/>
  <c r="L7" i="37"/>
  <c r="L6" i="37"/>
  <c r="L5" i="37"/>
  <c r="L4" i="37"/>
  <c r="L3" i="37"/>
  <c r="E64" i="29"/>
  <c r="D64" i="29"/>
  <c r="B64" i="29"/>
  <c r="E63" i="29"/>
  <c r="D63" i="29"/>
  <c r="B63" i="29"/>
  <c r="E52" i="30"/>
  <c r="D52" i="30"/>
  <c r="B52" i="30"/>
  <c r="I51" i="30"/>
  <c r="J39" i="30"/>
  <c r="E51" i="30"/>
  <c r="D51" i="30"/>
  <c r="B51" i="30"/>
  <c r="H22" i="30"/>
  <c r="J12" i="30" l="1"/>
  <c r="E19" i="29"/>
  <c r="E18" i="29"/>
  <c r="E17" i="29"/>
  <c r="E16" i="29"/>
  <c r="E15" i="29"/>
  <c r="E14" i="29"/>
  <c r="E13" i="29"/>
  <c r="E12" i="29"/>
  <c r="E11" i="29"/>
  <c r="J17" i="30"/>
  <c r="J16" i="30"/>
  <c r="J15" i="30"/>
  <c r="J14" i="30"/>
  <c r="I52" i="30"/>
  <c r="I53" i="30"/>
  <c r="J47" i="30"/>
  <c r="J13" i="30"/>
  <c r="I64" i="29"/>
  <c r="I63" i="29"/>
  <c r="I65" i="29" s="1"/>
  <c r="E20" i="29"/>
  <c r="J59" i="29" l="1"/>
  <c r="I47" i="29"/>
  <c r="I22" i="30"/>
  <c r="I35" i="30" s="1"/>
  <c r="J30" i="29"/>
  <c r="J18" i="30"/>
  <c r="H1" i="30" s="1"/>
  <c r="H5" i="30" s="1"/>
  <c r="H1" i="29" l="1"/>
  <c r="H4" i="29" s="1"/>
</calcChain>
</file>

<file path=xl/sharedStrings.xml><?xml version="1.0" encoding="utf-8"?>
<sst xmlns="http://schemas.openxmlformats.org/spreadsheetml/2006/main" count="5102" uniqueCount="1726">
  <si>
    <t>Unit Cost</t>
  </si>
  <si>
    <t>Quantity</t>
  </si>
  <si>
    <t>Suspension</t>
  </si>
  <si>
    <t>University</t>
  </si>
  <si>
    <t>Tooling</t>
  </si>
  <si>
    <t>Car #</t>
  </si>
  <si>
    <t>Brake System</t>
  </si>
  <si>
    <t>Brake Fluid</t>
  </si>
  <si>
    <t>Engine</t>
  </si>
  <si>
    <t>Air Filter</t>
  </si>
  <si>
    <t>Fuel Filter</t>
  </si>
  <si>
    <t>Pedals</t>
  </si>
  <si>
    <t>Shifter</t>
  </si>
  <si>
    <t>Springs</t>
  </si>
  <si>
    <t>AA</t>
  </si>
  <si>
    <t>Materials</t>
  </si>
  <si>
    <t>Fasteners</t>
  </si>
  <si>
    <t>Processes</t>
  </si>
  <si>
    <t>McGill University</t>
  </si>
  <si>
    <t>Material ID</t>
  </si>
  <si>
    <t>Material</t>
  </si>
  <si>
    <t>Supplier</t>
  </si>
  <si>
    <t>Category</t>
  </si>
  <si>
    <t>Table Price</t>
  </si>
  <si>
    <t>Unit 1</t>
  </si>
  <si>
    <t>Unit 2</t>
  </si>
  <si>
    <t>C1</t>
  </si>
  <si>
    <t>C2</t>
  </si>
  <si>
    <t>Modified</t>
  </si>
  <si>
    <t>Comments</t>
  </si>
  <si>
    <t>Any</t>
  </si>
  <si>
    <t>Bearings</t>
  </si>
  <si>
    <t>AIR</t>
  </si>
  <si>
    <t>unit</t>
  </si>
  <si>
    <t>Bearing, Ball, Angular Contact</t>
  </si>
  <si>
    <t>[C1]*(([Size1]^2*[Size2]))^([C2])</t>
  </si>
  <si>
    <t>mm</t>
  </si>
  <si>
    <t>[Size1]=Outer diameter (mm), [Size2]=Thickness (mm).  Not to be used for wheel bearings.</t>
  </si>
  <si>
    <t>Bearing, Ball, Deep Groove</t>
  </si>
  <si>
    <t>Bearing, Ball, Radial</t>
  </si>
  <si>
    <t>Bearing, Cylindrical Roller</t>
  </si>
  <si>
    <t>[C1]*[Size1]*[Size2]+[C2]</t>
  </si>
  <si>
    <t>[Size1]=Outer Diameter (mm).  [Size2]=Length of bearing (mm).  Not for wheel bearing use.</t>
  </si>
  <si>
    <t>Bearing, Double Row, Ball, Angular Contact</t>
  </si>
  <si>
    <t>Bearing, Double Row, Ball, Deep Groove</t>
  </si>
  <si>
    <t>Bearing, Double Row, Ball, Radial</t>
  </si>
  <si>
    <t>Bearing, Linear, Closed</t>
  </si>
  <si>
    <t>[C1]*[Size1]^2*[Size2]+[C2]</t>
  </si>
  <si>
    <t>[Size1]=Outer diameter (mm), [Size2]=Length (mm).  Use with end-supported shafts.</t>
  </si>
  <si>
    <t>Bearing, Linear, Open</t>
  </si>
  <si>
    <t>[Size1]=Outer diameter (mm), [Size2]=Length (mm).  Use with continuously supported shafts or where access to shaft ends is not possible.</t>
  </si>
  <si>
    <t>Bearing, Needle</t>
  </si>
  <si>
    <t>[Size1]=Outer Diameter (mm).  [Size2]=Length of bearing (mm).  Any style of needle bearing.  Not for wheel bearing use.</t>
  </si>
  <si>
    <t>Bearing, Spherical</t>
  </si>
  <si>
    <t>[C1]*[Size1]^2+[C2]</t>
  </si>
  <si>
    <t>[Size1]=bore size (diameter of hole in spherical bearing).</t>
  </si>
  <si>
    <t>Bearing, Tapered Needle</t>
  </si>
  <si>
    <t>[Size1]=Outer diameter (mm), [Size2]=Thickness (mm).  Cost includes outer ring, inner ring and roller assembly.   Not to be used for wheel bearings.</t>
  </si>
  <si>
    <t>Bearing, Tapered Roller</t>
  </si>
  <si>
    <t>Bearing, Thrust Needle Roller, Cage Assembly</t>
  </si>
  <si>
    <t>[Size1]=Outer diameter (mm), [Size2]=Thickness (mm).  Cost includes cage assembly but no washers.   Not to be used for wheel bearings.</t>
  </si>
  <si>
    <t>Bearing, Thrust Needle Roller, Washers</t>
  </si>
  <si>
    <t>[Size1]=Outer diameter (mm), [Size2]=Thickness (mm).  For thrust bearings.   Not to be used for wheel bearings.</t>
  </si>
  <si>
    <t>Bushing, Student Built</t>
  </si>
  <si>
    <t>Student Built</t>
  </si>
  <si>
    <t>Solid material (metal, plastic, etc.).  No moving elements (ball, needle, etc.)</t>
  </si>
  <si>
    <t>Rod End, Aluminum</t>
  </si>
  <si>
    <t>[Size1]=bore size (diameter of hole in spherical bearing).  Includes male/female and left/right threads.</t>
  </si>
  <si>
    <t>Rod End, Industrial</t>
  </si>
  <si>
    <t>Rod End, Precison (Aircraft)</t>
  </si>
  <si>
    <t>Wheel Bearing, Ball, Angular Contact</t>
  </si>
  <si>
    <t>[Size1]=Outer diameter (mm), [Size2]=Thickness (mm).  Higher load capacity bearings intended for wheel/hub applications.</t>
  </si>
  <si>
    <t>Wheel Bearing, Ball, Deep Groove</t>
  </si>
  <si>
    <t>Wheel Bearing, Ball, Radial</t>
  </si>
  <si>
    <t>Wheel Bearing, Double Row, Ball, Angular Contact</t>
  </si>
  <si>
    <t>Wheel Bearing, Double Row, Ball, Deep Groove</t>
  </si>
  <si>
    <t>Wheel Bearing, Double Row, Ball, Radial</t>
  </si>
  <si>
    <t>Wheel Bearing, Tapered Needle</t>
  </si>
  <si>
    <t>Wheel Bearing, Tapered Roller</t>
  </si>
  <si>
    <t>90-Degree Coupler, Tilton 72-560</t>
  </si>
  <si>
    <t>Tilton</t>
  </si>
  <si>
    <t>90-Degree Coupler, Tilton 72-561</t>
  </si>
  <si>
    <t>90-Degree Coupler, Tilton 72-562</t>
  </si>
  <si>
    <t>Balance Bar, AP, CP5500-9</t>
  </si>
  <si>
    <t>AP</t>
  </si>
  <si>
    <t>Balance Bar, Brake, Student Built</t>
  </si>
  <si>
    <t>Balance Bar, Timms Autoteile, 013 901</t>
  </si>
  <si>
    <t>Timms Autoteile</t>
  </si>
  <si>
    <t xml:space="preserve">Balance Bar, Tilton, 72-250 </t>
  </si>
  <si>
    <t>Balance Bar, Tilton, 72-260</t>
  </si>
  <si>
    <t>Balance Bar, Tilton, 72-280</t>
  </si>
  <si>
    <t>Balance Bar, Tilton, 72-281</t>
  </si>
  <si>
    <t>Balance Bar, Tilton, 72-300</t>
  </si>
  <si>
    <t>Brake Caliper Piston, Student Built</t>
  </si>
  <si>
    <t>Brake Caliper, AP, CP2577</t>
  </si>
  <si>
    <t>Brake Caliper, AP, CP3696-6E0</t>
  </si>
  <si>
    <t>Brake Caliper, AP, CP4226</t>
  </si>
  <si>
    <t>Brake Caliper, AP, CP4227</t>
  </si>
  <si>
    <t>Brake Caliper, AP, CP4488</t>
  </si>
  <si>
    <t>Brake Caliper, AP, CP7003</t>
  </si>
  <si>
    <t>AVO</t>
  </si>
  <si>
    <t>Brake Caliper, Brembo, 20.5161.46/P32F</t>
  </si>
  <si>
    <t>Brembo</t>
  </si>
  <si>
    <t>Brake Caliper, Brembo, 20.6101/GP4-24</t>
  </si>
  <si>
    <t>Brake Caliper, Brembo, 20.6950.10</t>
  </si>
  <si>
    <t>Brake Caliper, Brembo, 20.6950.11/P32G</t>
  </si>
  <si>
    <t>Brake Caliper, Brembo, 20.6950.21/P32G</t>
  </si>
  <si>
    <t>Brake Caliper, Brembo, 20.6951.12/P34G</t>
  </si>
  <si>
    <t>Brake Caliper, Brembo, 20.6951.50/P34C</t>
  </si>
  <si>
    <t>Brake Caliper,  Harrison, 121019P</t>
  </si>
  <si>
    <t>Harrison</t>
  </si>
  <si>
    <t>Brake Caliper, Harrison, 222004P</t>
  </si>
  <si>
    <t>Brake Caliper, Harrison, 222005P</t>
  </si>
  <si>
    <t>Brake Caliper, Honda,  45150-HP1-006</t>
  </si>
  <si>
    <t>Honda/Nissin</t>
  </si>
  <si>
    <t>Brake Caliper, Honda, 45150-HN6-006</t>
  </si>
  <si>
    <t>Brake Caliper, ISR, 22-028</t>
  </si>
  <si>
    <t>ISR</t>
  </si>
  <si>
    <t>Brake Caliper, ISR, 22-048</t>
  </si>
  <si>
    <t>Brake Caliper, Motorcycle, OEM (Any)</t>
  </si>
  <si>
    <t>Brake Caliper, NISSIN, 08-1CP-32-15</t>
  </si>
  <si>
    <t>Nissin</t>
  </si>
  <si>
    <t>Brake Caliper, NISSIN, 08-2CP-25-08</t>
  </si>
  <si>
    <t>Brake Caliper, NISSIN, 08-2CT-25-06</t>
  </si>
  <si>
    <t>Brake Caliper, NISSIN, 08-2CT-38-07</t>
  </si>
  <si>
    <t>Brake Caliper, Polaris, 1910825/1910826</t>
  </si>
  <si>
    <t>Polaris</t>
  </si>
  <si>
    <t>Cost applies to either part number (similar part one left hand one right hand)</t>
  </si>
  <si>
    <t>Brake Caliper, PVM, 6-piston Monoblock Radial Mount</t>
  </si>
  <si>
    <t>PVM</t>
  </si>
  <si>
    <t>Brake Caliper, PVM, Front 4-Piston Monoblock Radial Mount</t>
  </si>
  <si>
    <t>Brake Caliper, PVM, Rear 4-Piston Monoblock Radial Mount</t>
  </si>
  <si>
    <t>Brake Caliper, PVM, 2-Piston Monoblock Radial Mount</t>
  </si>
  <si>
    <t>Brake Caliper, Student Built</t>
  </si>
  <si>
    <t>Brake Caliper, Tokico, 45150-MEL-023</t>
  </si>
  <si>
    <t>Tokico</t>
  </si>
  <si>
    <t>Brake Caliper, Wilwood, Billet Dynalite Single</t>
  </si>
  <si>
    <t>Wilwood</t>
  </si>
  <si>
    <t>Brake Caliper, Wilwood, Billet NDL</t>
  </si>
  <si>
    <t>Brake Caliper, Wilwood, Dynalite Single Floater</t>
  </si>
  <si>
    <t>Brake Caliper, Wilwood, DynaPro Radial</t>
  </si>
  <si>
    <t>Brake Caliper, Wilwood, Forged Dynalite</t>
  </si>
  <si>
    <t>Brake Caliper, Wilwood, GP310</t>
  </si>
  <si>
    <t>Brake Caliper, Wilwood, GP320</t>
  </si>
  <si>
    <t>Brake Caliper, Wilwood, Kart</t>
  </si>
  <si>
    <t>Brake Caliper, Wilwood, NDL</t>
  </si>
  <si>
    <t>Brake Caliper, Wilwood, PS-1</t>
  </si>
  <si>
    <t>Brake Hard Line, Any Material (All Cost as Made)</t>
  </si>
  <si>
    <t>Brake Light Pressure Switch Banjo Bolt</t>
  </si>
  <si>
    <t>Brake Pad, Aluminum or MMC Rotor</t>
  </si>
  <si>
    <t>mm^3</t>
  </si>
  <si>
    <t>Volume of pad and backing plate to be included in calculation</t>
  </si>
  <si>
    <t>Brake Pad, Carbon Rotor</t>
  </si>
  <si>
    <t>Please submit Add Item Request</t>
  </si>
  <si>
    <t>Brake Pad, Iron or Steel Rotor</t>
  </si>
  <si>
    <t>Volume of pad and backing plate to be included in calculation.</t>
  </si>
  <si>
    <t>Brake Rotor (All Cost as Made)</t>
  </si>
  <si>
    <t>This item should be cost as made whether the team made it or bought it.  Please see Rule C3.12 for more information.</t>
  </si>
  <si>
    <t>Brake Caliper, Comet 650, Front</t>
  </si>
  <si>
    <t>Master Cylinder, AP, CP2623</t>
  </si>
  <si>
    <t>Master Cylinder, AP, CP3756</t>
  </si>
  <si>
    <t>Master Cylinder, AP, CP4400</t>
  </si>
  <si>
    <t>Master Cylinder, AP, CP5854</t>
  </si>
  <si>
    <t>Master Cylinder, AP, CP5855</t>
  </si>
  <si>
    <t>Master Cylinder, AP, CP6465</t>
  </si>
  <si>
    <t>Master Cylinder, Brembo, 10.4776.10</t>
  </si>
  <si>
    <t>Unit</t>
  </si>
  <si>
    <t>Master Cylinder, Brembo, 10.4776.65</t>
  </si>
  <si>
    <t>Master Cylinder, Brembo, XA3.G1.A2/L2</t>
  </si>
  <si>
    <t>Front Pivot Fixing with Vertical Bearing</t>
  </si>
  <si>
    <t>Master Cylinder, Bremob, 10.9243.54/96</t>
  </si>
  <si>
    <t>Two Bolt Fixing</t>
  </si>
  <si>
    <t>Master Cylinder, Bremob, 10.6815.16/97</t>
  </si>
  <si>
    <t>Single Nut Fixing</t>
  </si>
  <si>
    <t>Master Cylinder, Centric Parts, CE130.51017</t>
  </si>
  <si>
    <t>Centric</t>
  </si>
  <si>
    <t>Master Cylinder, Girling</t>
  </si>
  <si>
    <t>Girling</t>
  </si>
  <si>
    <t>Master Cylinder, New Concept Products, G3</t>
  </si>
  <si>
    <t>New Concept Products</t>
  </si>
  <si>
    <t>Master Cylinder, NISSIN, 08-2RM-14-02</t>
  </si>
  <si>
    <t>Master Cylinder, NISSIN, 08-4RM-15-05</t>
  </si>
  <si>
    <t>Master cylinder, Nissin, 153-M00-125B</t>
  </si>
  <si>
    <t>Master Cylinder, Student Made</t>
  </si>
  <si>
    <t>Master Cylinder, Tilton, Model 73</t>
  </si>
  <si>
    <t>Master Cylinder, Tilton, Model 74</t>
  </si>
  <si>
    <t>Master Cylinder, Tilton, Model 75</t>
  </si>
  <si>
    <t>Master Cylinder, Tilton, Model 76</t>
  </si>
  <si>
    <t>Master Cylinder, Tilton, Model 77</t>
  </si>
  <si>
    <t>Master Cylinder, Wilwood, 260-2636</t>
  </si>
  <si>
    <t>Master Cylinder, Wilwood, 260-5520</t>
  </si>
  <si>
    <t>Proportioning Valve, Hydraulic</t>
  </si>
  <si>
    <t>Proportioning Valve, Tilton, 90-1000</t>
  </si>
  <si>
    <t>Proportioning Valve, Tilton, 90-1003</t>
  </si>
  <si>
    <t>Proportioning Valve, Tilton, 90-2000</t>
  </si>
  <si>
    <t>Proportioning Valve, Tilton, 90-2003</t>
  </si>
  <si>
    <t xml:space="preserve">Remote Brake Bias Adjuster, Tilton 72-408 </t>
  </si>
  <si>
    <t>Remote Brake Bias Adjuster, Tilton 72-501</t>
  </si>
  <si>
    <t>Slave Cylinder, CNC, SERIES 305</t>
  </si>
  <si>
    <t>CNC</t>
  </si>
  <si>
    <t>Hydraulic Fluid Reservoir, Remote (Plastic)</t>
  </si>
  <si>
    <t>Includes lid</t>
  </si>
  <si>
    <t>Adhesive Film</t>
  </si>
  <si>
    <t>Composite</t>
  </si>
  <si>
    <t>m^2</t>
  </si>
  <si>
    <t>Included in composite cost</t>
  </si>
  <si>
    <t>Aramid (Kevlar) Fiber, 1 Ply</t>
  </si>
  <si>
    <t>kg</t>
  </si>
  <si>
    <t>Dry or Pre-Preg.  Both include resin.  Hand trimming allowed.</t>
  </si>
  <si>
    <t>Carbon Fiber, 1 Ply</t>
  </si>
  <si>
    <t>Carbon Fiber Tubes, Purchased (All Cost as Made)</t>
  </si>
  <si>
    <t>Composites</t>
  </si>
  <si>
    <t>Composite Tubes, Purchased (All Cost as Made)</t>
  </si>
  <si>
    <t>Any Size</t>
  </si>
  <si>
    <t>Glass Fiber, 1 Ply</t>
  </si>
  <si>
    <t>e.g. S-Glass.  Dry or Pre-preg.  Both include resin.  Hand trimming allowed.</t>
  </si>
  <si>
    <t>Honeycomb, Aluminum</t>
  </si>
  <si>
    <t>Any cell size and density.  Hand trimming allowed.</t>
  </si>
  <si>
    <t>Honeycomb, Cardboard</t>
  </si>
  <si>
    <t>Honeycomb, Nomex</t>
  </si>
  <si>
    <t>Honeycomb, Plastic</t>
  </si>
  <si>
    <t>Structural Foam</t>
  </si>
  <si>
    <t>Chassis Cntrl Module, +Active Differential</t>
  </si>
  <si>
    <t>Control Module</t>
  </si>
  <si>
    <t>Includes circuit board and circuitry for processing necessary inputs (wheel speed, axle speed, etc) and differential control outputs.  Required Chassis Control Module, Baseline Enclosure.    Sensors and wiring harness not included.</t>
  </si>
  <si>
    <t>Chassis Control Module, +Active Suspension</t>
  </si>
  <si>
    <t>Includes circuit board and circuitry necessary inputs (damper position, velocity, etc) and damper control outputs.  Required Chassis Control Module, Baseline Enclosure.  Sensors and wiring harness not included.</t>
  </si>
  <si>
    <t>Chassis Control Module, +Automatic Shifter</t>
  </si>
  <si>
    <t>Includes circuit board and circuitry for processing sensor input from engine, output to shifter.  Required Chassis Control Module, Baseline Enclosure.  Sensors and wiring harness not included.</t>
  </si>
  <si>
    <t>Chassis Control Module, +Battery Charger</t>
  </si>
  <si>
    <t>Includes circuit board and circuitry for processing battery health input from pack and charging outputs.  Required Chassis Control Module, Baseline Enclosure.  Sensors and wiring harness not included.</t>
  </si>
  <si>
    <t>Chassis Control Module, +Dashboard</t>
  </si>
  <si>
    <t>Includes circuit board and circuitry for processing sensor inputs and dashbboard outputs.  Required Chassis Control Module, Baseline.  Sensors and wiring harness not included.</t>
  </si>
  <si>
    <t>Includes circuit board and circuitry for processing sensor input and output to one (1) engine actuator device.  Include once per actuator in the chassis control module.  Required Chassis Control Module, Baseline.  Sensors and wiring harness not included.</t>
  </si>
  <si>
    <t>Chassis Control Module, +Traction Control</t>
  </si>
  <si>
    <t>Chassis Control Module, Baseline Enclosure</t>
  </si>
  <si>
    <t>Includes enclosure.  This item must be included for all chassis control modules.  Add functionality by adding additional line items.</t>
  </si>
  <si>
    <t>Controller, Active Differential</t>
  </si>
  <si>
    <t>Controller, Active Suspension</t>
  </si>
  <si>
    <t>Datalogger, Motec, ADL</t>
  </si>
  <si>
    <t>MoTeC</t>
  </si>
  <si>
    <t>Datalogger, Motec, ADL2</t>
  </si>
  <si>
    <t>ECU, AEM Plug &amp; Play, AVM-30-1052U</t>
  </si>
  <si>
    <t>AEM</t>
  </si>
  <si>
    <t>ECU, AEM Wire &amp; Play</t>
  </si>
  <si>
    <t>ECU, Autronic, SM4</t>
  </si>
  <si>
    <t>Autronic</t>
  </si>
  <si>
    <t>ECU, Bosch Motorsport, MS4.0 Sport</t>
  </si>
  <si>
    <t>Bosch</t>
  </si>
  <si>
    <t>ECU, Bosch Motorsport, MS4.4 Sport, F01TA20068</t>
  </si>
  <si>
    <t>DTA</t>
  </si>
  <si>
    <t>ECU, DTA, S60 Pro</t>
  </si>
  <si>
    <t>ECU, Dynojet, Power Commender III USB</t>
  </si>
  <si>
    <t>Dynojet</t>
  </si>
  <si>
    <t>Requires OEM ECU to also be included in cost</t>
  </si>
  <si>
    <t>ECU, Electromotive, TEC-GT</t>
  </si>
  <si>
    <t>Electromotive</t>
  </si>
  <si>
    <t>ECU, Haltech, E11v2</t>
  </si>
  <si>
    <t>Haltech</t>
  </si>
  <si>
    <t>6,8 c seq</t>
  </si>
  <si>
    <t>ECU, Haltech, E6x</t>
  </si>
  <si>
    <t>4,6,8 c</t>
  </si>
  <si>
    <t>ECU, Haltech, E8</t>
  </si>
  <si>
    <t>4 c seq</t>
  </si>
  <si>
    <t>ECU, Haltech, Platinum Sport 2000 Long Flying Lead Kit</t>
  </si>
  <si>
    <t>ECU, Link, G4 Storm</t>
  </si>
  <si>
    <t>Link</t>
  </si>
  <si>
    <t>ECU, Megasquirt</t>
  </si>
  <si>
    <t>Megasquirt</t>
  </si>
  <si>
    <t>Assembled with case</t>
  </si>
  <si>
    <t>ECU, Microsquirt</t>
  </si>
  <si>
    <t>ECU, MoTeC, M4</t>
  </si>
  <si>
    <t>ECU, MoTeC, M400</t>
  </si>
  <si>
    <t>ECU, MoTeC, M48</t>
  </si>
  <si>
    <t>ECU, MoTeC, M800</t>
  </si>
  <si>
    <t>ECU, OEM Spark &amp; Fuel</t>
  </si>
  <si>
    <t>Any OEM</t>
  </si>
  <si>
    <t>ECU, OEM Spark Only</t>
  </si>
  <si>
    <t>ECU, OEM Spark, Fuel &amp; Traction Control</t>
  </si>
  <si>
    <t>ECU, Pectel, SQ-6 ECU</t>
  </si>
  <si>
    <t>ECU, Performance Electronics, PE-ECU-1</t>
  </si>
  <si>
    <t>Performance Electronics</t>
  </si>
  <si>
    <t xml:space="preserve">ECU, Simple Digital Systems, EM-4 D </t>
  </si>
  <si>
    <t>Simple Digital Systems</t>
  </si>
  <si>
    <t xml:space="preserve">ECU, Simple Digital Systems, EM-4 E/MSD </t>
  </si>
  <si>
    <t>e.g. 1010, 1025 etc.</t>
  </si>
  <si>
    <t xml:space="preserve">ECU, Simple Digital Systems, EM-4 F </t>
  </si>
  <si>
    <t>e.g. 4130, Chrome Moly, etc.</t>
  </si>
  <si>
    <t>ECU, Student Built, +Active Diff</t>
  </si>
  <si>
    <t>In addition to cost of base student built ECU</t>
  </si>
  <si>
    <t>ECU, Student Built, +Traction Control</t>
  </si>
  <si>
    <t>ECU, Student Built, Spark &amp; Fuel</t>
  </si>
  <si>
    <t>Housing, connector included</t>
  </si>
  <si>
    <t>ECU, Student Built, Spark Only</t>
  </si>
  <si>
    <t>Cable, Pull</t>
  </si>
  <si>
    <t>Controls</t>
  </si>
  <si>
    <t>m</t>
  </si>
  <si>
    <t>Includes cable and housing and integral moutnings at both ends.  Mounting hardware not included</t>
  </si>
  <si>
    <t>Cable, Push/Pull</t>
  </si>
  <si>
    <t>Damper, Cane Creek Double Barrel</t>
  </si>
  <si>
    <t>Cane Creek</t>
  </si>
  <si>
    <t>Damper</t>
  </si>
  <si>
    <t>Damper, Elka Stage-5 MTB</t>
  </si>
  <si>
    <t>Elka</t>
  </si>
  <si>
    <t>Damper, Fox DHX 5.0</t>
  </si>
  <si>
    <t>Fox</t>
  </si>
  <si>
    <t>Damper, Fox Van R</t>
  </si>
  <si>
    <t>Damper, Fox Vanilla R</t>
  </si>
  <si>
    <t>Damper, Koni 3012</t>
  </si>
  <si>
    <t>Koni</t>
  </si>
  <si>
    <t>Damper, Koni, Trax Spax DA, Single Adjustable</t>
  </si>
  <si>
    <t>Damper, Koni, Trax Spax DA, Double Adjustable</t>
  </si>
  <si>
    <t>Damper, Manitou, Swinger 4 Way</t>
  </si>
  <si>
    <t>Damper cost without spring</t>
  </si>
  <si>
    <t>Damper, Marzocchi, Roco TST R</t>
  </si>
  <si>
    <t>Marzocchi</t>
  </si>
  <si>
    <t>Ohlins</t>
  </si>
  <si>
    <t>Penske</t>
  </si>
  <si>
    <t>Damper, Penske 8100</t>
  </si>
  <si>
    <t>Damper, Penske 8300</t>
  </si>
  <si>
    <t>Damper, Penske 8760</t>
  </si>
  <si>
    <t>Damper, Risse Jupiter 5</t>
  </si>
  <si>
    <t>Risse Racing</t>
  </si>
  <si>
    <t>Damper, Risse Jupiter 5R</t>
  </si>
  <si>
    <t>Damper, Risse Jupiter 7R</t>
  </si>
  <si>
    <t>Damper, Tanner</t>
  </si>
  <si>
    <t>Tanner</t>
  </si>
  <si>
    <t>Damper, Team Built</t>
  </si>
  <si>
    <t>Team</t>
  </si>
  <si>
    <t>Damper, Team Built, Reservoir Bladder</t>
  </si>
  <si>
    <t>Damper, ZF Sachs, ETX36/15x</t>
  </si>
  <si>
    <t>ZF Sachs</t>
  </si>
  <si>
    <t>Axle Snubber</t>
  </si>
  <si>
    <t>Drivetrain</t>
  </si>
  <si>
    <t>For example Taylor Race Engineering  plastic snubber</t>
  </si>
  <si>
    <t>Belt</t>
  </si>
  <si>
    <t>Chain</t>
  </si>
  <si>
    <t>Master link included in price of chain.</t>
  </si>
  <si>
    <t>Constant Velocity Joint, Boot</t>
  </si>
  <si>
    <t>Constant Velocity Joint, Plug, Axial Locating</t>
  </si>
  <si>
    <t>Constant Velocity Joint, Rzepa Plunging</t>
  </si>
  <si>
    <t>Constant Velocity Joint, Rzeppa Fixed</t>
  </si>
  <si>
    <t>Constant Velocity Joint, Tripod</t>
  </si>
  <si>
    <t>Differential Housing (All Cost as Made)</t>
  </si>
  <si>
    <t>Differential Internals, Limited Slip, Cam &amp; Pawl</t>
  </si>
  <si>
    <t>Differential Internals, Limited Slip, Quaife</t>
  </si>
  <si>
    <t>Quaife</t>
  </si>
  <si>
    <t>Differential Internals, Limited Slip, Salisbury or Powerflow or Clutch Style</t>
  </si>
  <si>
    <t>Differential Internals, Limited Slip, Torsen T1</t>
  </si>
  <si>
    <t>Torsen</t>
  </si>
  <si>
    <t>Differential Internals, Limited Slip, Torsen T2</t>
  </si>
  <si>
    <t>Differential Internals, Open Gearset (Any)</t>
  </si>
  <si>
    <t>Pulley (All Cost as Made)</t>
  </si>
  <si>
    <t>Sprocket (All Cost as Made)</t>
  </si>
  <si>
    <t>Universal Joint</t>
  </si>
  <si>
    <t>Battery, Advanced Chemistry (NiMH, Li-Ion, etc.)</t>
  </si>
  <si>
    <t>Electronics</t>
  </si>
  <si>
    <t>Battery, Lead Acid</t>
  </si>
  <si>
    <t>Circuit Breaker, Thermal, Klixon 7277-2-20</t>
  </si>
  <si>
    <t>Klixon</t>
  </si>
  <si>
    <t>Connector, Aerospace Quality</t>
  </si>
  <si>
    <t>pin(s)</t>
  </si>
  <si>
    <t>Connector, Computer  Type</t>
  </si>
  <si>
    <t>Seriel, Parallel, USB, Firewire, etc.</t>
  </si>
  <si>
    <t>Connector, High Power, &gt; 2 Amps</t>
  </si>
  <si>
    <t>Vehicle power, starter, alternator, etc.</t>
  </si>
  <si>
    <t>Connector, OEM Quality</t>
  </si>
  <si>
    <t>Connector, Single Wire</t>
  </si>
  <si>
    <t>wire</t>
  </si>
  <si>
    <t>Any style, any size, per wire end.  Includes, ring, spade, bullet, etc.</t>
  </si>
  <si>
    <t>Display, 7 Segment</t>
  </si>
  <si>
    <t>digit</t>
  </si>
  <si>
    <t>Each digit can represent a single character alpha or numeric</t>
  </si>
  <si>
    <t>Display, LCD (for Student Built Elect. Only), Area</t>
  </si>
  <si>
    <t>[C1]*[Size1]+[C2]</t>
  </si>
  <si>
    <t>cm^2</t>
  </si>
  <si>
    <t>[Size1]=Display surface area (cm^2).  LCD Display when incorporated into or driven off student built electroincs.  Not to be used in place of purchased displays that are part of data acquisition systems, engine controllers, etc.</t>
  </si>
  <si>
    <t>Display, LCD (for Student Built Elect. Only), Rect</t>
  </si>
  <si>
    <t>cm</t>
  </si>
  <si>
    <t>LCD Display when incorporated into or driven off student built electroincs.  Not to be used in place of purchased displays that are part of data acquisition systems, engine controllers, etc.</t>
  </si>
  <si>
    <t>Display, Matrix</t>
  </si>
  <si>
    <t>Fuse Box</t>
  </si>
  <si>
    <t>Use 2 x Number of Fuses and relays to calculate number of pins</t>
  </si>
  <si>
    <t>Fuse, Control</t>
  </si>
  <si>
    <t>Fuse, Power</t>
  </si>
  <si>
    <t>Fuse, Signal</t>
  </si>
  <si>
    <t>Gauge, Analog</t>
  </si>
  <si>
    <t>Any use such as RPM, pressure, temperature, etc.  Includes driver (motor, etc) and needle.</t>
  </si>
  <si>
    <t>Gauge, Analog Housing</t>
  </si>
  <si>
    <t>Used with Gauge, Analog when mounted not integrated into the instrument panel.</t>
  </si>
  <si>
    <t>Gauge, Digital Pro Shifter System, 6187</t>
  </si>
  <si>
    <t>Autometer</t>
  </si>
  <si>
    <t>Heat Shrink Tubing</t>
  </si>
  <si>
    <t>Lamp, Brake with Housing</t>
  </si>
  <si>
    <t>Lamp, Incandescent</t>
  </si>
  <si>
    <t>Lamp, LED</t>
  </si>
  <si>
    <t>Motor, 12 Volt, DC Brush</t>
  </si>
  <si>
    <t>Motor, 12 Volt, DC Brushless Servo</t>
  </si>
  <si>
    <t>Relay, Control</t>
  </si>
  <si>
    <t>Relay, Power</t>
  </si>
  <si>
    <t>Relay, Signal</t>
  </si>
  <si>
    <t>Sensor to CAN Converter</t>
  </si>
  <si>
    <t>Converts analog or digital sensor input to CAN output</t>
  </si>
  <si>
    <t>Servo, 12V</t>
  </si>
  <si>
    <t>Radio Controlled Hobby style servo with built in gear reduction.</t>
  </si>
  <si>
    <t>Solenoid, 12 Volt</t>
  </si>
  <si>
    <t>Switch, Kill</t>
  </si>
  <si>
    <t>Switch, Pushbutton</t>
  </si>
  <si>
    <t>Switch, Rotary Multi-position Selector</t>
  </si>
  <si>
    <t>Switch, Toggle</t>
  </si>
  <si>
    <t>Terminal Block, Wiring</t>
  </si>
  <si>
    <t>Wire Sleeving, Split</t>
  </si>
  <si>
    <t>Wire, Control</t>
  </si>
  <si>
    <t>Wire, Power</t>
  </si>
  <si>
    <t>Wire, Signal</t>
  </si>
  <si>
    <t>Paper,  foam and cotton (K&amp;N type) elements</t>
  </si>
  <si>
    <t>Carburetor</t>
  </si>
  <si>
    <t>Coolant Pump, External Electric</t>
  </si>
  <si>
    <t>Cooling System Air Bleed Valve</t>
  </si>
  <si>
    <t>Dry Sump Pump, Dailey Engineering, 04-00-2162</t>
  </si>
  <si>
    <t>Dailey Engineering</t>
  </si>
  <si>
    <t>Dry Sump Pump, Dailey Engineering, 04-99-2162</t>
  </si>
  <si>
    <t>Dry Sump Pump, Dailey Engineering, 04-99-2162-2</t>
  </si>
  <si>
    <t>Dry Sump Pump, Dailey Engineering, 04-99-2186</t>
  </si>
  <si>
    <t xml:space="preserve">Dry Sump Pump, Dailey Engineering, 04-99-2204 </t>
  </si>
  <si>
    <t>Dry Sump Pump, Dailey Engineering, 04-99-2204-2</t>
  </si>
  <si>
    <t>Dry Sump Pump, Dailey Engineering, 04-99-2264-2</t>
  </si>
  <si>
    <t>Dry Sump Pump, Pace, 2 Stage</t>
  </si>
  <si>
    <t>Pace</t>
  </si>
  <si>
    <t>Any 2 stage Pace pump</t>
  </si>
  <si>
    <t>Dry Sump Pump, Pace, 3 Stage</t>
  </si>
  <si>
    <t>Any 3 stage Pace pump</t>
  </si>
  <si>
    <t>Dry Sump Pump, Pace, Single Stage</t>
  </si>
  <si>
    <t>Any single stage Pace pump</t>
  </si>
  <si>
    <t>Dry Sump Pump, Student Made</t>
  </si>
  <si>
    <t>Engine and Transmission, High Performance (5-10 HP/100 cc)</t>
  </si>
  <si>
    <t>cc</t>
  </si>
  <si>
    <t>Engine and Transmission, Low Performance (&lt;5 HP/100 cc)</t>
  </si>
  <si>
    <t>Engine and Transmission, Ultra High Performance (&gt;10 HP/100 cc)</t>
  </si>
  <si>
    <t>Fuel Check Valve</t>
  </si>
  <si>
    <t>Fuel Injector, E85</t>
  </si>
  <si>
    <t>Fuel Injector, Gasoline</t>
  </si>
  <si>
    <t>Fuel Pressure Regulator, E85</t>
  </si>
  <si>
    <t>Fuel Pressure Regulator, Gasoline</t>
  </si>
  <si>
    <t>Fuel Pump, Carburetor, Gasoline or E85</t>
  </si>
  <si>
    <t>Fuel Pump, Fuel Injected, E85</t>
  </si>
  <si>
    <t>Fuel Pump, Fuel Injected, Gasoline</t>
  </si>
  <si>
    <t>Fuel Rail (All Cost as Made)</t>
  </si>
  <si>
    <t>Heat Exchanger Fan</t>
  </si>
  <si>
    <t>Includes motor and blades</t>
  </si>
  <si>
    <t>Heat Exchanger Fan Shroud (All Cost as Made)</t>
  </si>
  <si>
    <t>Heat Exchanger, Air-to-Air</t>
  </si>
  <si>
    <t>cm^3</t>
  </si>
  <si>
    <t>Includes radiator, oil cooler and others.  Volume based on length * width * height of core.  Cost as made the end caps, filler knecks, etc.</t>
  </si>
  <si>
    <t>Heat Exchanger, Air-to-Liquid</t>
  </si>
  <si>
    <t>Heat Exchanger, Liquid-to-Liquid</t>
  </si>
  <si>
    <t>Muffler (All Cost as Made)</t>
  </si>
  <si>
    <t>Muffler Batting</t>
  </si>
  <si>
    <t>Cost based on total volume of muffler</t>
  </si>
  <si>
    <t>Oil Filter</t>
  </si>
  <si>
    <t>Included in engine cost - Shown only for reference</t>
  </si>
  <si>
    <t>Overflow Bottle, Aluminum Drinking Bottle</t>
  </si>
  <si>
    <t>Overflow Bottle, JAX 1 Qt. Oil Breather Tank</t>
  </si>
  <si>
    <t>Jax</t>
  </si>
  <si>
    <t>Overflow Bottle, JAX, 1 Qt. Recirc. Catch Can</t>
  </si>
  <si>
    <t>Overflow Bottle, Nalgene Bottle</t>
  </si>
  <si>
    <t>Overflow Bottle, Plastic Bottle</t>
  </si>
  <si>
    <t>Overflow Bottle, Plastic Drinking Bottle</t>
  </si>
  <si>
    <t>Overflow Bottle, Student Built</t>
  </si>
  <si>
    <t>Spark Plug Coil</t>
  </si>
  <si>
    <t>Spark Plug Wire</t>
  </si>
  <si>
    <t>Supercharger</t>
  </si>
  <si>
    <t>Includes pulley and bypass valve (if fitted) but no plumbing.</t>
  </si>
  <si>
    <t>Throttle Body (All Cost as Made)</t>
  </si>
  <si>
    <t>Turbocharger</t>
  </si>
  <si>
    <t>Includes waste gate but no plumbing</t>
  </si>
  <si>
    <t>Fluid, Coolant</t>
  </si>
  <si>
    <t>Fluid</t>
  </si>
  <si>
    <t>liter</t>
  </si>
  <si>
    <t>Water or water wetter mixture.  Free.</t>
  </si>
  <si>
    <t>Fluid, Oil</t>
  </si>
  <si>
    <t>Engine oil, differential, hydraulic (brake/clutch), etc.</t>
  </si>
  <si>
    <t>Foam, Fuel Anti-Surge</t>
  </si>
  <si>
    <t>Fuel System</t>
  </si>
  <si>
    <t>Fuel Check Valve, In-line, Aluminum Rollover</t>
  </si>
  <si>
    <t>Fuel Check Valve, In-line, Plastic Rollover</t>
  </si>
  <si>
    <t>Coupling, Shaft, Helical Beam</t>
  </si>
  <si>
    <t>Hardware</t>
  </si>
  <si>
    <t>[Size1]=Coupling Outer Diameter (mm).</t>
  </si>
  <si>
    <t>Grommet, Elastomer</t>
  </si>
  <si>
    <t>Any size, any material</t>
  </si>
  <si>
    <t>Locating Pin, Bullet-Nose Dowel, Steel</t>
  </si>
  <si>
    <t>[Size1]=Dowel diameter (mm)</t>
  </si>
  <si>
    <t>Locating Pin, Liner, Steel</t>
  </si>
  <si>
    <t>[Size1]=Hole diameter for dowel (mm)</t>
  </si>
  <si>
    <t>Piano Hinge, Aluminum</t>
  </si>
  <si>
    <t>[Size1]=Hing pin diameter (mm), [Size2]=Open width (mm).  Hinge cost does not include any holes.</t>
  </si>
  <si>
    <t xml:space="preserve">Mount, Vibration-Damping Sandwich
</t>
  </si>
  <si>
    <t>[Size1]=Mount Outer Diameter (mm).</t>
  </si>
  <si>
    <t>Woodruff Key</t>
  </si>
  <si>
    <t>Any size up to 6.35mm width</t>
  </si>
  <si>
    <t>Adhesive</t>
  </si>
  <si>
    <t>Misc.</t>
  </si>
  <si>
    <t>Included in process cost (brush apply, aerosol apply, etc.).  Includes glue, thread locker, etc.</t>
  </si>
  <si>
    <t>Cable Adjuster</t>
  </si>
  <si>
    <t>Optimum Balance Products</t>
  </si>
  <si>
    <t>Clevis</t>
  </si>
  <si>
    <t>[Size1]=bore size (diameter of hole).  Includes male/female and left/right threads.</t>
  </si>
  <si>
    <t>Filler Cap</t>
  </si>
  <si>
    <t>Fuel, cooling system, etc.</t>
  </si>
  <si>
    <t>Gearbox Oil Temp. Control Valve, GearZmo</t>
  </si>
  <si>
    <t>GearZmo</t>
  </si>
  <si>
    <t>Head Rest Padding</t>
  </si>
  <si>
    <t>Heat Barrier</t>
  </si>
  <si>
    <t>Adhesive film (foil) or matting for reflecting head.</t>
  </si>
  <si>
    <t>Mirror Lens</t>
  </si>
  <si>
    <t>Mirror, Rear View, Housing (All Cost as Made)</t>
  </si>
  <si>
    <t>in^2</t>
  </si>
  <si>
    <t>Paint</t>
  </si>
  <si>
    <t>Roll Hoop Padding</t>
  </si>
  <si>
    <t>Seat (All Cost as Made)</t>
  </si>
  <si>
    <t>Throttle Linkage, Tilton, 72-790</t>
  </si>
  <si>
    <t>Pedal Assembly, Tilton, 72-680</t>
  </si>
  <si>
    <t>Pedal Assembly, Optimum Balance Products OBP0181</t>
  </si>
  <si>
    <t>With bias bar adjustment</t>
  </si>
  <si>
    <t>Adapter, Hex Nipple, Brass</t>
  </si>
  <si>
    <t>Plumbing</t>
  </si>
  <si>
    <t>[Size1]=Pipe Size (mm)</t>
  </si>
  <si>
    <t>Adapter, Hex Nipple, Reducing, Brass</t>
  </si>
  <si>
    <t>[Size1]=Inlet Pipe Size (mm).  [Size2]=Outlet Pipe Size (mm)</t>
  </si>
  <si>
    <t>[Size1]=Hose Size (mm), e.g. AN4 = 4/16 inch = 6.35mm.  Low Pressure.</t>
  </si>
  <si>
    <t>Adapter/L.P./Barb to Male Pipe/Elbow/Plastic</t>
  </si>
  <si>
    <t>Up to 25.4mm diameter inlet and outlet size.  Low Pressure.</t>
  </si>
  <si>
    <t>[Size1]=Inlet Hose Size (mm), [Size2]=Outlet Pipe Size (mm).  Low Pressure.</t>
  </si>
  <si>
    <t>Adapter/L.P./Barb to Male Pipe/Straight/Plastic</t>
  </si>
  <si>
    <t>[Size1]=Inlet Hose Size (mm), [Size2]=Outlet Hose Size (mm), e.g. AN4 = 4/16 inch = 6.35mm.  Low Pressure.</t>
  </si>
  <si>
    <t>[Size1]=Largest Hose Size (mm), [Size2]=2nd Largest Hose Size (mm), e.g. AN4 = 4/16 inch = 6.35mm (use two largest sizes and ignore 3rd outlet).  Low Pressure.</t>
  </si>
  <si>
    <t>[Size1]=Inlet Pipe Size (mm), [Size2]=Outlet Pipe Size (mm), e.g. AN4 = 4/16 inch = 6.35mm.  Low Pressure</t>
  </si>
  <si>
    <t>Banjo Bolt, Aluminum</t>
  </si>
  <si>
    <t>[Size1]=Thread Size (mm).</t>
  </si>
  <si>
    <t>Banjo Bolt, Steel</t>
  </si>
  <si>
    <t>Banjo Fitting, 45 Deg., Aluminum</t>
  </si>
  <si>
    <t>[Size1]=Inlet Fitting Size (mm).</t>
  </si>
  <si>
    <t>Banjo Fitting, 45 Deg., Steel</t>
  </si>
  <si>
    <t>Banjo Fitting, 90 Deg., Aluminum</t>
  </si>
  <si>
    <t>Banjo Fitting, 90 Deg., Steel</t>
  </si>
  <si>
    <t>Banjo Fitting, Aluminum</t>
  </si>
  <si>
    <t>Banjo Fitting, Double, Aluminum</t>
  </si>
  <si>
    <t>[Size1]=Largest Inlet Fitting Size (mm).</t>
  </si>
  <si>
    <t>Banjo Fitting, Double, Steel</t>
  </si>
  <si>
    <t>Banjo Fitting, Steel</t>
  </si>
  <si>
    <t>Bleedscrew, Hydraulic (Brake, clutch, etc.)</t>
  </si>
  <si>
    <t>unt</t>
  </si>
  <si>
    <t>Break Coupling, Dry, Female, Staubli</t>
  </si>
  <si>
    <t>Staubli</t>
  </si>
  <si>
    <t>Sizes up to 8mm</t>
  </si>
  <si>
    <t>Break Coupling, Dry, Male, Staubli</t>
  </si>
  <si>
    <t>Generant</t>
  </si>
  <si>
    <t>Crush Washer</t>
  </si>
  <si>
    <t>[Size1]=Inner Diameter (mm).  Any material (steel, aluminum, copper, etc.)</t>
  </si>
  <si>
    <t>Drain Plug, Hex Head, Magnetic</t>
  </si>
  <si>
    <t>[Size1]=Threaded Diameter (mm)</t>
  </si>
  <si>
    <t>Drain Plug, Square Head, Magnetic</t>
  </si>
  <si>
    <t>Fitting, Fuel Pressure Gauge</t>
  </si>
  <si>
    <t>12.7mm Barb End (x2), 3.175mm NPT Female</t>
  </si>
  <si>
    <t>Fitting, JT2000, Quick Con. Plug to Flare, 45 Deg.</t>
  </si>
  <si>
    <t>Jiffy-Tite</t>
  </si>
  <si>
    <t>Jiffy-Tite 2000 Series.  Sizes up to 12.7mm Flare</t>
  </si>
  <si>
    <t>Fitting, JT2000, Quick Con. Plug to Flare, 90 Deg.</t>
  </si>
  <si>
    <t>Fitting, JT2000, Quick Con. Plug to Flare, Str.</t>
  </si>
  <si>
    <t>Fitting, JT2000, Quick Con. Socket to Flare, 45 Deg.</t>
  </si>
  <si>
    <t>Fitting, JT2000, Quick Con. Socket to Flare, 90 Deg.</t>
  </si>
  <si>
    <t>Fitting, JT2000, Quick Con. Socket to Flare, Straight</t>
  </si>
  <si>
    <t>[Size1]=Tube Outer Diameter, Largest end (mm).</t>
  </si>
  <si>
    <t>Fitting, Push-to-Connect, Plastic, Straight</t>
  </si>
  <si>
    <t>Fitting, Push-to-Connect, Plastic, Tee</t>
  </si>
  <si>
    <t>[Size1]=Tube Outer Diameter (mm)</t>
  </si>
  <si>
    <t>Fitting, Push-to-Connect, Plastic, Wye</t>
  </si>
  <si>
    <t>Fitting, Weld-in, Male, Aluminum</t>
  </si>
  <si>
    <t>[C1]*EXP([C2]*[Size1])</t>
  </si>
  <si>
    <t>[Size1]=Flare Size (mm).  For cost as made oil reservoir tanks, etc.</t>
  </si>
  <si>
    <t>Fitting, Wiggins, Clamshell Assembly</t>
  </si>
  <si>
    <t>Fitting, Wiggins, Coupling Assembly</t>
  </si>
  <si>
    <t>Fitting, Wiggins, Weld Ferrule</t>
  </si>
  <si>
    <t>[Size1]=Hose Size (mm), e.g. AN4 = 4/16 inch = 6.35mm.  High Pressure.</t>
  </si>
  <si>
    <t>Fitting/H.P./Straight//Brass/</t>
  </si>
  <si>
    <t>Grease Nipple, 45 Deg.</t>
  </si>
  <si>
    <t>Any size up to 6.35mm</t>
  </si>
  <si>
    <t>Grease Nipple, 90 Deg.</t>
  </si>
  <si>
    <t>Grease Nipple, Straight</t>
  </si>
  <si>
    <t>Hose, High Pressure, Stainless Steel Braided Outer</t>
  </si>
  <si>
    <t>[Size1]=Hose Size (mm).  Cost is per meter of hose.  Hydraulic, CO2, etc. up to 20.7 Mpa.</t>
  </si>
  <si>
    <t>Hose, Low Pressure, Fabric Outer</t>
  </si>
  <si>
    <t xml:space="preserve">[Size1]=Hose Size (mm).  Cost is per meter of hose.  Fuel, oil, coolant, air, etc. up to 7 Mpa.  </t>
  </si>
  <si>
    <t>Hose, Low Pressure, Stainless Steel Braided Outer</t>
  </si>
  <si>
    <t>Hose, Low Presure, Fabric Outer, Socketless</t>
  </si>
  <si>
    <t>[Size1]=Hose Size (mm).  Cost is per meter of hose.   Fuel, oil, coolant, air, etc. up to 1.7 Mpa.</t>
  </si>
  <si>
    <t>Hose, Polyurethane</t>
  </si>
  <si>
    <t>[Size1]=Outer Diameter (mm).  Price per meter of hose (m).   Same cost with and without fiber reinforcement.  For very low pressure applications such as pneumatic shfiters after regulator.</t>
  </si>
  <si>
    <t>Hose, Rubber</t>
  </si>
  <si>
    <t>[Size1]=Outer Diameter (mm).  Price per meter of hose (m).   Same cost with and without fiber reinforcement.  For very low pressure applications (cooling system, vacuum, carbereutered fuel systems, etc.)</t>
  </si>
  <si>
    <t>[Size1]=Outer Diameter (mm).  Price per meter of hose (m).  Same cost with and without fiber reinforcement.  For very low pressure applications (cooling system, vacuum, carbereutered fuel systems, etc.)</t>
  </si>
  <si>
    <t>Hose, Silicone</t>
  </si>
  <si>
    <t>Rotating Union, GAT, Rotodisk</t>
  </si>
  <si>
    <t>GAT</t>
  </si>
  <si>
    <t>Tubing, Steel</t>
  </si>
  <si>
    <t>Cost using area, length and density and include process cost for flaring of tube ends, etc.  Can also cost off steel or stainless steel raw material (same cost).</t>
  </si>
  <si>
    <t>Aluminum Metal Matrix Composite</t>
  </si>
  <si>
    <t>Raw Material</t>
  </si>
  <si>
    <t>Aluminum, Normal</t>
  </si>
  <si>
    <t>e.g. 2024, 6061, A356, A380</t>
  </si>
  <si>
    <t>Aluminum, Premium</t>
  </si>
  <si>
    <t>e.g. 7075</t>
  </si>
  <si>
    <t>Brass</t>
  </si>
  <si>
    <t>Bronze</t>
  </si>
  <si>
    <t>Copper</t>
  </si>
  <si>
    <t>Foam, Expanding, Non-Structural</t>
  </si>
  <si>
    <t>Expanding foam such as is used for seats.  Not to be used as core in a composite sandwhich panel.</t>
  </si>
  <si>
    <t>Inconel</t>
  </si>
  <si>
    <t>Please submit an Add Item Request</t>
  </si>
  <si>
    <t>Iron</t>
  </si>
  <si>
    <t>Magnesium</t>
  </si>
  <si>
    <t>Nickel</t>
  </si>
  <si>
    <t>Plastic, ABS</t>
  </si>
  <si>
    <t>PVC, Thermoplastic</t>
  </si>
  <si>
    <t>Plastic, Acetal</t>
  </si>
  <si>
    <t>Delrin, Turcite, Acetal Copolymer</t>
  </si>
  <si>
    <t>Plastic, Acrylic</t>
  </si>
  <si>
    <t>Extruded, Cast</t>
  </si>
  <si>
    <t>Plastic, Flouropolymers</t>
  </si>
  <si>
    <t>Plastic, Garolite</t>
  </si>
  <si>
    <t>Industrial Laminates, Phenolics, Thermosets</t>
  </si>
  <si>
    <t>Plastic, Nylon</t>
  </si>
  <si>
    <t>Nylon 6/6, Nylon 6/12</t>
  </si>
  <si>
    <t>Plastic, PEEK</t>
  </si>
  <si>
    <t>Plastic, Polycarbonate</t>
  </si>
  <si>
    <t>Plastic, Polyethelene</t>
  </si>
  <si>
    <t>LDPE (low density polyethylene), UHMW (ultra high molecular weight), HDPE (high density polyethylene), VHMW (very high molecular weight)</t>
  </si>
  <si>
    <t>Plastic, Polypropolene</t>
  </si>
  <si>
    <t>Plastic, PVC</t>
  </si>
  <si>
    <t>Type I, Type II, CPVC, Expanded Rigid PVC</t>
  </si>
  <si>
    <t>Rubber</t>
  </si>
  <si>
    <t>Silicon Carbide (or any ceramic)</t>
  </si>
  <si>
    <t>Steel, Alloy</t>
  </si>
  <si>
    <t>Steel, Mild</t>
  </si>
  <si>
    <t>Steel, Stainless</t>
  </si>
  <si>
    <t>Titanium</t>
  </si>
  <si>
    <t>e.g. Ti6Al4V</t>
  </si>
  <si>
    <t>Wood, Hard</t>
  </si>
  <si>
    <t>Oak, Maple, Birch</t>
  </si>
  <si>
    <t>Wood, Soft</t>
  </si>
  <si>
    <t>Balsa, Bass</t>
  </si>
  <si>
    <t>Harness, Driver</t>
  </si>
  <si>
    <t>Safety</t>
  </si>
  <si>
    <t>Any harness, any latch style, any number of belts.  Includes harness with built in attachment points but no hardware.</t>
  </si>
  <si>
    <t>Seal, O-Ring, Elastomer</t>
  </si>
  <si>
    <t>Seals</t>
  </si>
  <si>
    <t>Seal, Radial Lip Seal</t>
  </si>
  <si>
    <t>Any Size, any style</t>
  </si>
  <si>
    <t>Sensor, Accelerometer, 1 Axis</t>
  </si>
  <si>
    <t>Sensors</t>
  </si>
  <si>
    <t>Sensor, Accelerometer, 3 Axis</t>
  </si>
  <si>
    <t>Sensor, Air Temperature</t>
  </si>
  <si>
    <t>OEM quality sensor</t>
  </si>
  <si>
    <t>Sensor, Angular Position</t>
  </si>
  <si>
    <t>e.g. Throttle Position Sensor (TPS)</t>
  </si>
  <si>
    <t>Sensor, Fluid Pressure</t>
  </si>
  <si>
    <t>e.g. Wheel Speed Sensor</t>
  </si>
  <si>
    <t>Sensor, LVDT</t>
  </si>
  <si>
    <t>Sensor, Manifold Absolute Pressure (MAP)</t>
  </si>
  <si>
    <t>Sensor, Mass Air Flow (MAF)</t>
  </si>
  <si>
    <t>Sensor, Switching Air Fuel Ratio</t>
  </si>
  <si>
    <t>Switches output (high/low) when transition from rich to lean detected</t>
  </si>
  <si>
    <t>Sensor, Thermocouple</t>
  </si>
  <si>
    <t>Sensor, Two State Position</t>
  </si>
  <si>
    <t>Sensor, Wide Band Air Fuel Raito</t>
  </si>
  <si>
    <t>Output proportional to air fuel ratio</t>
  </si>
  <si>
    <t>Fabric</t>
  </si>
  <si>
    <t>Sheet Material</t>
  </si>
  <si>
    <t>Any fabric including dacron for body covering, seats, etc.</t>
  </si>
  <si>
    <t>Glass</t>
  </si>
  <si>
    <t>Leather</t>
  </si>
  <si>
    <t>Suede</t>
  </si>
  <si>
    <t>CO2 Regulator</t>
  </si>
  <si>
    <t>CO2 Tank, Composite</t>
  </si>
  <si>
    <t>CO2 Tank, Metallic</t>
  </si>
  <si>
    <t>N2 Regulator</t>
  </si>
  <si>
    <t>N2 Tank, Composite</t>
  </si>
  <si>
    <t>N2 Tank, Metallic</t>
  </si>
  <si>
    <t>Pneumatic Cylinder, Double Acting</t>
  </si>
  <si>
    <t>Pneumatic Cylinder, Single Acting</t>
  </si>
  <si>
    <t>Pneumatic Valve, Two Position</t>
  </si>
  <si>
    <t>Two position valve (open/closed).</t>
  </si>
  <si>
    <t>Shifter, Automatic, Kartech, Me-Shifter F1</t>
  </si>
  <si>
    <t>Kartech</t>
  </si>
  <si>
    <t>Shifter, Automatic, Kliktronics</t>
  </si>
  <si>
    <t>Kliktronics</t>
  </si>
  <si>
    <t>Shifter, Automatic, Pingel Easy Shift Kit</t>
  </si>
  <si>
    <t>Pingel</t>
  </si>
  <si>
    <t>Shifter, Automatic, TransLogic TLS-PS1</t>
  </si>
  <si>
    <t>TransLogic</t>
  </si>
  <si>
    <t>units</t>
  </si>
  <si>
    <t>Includes actuator, wiring and 2 buttons.</t>
  </si>
  <si>
    <t>Spring, Compression (General)</t>
  </si>
  <si>
    <t>For all uses requiring forces &lt; 100 N.  Not for suspensions.</t>
  </si>
  <si>
    <t>Spring, Tension (General)</t>
  </si>
  <si>
    <t>Spring, Torsion (General)</t>
  </si>
  <si>
    <t>Suspension Springs, Coil Spring, Steel</t>
  </si>
  <si>
    <t>Any Steel coil compression spring</t>
  </si>
  <si>
    <t>Suspension Springs, Coil Spring, Titanium</t>
  </si>
  <si>
    <t>Titanium Spring</t>
  </si>
  <si>
    <t>Steering Column Universal Joint</t>
  </si>
  <si>
    <t>Steering</t>
  </si>
  <si>
    <t>Steering Pinion (All Cost as Made)</t>
  </si>
  <si>
    <t>Steering Rack (All Cost as Made)</t>
  </si>
  <si>
    <t>Steering Rack Housing (All Cost as Made)</t>
  </si>
  <si>
    <t>Steering Wheel (All Cost as Made)</t>
  </si>
  <si>
    <t>Steering Wheel, Quick Release (All Cost as Made)</t>
  </si>
  <si>
    <t>Tire, Avon, A45, 13"-20.0 x 6.2</t>
  </si>
  <si>
    <t>Avon</t>
  </si>
  <si>
    <t>Tire</t>
  </si>
  <si>
    <t>Tire, Avon, A45, 13"-20.0 x 7.2</t>
  </si>
  <si>
    <t>Tire, Avon, A45, 13"-20.0 x 8.2</t>
  </si>
  <si>
    <t>Tire, Bridgestone, 13"-180mm/510mm</t>
  </si>
  <si>
    <t>Bridgestone</t>
  </si>
  <si>
    <t>Tire, Goodyear, D2692, 13"-20.0 x 7.0</t>
  </si>
  <si>
    <t>Goodyear</t>
  </si>
  <si>
    <t>Tire, Goodyear, R065, 13"-20.0 x 7.0</t>
  </si>
  <si>
    <t>Tire, Goodyear, R075, 13"-20.0 x 7.0</t>
  </si>
  <si>
    <t>Tire, Hoosier, LC0, 10"-18.0 x 6.0</t>
  </si>
  <si>
    <t>Hoosier</t>
  </si>
  <si>
    <t>Tire, Hoosier, LC0, 10"-18.0 x 7.0</t>
  </si>
  <si>
    <t>Tire, Hoosier, R25B, 10"-18.0 x 6.0</t>
  </si>
  <si>
    <t>Tire, Hoosier, R25B, 10"-18.0 x 7.5</t>
  </si>
  <si>
    <t>Tire, Hoosier, R25B, 10"-19.5 x 6.5</t>
  </si>
  <si>
    <t>Tire, Hoosier, R25B, 10"-19.5 x 7.5</t>
  </si>
  <si>
    <t>Tire, Hoosier, R25B, 13"-20.0 x 7.5</t>
  </si>
  <si>
    <t>Tire, Hoosier, R25B, 13"-20.0 x 8.0</t>
  </si>
  <si>
    <t>Tire, Hoosier, R25B, 13"-20.0 x 9.0</t>
  </si>
  <si>
    <t>Tire, Hoosier, R25B, 13"-20.5 x 6.0</t>
  </si>
  <si>
    <t>Tire, Hoosier, R25B, 13"-20.5 x 7.0</t>
  </si>
  <si>
    <t>Tire, Hoosier, Wet, 10"-19.5 x 6.5</t>
  </si>
  <si>
    <t>Tire, Hoosier, Wet, 13"-20.0 x 7.5</t>
  </si>
  <si>
    <t>Tire, Hoosier, Wet, 13"-21.0 x 6.5</t>
  </si>
  <si>
    <t>Tire, Kumho, ECSTA, 13"-170mm/515mm</t>
  </si>
  <si>
    <t>Kumoh</t>
  </si>
  <si>
    <t>Tire, Michelin, P220, 13"-20.9 x 6.3</t>
  </si>
  <si>
    <t>Michelin</t>
  </si>
  <si>
    <t>Tire, Michelin, S6B, 13"-20.9 x 6.3</t>
  </si>
  <si>
    <t>Tire, Treaded Production Car Not Listed Above</t>
  </si>
  <si>
    <t>Valve Stem (and Tire Inflation)</t>
  </si>
  <si>
    <t>Includes tire inflation</t>
  </si>
  <si>
    <t>Wheel Shells, 10", 3 Piece, Keizer, Aluminum</t>
  </si>
  <si>
    <t>Keizer</t>
  </si>
  <si>
    <t>Wheel</t>
  </si>
  <si>
    <t>Wheel shells include outer rim but no center</t>
  </si>
  <si>
    <t>Wheel Shells, 13" Inner, 4" Wide, Kodiak, Aluminum</t>
  </si>
  <si>
    <t>Kodiak</t>
  </si>
  <si>
    <t>Kodiak Part Number I13406</t>
  </si>
  <si>
    <t>Wheel Shells, 13" Inner, 4.5" Wide, Kodiak, Alum.</t>
  </si>
  <si>
    <t>Aluminum.  Kodiak Part Number I134506</t>
  </si>
  <si>
    <t>Wheel Shells, 13" Inner, 5" Wide, Kodiak, Alum.</t>
  </si>
  <si>
    <t>Aluminum.  Kodiak Part Number I113506</t>
  </si>
  <si>
    <t>Wheel Shells, 13" Inner, 6" Wide, Kodiak, Alum.</t>
  </si>
  <si>
    <t>Aluminum.  Kodiak Part Number I13606</t>
  </si>
  <si>
    <t>Wheel Shells, 13" Outer, 1" Wide, Kodiak, Alum.</t>
  </si>
  <si>
    <t>Aluminum.  Kodiak Part Number O13106</t>
  </si>
  <si>
    <t>Wheel Shells, 13" Outer, 1.5" Wide, Kodiak, Alum.</t>
  </si>
  <si>
    <t>Aluminum.  Kodiak Part Number O131506</t>
  </si>
  <si>
    <t>Wheel Shells, 13" Outer, 2" Wide, Kodiak, Alum.</t>
  </si>
  <si>
    <t>Aluminum.  Kodiak Part Number O13206</t>
  </si>
  <si>
    <t>Wheel Shells, 13", 3 Piece, Jongbloed, Alum.</t>
  </si>
  <si>
    <t>Jongbloed</t>
  </si>
  <si>
    <t>Wheel comes with solid center,  no machining for hub attachment</t>
  </si>
  <si>
    <t>Wheel Shells, 13", 3 Piece, Jongbloed, Magnesium</t>
  </si>
  <si>
    <t>Wheel Shells, 13", 3 Piece, Keizer, Aluminum</t>
  </si>
  <si>
    <t>Wheel shells include inner &amp; outer rim but no center</t>
  </si>
  <si>
    <t>Wheel Shells, 13", 3 Piece, Weld, Aluminum</t>
  </si>
  <si>
    <t>Weld</t>
  </si>
  <si>
    <t>Includes  Inner (P850-3478) and Outer (P851-3318)</t>
  </si>
  <si>
    <t>Wheel Weights (and Balancing)</t>
  </si>
  <si>
    <t>Includes weights, balancing and installation labor for wheel weight</t>
  </si>
  <si>
    <t>Wheel, 10", 1 Piece OEM, Aluminum</t>
  </si>
  <si>
    <t>Wheel, 10", 1 Piece OEM, Magnesium</t>
  </si>
  <si>
    <t>Wheel, 10", 1 Piece OEM, Steel</t>
  </si>
  <si>
    <t>Wheel, 10", 1 Piece, Carbon Fiber, Purchased</t>
  </si>
  <si>
    <t>Wheel, 10", 1 Piece, Carbon Fiber, Student Made</t>
  </si>
  <si>
    <t>Wheel, 10", 3 Piece, Keizer, Aluminum</t>
  </si>
  <si>
    <t>Wheel, 13", 1 Piece OEM, Aluminum</t>
  </si>
  <si>
    <t>Wheel, 13", 1 Piece OEM, Magnesium</t>
  </si>
  <si>
    <t>Wheel, 13", 1 Piece OEM, Steel</t>
  </si>
  <si>
    <t>Wheel, 13", 1 Piece, Carbon Fiber, Purchased</t>
  </si>
  <si>
    <t>Wheel, 13", 1 Piece, Carbon Fiber, Student Made</t>
  </si>
  <si>
    <t>Wheel, 13", 1 Piece, Volk  TE37, Aluminum</t>
  </si>
  <si>
    <t>Volk</t>
  </si>
  <si>
    <t>Wheel, 13", 3 Piece, Bogar RT-4, Aluminum</t>
  </si>
  <si>
    <t>Bogar</t>
  </si>
  <si>
    <t>Wheel, 13", 3 Piece, Jongbloed, Aluminum</t>
  </si>
  <si>
    <t>Wheel, 13", 3 Piece, Jongbloed, Magnesium</t>
  </si>
  <si>
    <t>Wheel, 13", 3 Piece, Keizer, Aluminum</t>
  </si>
  <si>
    <t>Wheel, 13", 3 Piece, Keizer, Magnesium</t>
  </si>
  <si>
    <t>Wheel, 13", 3 Piece, Weld, Aluminum</t>
  </si>
  <si>
    <t>Includes center (P613-7096), Inner (P850-3478) and Outer (P851-3318)</t>
  </si>
  <si>
    <t>Wheel, 13", BBS, Magnesium, Cast, R-RE-325</t>
  </si>
  <si>
    <t>BBS</t>
  </si>
  <si>
    <t>Wheel, 13", Magnesium, BBS, Forged</t>
  </si>
  <si>
    <t>Wheel, 15", 1 Piece OEM, Aluminum</t>
  </si>
  <si>
    <t>Wheel, 15", 1 Piece OEM, Magnesium</t>
  </si>
  <si>
    <t>Wheel, 15", 1 Piece OEM, Steel</t>
  </si>
  <si>
    <t>Wheel, 15", 1 Piece, Carbon Fiber, Purchased</t>
  </si>
  <si>
    <t>Wheel, 15", 1 Piece, Carbon Fiber, Student Made</t>
  </si>
  <si>
    <t>Cost As:</t>
  </si>
  <si>
    <t>Differential Oil</t>
  </si>
  <si>
    <t>Radiator Filler Knecks</t>
  </si>
  <si>
    <t>Cost as made</t>
  </si>
  <si>
    <t>Radiator end caps</t>
  </si>
  <si>
    <t>Electrical components (resistors, capacitors, etc.)</t>
  </si>
  <si>
    <t>Chassis Control Module (by function)</t>
  </si>
  <si>
    <t>Brake Hard Lines</t>
  </si>
  <si>
    <t>Cost from raw material (steel, aluminum, etc.) and include process operations to tubing ends</t>
  </si>
  <si>
    <t>Coolant Hose</t>
  </si>
  <si>
    <t>Cost from raw material (rubber, silicone, etc.)</t>
  </si>
  <si>
    <t>Radiator Hose</t>
  </si>
  <si>
    <t>Process ID</t>
  </si>
  <si>
    <t>Process</t>
  </si>
  <si>
    <t>Tooling Required</t>
  </si>
  <si>
    <t>Near Net Shape</t>
  </si>
  <si>
    <t>Multiplier Type Used</t>
  </si>
  <si>
    <t>None</t>
  </si>
  <si>
    <t>Die Casting</t>
  </si>
  <si>
    <t>Basic Forming</t>
  </si>
  <si>
    <t>Yes</t>
  </si>
  <si>
    <t>Investment Casting</t>
  </si>
  <si>
    <t>Plastic injection molding</t>
  </si>
  <si>
    <t>Powder Metal Forming</t>
  </si>
  <si>
    <t>Rapid Prototype - Stereo Lith.</t>
  </si>
  <si>
    <t>Sand Casting</t>
  </si>
  <si>
    <t>Exhaust System Ceramic Coating</t>
  </si>
  <si>
    <t>Coating</t>
  </si>
  <si>
    <t>Cure, Autoclave</t>
  </si>
  <si>
    <t>Includes all consumable materials and labor.</t>
  </si>
  <si>
    <t>Cure, Oven</t>
  </si>
  <si>
    <t>Cure, Room Temperature</t>
  </si>
  <si>
    <t>Lamination, Fillament Winding</t>
  </si>
  <si>
    <t>Cost based on finished part mass of composite fibers and resin.</t>
  </si>
  <si>
    <t>Lamination, Manual</t>
  </si>
  <si>
    <t>Potting</t>
  </si>
  <si>
    <t>Cost based on perimeter of insert.  Includes potting compund material cost</t>
  </si>
  <si>
    <t>Resin application, Infusion Molding</t>
  </si>
  <si>
    <t>Resin application, Manual</t>
  </si>
  <si>
    <t>If prepreg composites are used do not included the resin application step.</t>
  </si>
  <si>
    <t>Attach Wire, Fork</t>
  </si>
  <si>
    <t>Electrical - Attach Wires</t>
  </si>
  <si>
    <t>Attach Wire, Quick connect terminal</t>
  </si>
  <si>
    <t>Attach Wire, Ring</t>
  </si>
  <si>
    <t>Attach Wire, Solder wire, bent</t>
  </si>
  <si>
    <t>Attach Wire, Solder wire, not bent</t>
  </si>
  <si>
    <t>Attach Wire, Terminated wire with screw</t>
  </si>
  <si>
    <t>Attach Wire, Terminated wire with screw and nut</t>
  </si>
  <si>
    <t>Attach Wire, Wire to screw</t>
  </si>
  <si>
    <t>Attach Wire, Wire to screw with nut</t>
  </si>
  <si>
    <t>Attach Wire, Wire to terminal block</t>
  </si>
  <si>
    <t>Attach Wire, Wire wrap around terminal post</t>
  </si>
  <si>
    <t>Install Tie Wrap (Zip Tie, Cable Clamp)</t>
  </si>
  <si>
    <t>Electrical - Bundle Install</t>
  </si>
  <si>
    <t>Wire Dressing (Install and route)</t>
  </si>
  <si>
    <t>Insert Bundle Into Tube or Sleeve</t>
  </si>
  <si>
    <t>Electrical - Bundle Processing</t>
  </si>
  <si>
    <t>Install Adhesive Cable Clamp</t>
  </si>
  <si>
    <t>Lace</t>
  </si>
  <si>
    <t>Shrink Tube</t>
  </si>
  <si>
    <t>Taping Wire Bundle</t>
  </si>
  <si>
    <t>Connector Install, Circular, Bayonet</t>
  </si>
  <si>
    <t>Electrical - Connections</t>
  </si>
  <si>
    <t>Connector Install, Circular, Friction</t>
  </si>
  <si>
    <t>Connector Install, Circular, Screw Thread</t>
  </si>
  <si>
    <t>Connector Install, Square, Friction</t>
  </si>
  <si>
    <t>Connector Install, Square, Latch/Snap-on Type</t>
  </si>
  <si>
    <t>Connector Install, Square, Screw (x2)</t>
  </si>
  <si>
    <t>Connector Install, Square, Spring Clip</t>
  </si>
  <si>
    <t>Lay Wire - Control</t>
  </si>
  <si>
    <t>Electrical - Layout</t>
  </si>
  <si>
    <t>Lay Wire - Power</t>
  </si>
  <si>
    <t>Lay Wire - Signal</t>
  </si>
  <si>
    <t>Crimp Wire</t>
  </si>
  <si>
    <t>Electrical - Prep</t>
  </si>
  <si>
    <t>Cut wire</t>
  </si>
  <si>
    <t>Strip Multi-Conductor</t>
  </si>
  <si>
    <t>wire(s)</t>
  </si>
  <si>
    <t>Strip Wire</t>
  </si>
  <si>
    <t>Tin Wire</t>
  </si>
  <si>
    <t>Connector Assembley, Crimp</t>
  </si>
  <si>
    <t>contacts</t>
  </si>
  <si>
    <t>Electrical - Wire in Connector</t>
  </si>
  <si>
    <t>Connector Assembley, Solder</t>
  </si>
  <si>
    <t>Hand - Start Only</t>
  </si>
  <si>
    <t>Hand, Loose &lt;= 25.4 mm</t>
  </si>
  <si>
    <t>Hand, Loose &lt;= 6.35 mm</t>
  </si>
  <si>
    <t>Hand, Loose &gt; 25.4 mm</t>
  </si>
  <si>
    <t>Hand, Tight &lt;= 6.35 mm</t>
  </si>
  <si>
    <t>Power Tool &lt;= 25.4 mm</t>
  </si>
  <si>
    <t>Fastener Installation</t>
  </si>
  <si>
    <t>Power Tool &lt;= 6.35 mm</t>
  </si>
  <si>
    <t>Power Tool &gt; 25.4 mm</t>
  </si>
  <si>
    <t>Ratchet &lt;= 25.4 mm</t>
  </si>
  <si>
    <t>Ratchet &lt;= 6.35 mm</t>
  </si>
  <si>
    <t>Ratchet &gt; 25.4 mm</t>
  </si>
  <si>
    <t>Reaction Tool &lt;= 25.4 mm</t>
  </si>
  <si>
    <t>Reaction Tool &lt;= 6.35 mm</t>
  </si>
  <si>
    <t>Reaction Tool &gt; 25.4 mm</t>
  </si>
  <si>
    <t>Screwdriver &lt; 1 Turn</t>
  </si>
  <si>
    <t>Screwdriver &gt; 1 Turn</t>
  </si>
  <si>
    <t>Wrench &lt;= 25.4 mm</t>
  </si>
  <si>
    <t>Wrench &lt;= 6.35 mm</t>
  </si>
  <si>
    <t>Wrench &gt; 25.4 mm</t>
  </si>
  <si>
    <t>Braze</t>
  </si>
  <si>
    <t>Joining</t>
  </si>
  <si>
    <t>Sewing</t>
  </si>
  <si>
    <t>Adjustment - Misc.</t>
  </si>
  <si>
    <t>Labor</t>
  </si>
  <si>
    <t>Chain tension, etc.</t>
  </si>
  <si>
    <t>Aerosol Apply</t>
  </si>
  <si>
    <t>Annodize</t>
  </si>
  <si>
    <t>It is not necessary to include any cost for annodizing.  Included for reference only.</t>
  </si>
  <si>
    <t>Assemble, &gt;20 kg, Interference</t>
  </si>
  <si>
    <t>Assembly</t>
  </si>
  <si>
    <t>Assemble, &gt;20 kg, Line-on-Line</t>
  </si>
  <si>
    <t>Assemble, &gt;20 kg, Loose</t>
  </si>
  <si>
    <t>Assemble, 1 kg, Interference</t>
  </si>
  <si>
    <t>Assemble, 1 kg, Line-on-Line</t>
  </si>
  <si>
    <t>Assemble, 1 kg, Loose</t>
  </si>
  <si>
    <t>Assemble, 10 kg, Interference</t>
  </si>
  <si>
    <t>Assemble, 10 kg, Line-on-Line</t>
  </si>
  <si>
    <t>Assemble, 10 kg, Loose</t>
  </si>
  <si>
    <t>Assemble, 15 kg, Interference</t>
  </si>
  <si>
    <t>Assemble, 15 kg, Line-on-Line</t>
  </si>
  <si>
    <t>Assemble, 15 kg, Loose</t>
  </si>
  <si>
    <t>Assemble, 20 kg, Interference</t>
  </si>
  <si>
    <t>Assemble, 20 kg, Line-on-Line</t>
  </si>
  <si>
    <t>Assemble, 20 kg, Loose</t>
  </si>
  <si>
    <t>Assemble, 3 kg, Interference</t>
  </si>
  <si>
    <t>Assemble, 3 kg, Line-on-Line</t>
  </si>
  <si>
    <t>Assemble, 3 kg, Loose</t>
  </si>
  <si>
    <t>Assemble, 5 kg, Interference</t>
  </si>
  <si>
    <t>Assemble, 5 kg, Line-on-Line</t>
  </si>
  <si>
    <t>Assemble, 5 kg, Loose</t>
  </si>
  <si>
    <t>Brake Bleed - Per Bleeder Valve</t>
  </si>
  <si>
    <t>Brush Apply</t>
  </si>
  <si>
    <t>For use with glue, adhesives, paint, resin, etc.</t>
  </si>
  <si>
    <t>Cut (scissors, knife)</t>
  </si>
  <si>
    <t>Heat Treatment</t>
  </si>
  <si>
    <t>It is not necessary to include any cost for heat treatment.  Included for reference only.</t>
  </si>
  <si>
    <t>Liquid Applicator Gun</t>
  </si>
  <si>
    <t>Liquid Apply - Pour Expanding Foam</t>
  </si>
  <si>
    <t>m^3</t>
  </si>
  <si>
    <t>Cost based on volume of fully expanded final part before trimming</t>
  </si>
  <si>
    <t>Liquid Apply - Spot</t>
  </si>
  <si>
    <t>Machining Setup, Change</t>
  </si>
  <si>
    <t>The quantity for this process may be used to scale the cost to the number of parts yielded from each setup.  For example if 4 parts can be machined from a single plate then the quantity per part may be set to 0.25 to spread the cost out over each part.</t>
  </si>
  <si>
    <t>Machining Setup, Install and remove</t>
  </si>
  <si>
    <t>The quantity for this process may be used to scale the cost to the number of parts yielded from each setup.  For example if 4 parts can be machined from a single plate then the quantity per part may be 0.25 to spread the cost out over each part.</t>
  </si>
  <si>
    <t>Riveting</t>
  </si>
  <si>
    <t>Safety Wire, Install</t>
  </si>
  <si>
    <t>Unit includes each item or hole included in safety wire path.  One item could include bolt, nut, hole in an axle, hub, etc.</t>
  </si>
  <si>
    <t>Suspension Setup - Solid Axle (per corner)</t>
  </si>
  <si>
    <t>Suspension Setup-Independent Susp. (per corner)</t>
  </si>
  <si>
    <t>Tape</t>
  </si>
  <si>
    <t>Broach, External</t>
  </si>
  <si>
    <t>Material Removal</t>
  </si>
  <si>
    <t>Linear distance of broach</t>
  </si>
  <si>
    <t>Broach, Internal</t>
  </si>
  <si>
    <t>Drilled hole &lt; 50.8 mm dia.</t>
  </si>
  <si>
    <t>hole</t>
  </si>
  <si>
    <t>Drill &amp; Tap</t>
  </si>
  <si>
    <t>Holes &gt;= 50.8 mm must be machined</t>
  </si>
  <si>
    <t>Drilled holes &lt; 25.4 mm dia.</t>
  </si>
  <si>
    <t>EDM - Plunge</t>
  </si>
  <si>
    <t>Machining</t>
  </si>
  <si>
    <t>EDM - Wire</t>
  </si>
  <si>
    <t>Grind, Cylindrical</t>
  </si>
  <si>
    <t>0.25mm machine stock</t>
  </si>
  <si>
    <t>Grind, Flat</t>
  </si>
  <si>
    <t>Grind, Profile</t>
  </si>
  <si>
    <t>Hand Finish - Material Removal</t>
  </si>
  <si>
    <t>Hand sanding, grinding, shaping.  Any manual material removal process.</t>
  </si>
  <si>
    <t>Hand Finish - Surface Preperation</t>
  </si>
  <si>
    <t>Hand sanding, cleaning or other operations used to prepare the surface, such as for bonding.</t>
  </si>
  <si>
    <t>Knurling</t>
  </si>
  <si>
    <t>Linear distance of knurl on part (length of knurl, not diameter)</t>
  </si>
  <si>
    <t>Laser Cut</t>
  </si>
  <si>
    <t>Mill - Form Cutter</t>
  </si>
  <si>
    <t>0.5mm machine stock min.  Linear distance of cutter motion.</t>
  </si>
  <si>
    <t>Non-metallic cutting &lt;= 25.4 mm</t>
  </si>
  <si>
    <t>cut</t>
  </si>
  <si>
    <t>Non-metallic cutting &lt;= 50.8 mm</t>
  </si>
  <si>
    <t>Non-metallic cutting &lt;= 76.2 mm</t>
  </si>
  <si>
    <t>Non-metallic cutting &gt; 76.2 mm</t>
  </si>
  <si>
    <t>Plasma Cutting</t>
  </si>
  <si>
    <t>Reemed hole</t>
  </si>
  <si>
    <t>Reemed holes must first be drilled or machined</t>
  </si>
  <si>
    <t>Saw or tubing cuts</t>
  </si>
  <si>
    <t>Tapping holes</t>
  </si>
  <si>
    <t>Threading, External (machining)</t>
  </si>
  <si>
    <t>Linear distance of thread (length of bolt thread, not diameter)</t>
  </si>
  <si>
    <t>Threading, Internal (machining)</t>
  </si>
  <si>
    <t>Waterjet Cut</t>
  </si>
  <si>
    <t>Spinning, Metal</t>
  </si>
  <si>
    <t>Shaping</t>
  </si>
  <si>
    <t>Cost based on the total volume created between the metal starting position and final position.</t>
  </si>
  <si>
    <t>Sheet metal bends</t>
  </si>
  <si>
    <t>bend</t>
  </si>
  <si>
    <t>Sheet Materials</t>
  </si>
  <si>
    <t>Sheet metal punching</t>
  </si>
  <si>
    <t>Sheet Metal Saw Cut</t>
  </si>
  <si>
    <t>Includes linear saw cuts and hole saw cuts.  Linear cuts by linear distance and hole saw cuts by hole circumference.</t>
  </si>
  <si>
    <t>Sheet metal shearing</t>
  </si>
  <si>
    <t>Sheet metal stamping</t>
  </si>
  <si>
    <t>Tube bends</t>
  </si>
  <si>
    <t>Tubing</t>
  </si>
  <si>
    <t>Tube cut</t>
  </si>
  <si>
    <t>Use diameter of tube</t>
  </si>
  <si>
    <t>Tube end preperation for welding</t>
  </si>
  <si>
    <t>end</t>
  </si>
  <si>
    <t>Includes mitering, nothing, sanding, wire wheeling and surface prep.  All steps necessary for welding of one tube end except cutting and welding.</t>
  </si>
  <si>
    <t>Tube Flare/Bead</t>
  </si>
  <si>
    <t>Form flare or bead for brake lines, cooling lines, etc. in hard lines</t>
  </si>
  <si>
    <t>Weld - Round Tubing</t>
  </si>
  <si>
    <t>Use diameter for dimension.  Ratio of pi included.</t>
  </si>
  <si>
    <t>ProcessMultiplierID</t>
  </si>
  <si>
    <t>Process Multiplier</t>
  </si>
  <si>
    <t>Multiplier</t>
  </si>
  <si>
    <t>Use</t>
  </si>
  <si>
    <t>Assemble - Length &gt; 0.5m</t>
  </si>
  <si>
    <t>Disassemble</t>
  </si>
  <si>
    <t>To be used when removing parts or fasteners</t>
  </si>
  <si>
    <t>Fastener Engagement Length &gt; 2D</t>
  </si>
  <si>
    <t>Fastener Engagement Length &gt; 4D</t>
  </si>
  <si>
    <t>Machine - Hole Length &gt;= 4D</t>
  </si>
  <si>
    <t>Drill, Tap</t>
  </si>
  <si>
    <t>Machine - Hole Length &gt;= 8D</t>
  </si>
  <si>
    <t>Material  - Composite</t>
  </si>
  <si>
    <t>Material - Aluminum</t>
  </si>
  <si>
    <t>Material - Brass</t>
  </si>
  <si>
    <t>Material - Bronze</t>
  </si>
  <si>
    <t>Material - Cast Iron</t>
  </si>
  <si>
    <t>Material - Foam</t>
  </si>
  <si>
    <t>Material - Inconel</t>
  </si>
  <si>
    <t>Material - Magnesium</t>
  </si>
  <si>
    <t>Material - MMC</t>
  </si>
  <si>
    <t>Material - Nickel</t>
  </si>
  <si>
    <t>Material - Plastic</t>
  </si>
  <si>
    <t>Material - Stainless Steel</t>
  </si>
  <si>
    <t>Material - Steel</t>
  </si>
  <si>
    <t>Material - Titanium</t>
  </si>
  <si>
    <t>Material - Wood (Hard or soft)</t>
  </si>
  <si>
    <t>Repeat 2</t>
  </si>
  <si>
    <t>Optional, to show repetition of processes.</t>
  </si>
  <si>
    <t>Repeat 3</t>
  </si>
  <si>
    <t>Repeat 4</t>
  </si>
  <si>
    <t>Repeat 5</t>
  </si>
  <si>
    <t>Repeat 6</t>
  </si>
  <si>
    <t>Repeat 7</t>
  </si>
  <si>
    <t>Repeat 8</t>
  </si>
  <si>
    <t>Repeat 9</t>
  </si>
  <si>
    <t>Repeat 10</t>
  </si>
  <si>
    <t>Fastener ID</t>
  </si>
  <si>
    <t>Fastener</t>
  </si>
  <si>
    <t>Size 1</t>
  </si>
  <si>
    <t>Size 2</t>
  </si>
  <si>
    <t>c1</t>
  </si>
  <si>
    <t>c2</t>
  </si>
  <si>
    <t>System</t>
  </si>
  <si>
    <t>Calc Price</t>
  </si>
  <si>
    <t>Attachment</t>
  </si>
  <si>
    <t>DateAdded/Modified</t>
  </si>
  <si>
    <t>Mass</t>
  </si>
  <si>
    <t>Steel Loop Straps, Rubber-Cushioned</t>
  </si>
  <si>
    <t>Clamp</t>
  </si>
  <si>
    <t>[Size1]=final clamped diameter [mm]</t>
  </si>
  <si>
    <t>Galvanized Steel Loop Straps</t>
  </si>
  <si>
    <t>Galvanized Steel Loop Straps, Rubber coated</t>
  </si>
  <si>
    <t>Hose Clamp, Spring Steel</t>
  </si>
  <si>
    <t>[C1]*[Size1]</t>
  </si>
  <si>
    <t>Hose Clamp, Constant Tension</t>
  </si>
  <si>
    <t>Hose Clamp, Miniature Bolt</t>
  </si>
  <si>
    <t>Hose Clamp, Single Wire</t>
  </si>
  <si>
    <t>Hose Clamp, V-Band Quick Release</t>
  </si>
  <si>
    <t xml:space="preserve"> </t>
  </si>
  <si>
    <t>Hose Clamp, Worm Drive</t>
  </si>
  <si>
    <t>Retaining Ring, R-ring</t>
  </si>
  <si>
    <t>Retaining Ring</t>
  </si>
  <si>
    <t>[C1]*([Size1]^2)+[C2]</t>
  </si>
  <si>
    <t>[Size1]=shaft diameter [mm]</t>
  </si>
  <si>
    <t>Retaining Ring, Internal</t>
  </si>
  <si>
    <t>Retaining Ring, External</t>
  </si>
  <si>
    <t>Retaining Ring, Spiral</t>
  </si>
  <si>
    <t>Bolt, Aluminum</t>
  </si>
  <si>
    <t>Bolt</t>
  </si>
  <si>
    <t>[C1]/105154*[Size1]^2*[Size2]*SQRT([Size2])+([C2]*EXP(0.319*[Size1]))</t>
  </si>
  <si>
    <t>[Size1]=diameter (mm).  [Size2]=length (mm).    Strength 255 Mpa.  Special varities included (drilled head, locking, etc.).</t>
  </si>
  <si>
    <t>Bolt, Banjo</t>
  </si>
  <si>
    <t>This item is in the materials table under plumbing</t>
  </si>
  <si>
    <t>Bolt, Custom Design, Student Made</t>
  </si>
  <si>
    <t>To be used for designs that do not match standard bolt configurations, such as threaded rocker arm posts</t>
  </si>
  <si>
    <t>Bolt, Grade 10.9 (SAE 8)</t>
  </si>
  <si>
    <t>[Size1]=diameter (mm).  [Size2]=length (mm).    Strength 1030 Mpa.   Special varities included (drilled head, locking, etc.).</t>
  </si>
  <si>
    <t>Bolt, Grade 12.9</t>
  </si>
  <si>
    <t>[Size1]=diameter (mm).  [Size2]=length (mm).    Strength 1170 Mpa.   Special varities included (drilled head, locking, etc.).</t>
  </si>
  <si>
    <t>Bolt, Grade 6.8 (SAE 3) and All Grades less than Metric 8.8</t>
  </si>
  <si>
    <t>[C1]/105154*[Size1]1^2*[Size1]2*SQRT([Size1]2)+([C2]*E[Size1]P(0.319*[Size1]1))</t>
  </si>
  <si>
    <t>[Size1]=diameter (mm).  [Size2]=length (mm).    Strength 670 Mpa.   Special varities included (drilled head, locking, etc.)</t>
  </si>
  <si>
    <t>Bolt, Grade 8.8 (SAE 5)</t>
  </si>
  <si>
    <t>[Size1]=diameter (mm).  [Size2]=length (mm).    Strength 830 Mpa.   Special varities included (drilled head, locking, etc.).</t>
  </si>
  <si>
    <t>Bolt, Grade AN</t>
  </si>
  <si>
    <t>Bolt, Grade NAS 12-Point</t>
  </si>
  <si>
    <t>[Size1]=diameter (mm).  [Size2]=length (mm).    Strength 1240 Mpa.   Special varities included (drilled head, locking, etc.).</t>
  </si>
  <si>
    <t>Bolt, Grade NAS 6-Point</t>
  </si>
  <si>
    <t>[Size1]=diameter (mm).  [Size2]=length (mm).    Strength 1100 Mpa.   Special varities included (drilled head, locking, etc.).</t>
  </si>
  <si>
    <t>Dzus Fastener, 1/4 Turn, Slotted Head</t>
  </si>
  <si>
    <t>Includes 1/4 Turn stud, plate, spring and spring receptacle</t>
  </si>
  <si>
    <t>Dzus Fastener, 1/4 Turn, Wing Head</t>
  </si>
  <si>
    <t>Eyebolt, Threaded, Steel</t>
  </si>
  <si>
    <t>([C1]*EXP([C2]*[Size1]))</t>
  </si>
  <si>
    <t>[Size1]=Inner Diameter of Eye</t>
  </si>
  <si>
    <t>Hook and Loop, Hook Side (Velcro)</t>
  </si>
  <si>
    <t>Same cost for adhesive backed or non-adhesive backed.  Only includes one side of joint (hook side)</t>
  </si>
  <si>
    <t>Hook and Loop, Loop Side (Velcro)</t>
  </si>
  <si>
    <t>Same cost for adhesive backed or non-adhesive backed.  Only includes one side of joint (loop side)</t>
  </si>
  <si>
    <t>Nut, Custom Design, Student Made</t>
  </si>
  <si>
    <t>Nut</t>
  </si>
  <si>
    <t>To be used for designs that do not match standard nut configurations, such as wheel nuts</t>
  </si>
  <si>
    <t>Nut, Grade 10.9 (SAE 8)</t>
  </si>
  <si>
    <t>[Size1]=diameter (mm).  Special varities included (drilled head, locking, etc.).</t>
  </si>
  <si>
    <t>Nut, Grade 12.9</t>
  </si>
  <si>
    <t>Nut, Grade 6.8 (SAE 3) and All Grades less than Metric 8.8</t>
  </si>
  <si>
    <t>Nut, Grade 8.8 (SAE 5)</t>
  </si>
  <si>
    <t>Nut, Grade AN</t>
  </si>
  <si>
    <t>Nut, Grade NAS 12-Point</t>
  </si>
  <si>
    <t>[Size1]=diameter (mm). Special varities included (drilled head, locking, etc.).</t>
  </si>
  <si>
    <t>Nut, Grade NAS 6-Point</t>
  </si>
  <si>
    <t>Nut, Lug</t>
  </si>
  <si>
    <t>Any size</t>
  </si>
  <si>
    <t>Nut, Panel Retained</t>
  </si>
  <si>
    <t>Any type of nut with a retaining or anti-rotation feature for a panel (weldnut, etc.)</t>
  </si>
  <si>
    <t>Nutsert (J-Nut)</t>
  </si>
  <si>
    <t>Pin, Cotter, Straight</t>
  </si>
  <si>
    <t>All sizes up to 5mm diameter.</t>
  </si>
  <si>
    <t>Pin, Cotter, Hairpin</t>
  </si>
  <si>
    <t>All sizes up to 5mm wire diameter.</t>
  </si>
  <si>
    <t>Pin, Plastic Push</t>
  </si>
  <si>
    <t>Pin, Safety, Coiled Wire</t>
  </si>
  <si>
    <t>[Size1]=Usable length (mm).</t>
  </si>
  <si>
    <t>Pin, Safety, Square Retainer Snap</t>
  </si>
  <si>
    <t>[Size1]=Pin Diameter (mm), [Size2]=Usable length (mm).</t>
  </si>
  <si>
    <t>Pin, Quick Release</t>
  </si>
  <si>
    <t>[Size1]=Diameter (mm).  [Size2]=Usable Length.  Any style pin (T-handle, Ring Grip, etc.).</t>
  </si>
  <si>
    <t>Rivet, Pop</t>
  </si>
  <si>
    <t>Rivet</t>
  </si>
  <si>
    <t>Any diameter and length</t>
  </si>
  <si>
    <t>Safety Wire</t>
  </si>
  <si>
    <t>Included in labor cost.</t>
  </si>
  <si>
    <t>Stud, Grade 10.9 (SAE 8)</t>
  </si>
  <si>
    <t>Stud</t>
  </si>
  <si>
    <t>Stud, Grade 12.9</t>
  </si>
  <si>
    <t>Stud, Grade 8.8 (SAE 5)</t>
  </si>
  <si>
    <t>Tie Wrap</t>
  </si>
  <si>
    <t>Includes all styles and sizes of plastic cable ties including Cable Clamp, Zip Tie, etc.</t>
  </si>
  <si>
    <t>Thread Insert</t>
  </si>
  <si>
    <t>[Size1]=nominal hole diameter (mm).</t>
  </si>
  <si>
    <t>Washer, Crush</t>
  </si>
  <si>
    <t>Washer, Grade 10.9 (SAE 8)</t>
  </si>
  <si>
    <t>Washer</t>
  </si>
  <si>
    <t>[Size1]=diameter (mm).  Any thickness.  Special varities included (drilled head, locking, etc.).</t>
  </si>
  <si>
    <t>Washer, Grade 12.9</t>
  </si>
  <si>
    <t>Washer, Grade 6.8 (SAE 3) and All Grades less than Metric 8.8</t>
  </si>
  <si>
    <t>Washer, Grade 8.8 (SAE 5)</t>
  </si>
  <si>
    <t>Washer, Grade AN</t>
  </si>
  <si>
    <t>Washer, Grade NAS 12-Point</t>
  </si>
  <si>
    <t>Washer, Grade NAS 6-Point</t>
  </si>
  <si>
    <t>Fitting, AN</t>
  </si>
  <si>
    <t>ID</t>
  </si>
  <si>
    <t>Tool</t>
  </si>
  <si>
    <t>Cost</t>
  </si>
  <si>
    <t>All</t>
  </si>
  <si>
    <t>die</t>
  </si>
  <si>
    <t>Per die not die set.  Minimum number of dies is 2 per die set.</t>
  </si>
  <si>
    <t>Lamination</t>
  </si>
  <si>
    <t>Use surface area of tool that is used to form part geometry.</t>
  </si>
  <si>
    <t xml:space="preserve">Per die not die set. </t>
  </si>
  <si>
    <t>core</t>
  </si>
  <si>
    <t>Per core not core package.</t>
  </si>
  <si>
    <t>Welds</t>
  </si>
  <si>
    <t>point</t>
  </si>
  <si>
    <t>Each point is a pickup or support point.</t>
  </si>
  <si>
    <t>Asm Cost</t>
  </si>
  <si>
    <t>Qty</t>
  </si>
  <si>
    <t>P/N Base</t>
  </si>
  <si>
    <t>Extended Cost</t>
  </si>
  <si>
    <t>Suffix</t>
  </si>
  <si>
    <t>Details</t>
  </si>
  <si>
    <t>Parts</t>
  </si>
  <si>
    <t>Part</t>
  </si>
  <si>
    <t>Part Cost</t>
  </si>
  <si>
    <t>Sub Total</t>
  </si>
  <si>
    <t>UnitCost</t>
  </si>
  <si>
    <t>Size1</t>
  </si>
  <si>
    <t>Unit1</t>
  </si>
  <si>
    <t>Size2</t>
  </si>
  <si>
    <t>Unit2</t>
  </si>
  <si>
    <t>Multiplier ID</t>
  </si>
  <si>
    <t>Mult. Val.</t>
  </si>
  <si>
    <t>PVF</t>
  </si>
  <si>
    <t>FracIncld</t>
  </si>
  <si>
    <t>Push bar</t>
  </si>
  <si>
    <t>Cup holder</t>
  </si>
  <si>
    <t>Random Stuff</t>
  </si>
  <si>
    <t>Bearing Ball, Steel</t>
  </si>
  <si>
    <t>ABS Kit, Bosch, M4 Kit 1</t>
  </si>
  <si>
    <t>ABS Kit, Bosch, M4 Kit 2</t>
  </si>
  <si>
    <t>Balance Bar, AP, CP5520-4</t>
  </si>
  <si>
    <t>Balance Bar, Sandtler, 128153</t>
  </si>
  <si>
    <t>Sandtler</t>
  </si>
  <si>
    <t>Balance Bar, Sandtler, 128154</t>
  </si>
  <si>
    <t>Balance Bar Cable Adjuster, AP CP2905-8</t>
  </si>
  <si>
    <t>Balance Bar Cable Adjuster, Optimum Balance Prod</t>
  </si>
  <si>
    <t>Balance Bar Cable Adjuster, Right Angle Drive, AP CP5500-10</t>
  </si>
  <si>
    <t>Balance Bar Cable Adjuster, Sandtler, 128154</t>
  </si>
  <si>
    <t>Brake Caliper, AP, CP7853</t>
  </si>
  <si>
    <t>Brake Caliper, ISR, 22-034</t>
  </si>
  <si>
    <t>Same cost left and right calipers</t>
  </si>
  <si>
    <t>Brake Caliper, ISR, 22-036</t>
  </si>
  <si>
    <t>Brake Caliper, ISR, 22-049</t>
  </si>
  <si>
    <t>Brake Caliper, Magura, 908.1</t>
  </si>
  <si>
    <t>Magura</t>
  </si>
  <si>
    <t>Brake Caliper, Spiegler, S070</t>
  </si>
  <si>
    <t>Spiegler</t>
  </si>
  <si>
    <t>Same price for left and righ calipers.</t>
  </si>
  <si>
    <t>Brake Caliper, Spiegler, S108</t>
  </si>
  <si>
    <t>Brake Caliper, Wilwood, DynaPro Single</t>
  </si>
  <si>
    <t>Brake Caliper, Yamaha (YZF 450), 5TG-2580T-00-00</t>
  </si>
  <si>
    <t>Yamaha</t>
  </si>
  <si>
    <t>Master Cylinder, AP, CP4623</t>
  </si>
  <si>
    <t>Master Cylinder, AP, CP7855</t>
  </si>
  <si>
    <t>Master Cylinder, Beck Arnley, 072-9455</t>
  </si>
  <si>
    <t>Beck Arnley</t>
  </si>
  <si>
    <t>Master Cylinder, Brembo, 10.4776.20</t>
  </si>
  <si>
    <t xml:space="preserve">Master Cylinder, Brembo, XA6.C2.3
</t>
  </si>
  <si>
    <t>Master Cylinder, Honda CBR600F4i, 43510MBW006</t>
  </si>
  <si>
    <t>Honda</t>
  </si>
  <si>
    <t>Master Cylinder, Hyundai Mobis, 41610-2D100</t>
  </si>
  <si>
    <t>Hyundai Mobis</t>
  </si>
  <si>
    <t>Master Cyilnder, ISR, 21-010-OE</t>
  </si>
  <si>
    <t>Master Cylinder, Magura, 10.5mm</t>
  </si>
  <si>
    <t>Master Cylinder, Magura, 770.50</t>
  </si>
  <si>
    <t>Master Cylinder, Magura, 770.1</t>
  </si>
  <si>
    <t>Master Cylinder, Suzuki OEM 69600-16G00</t>
  </si>
  <si>
    <t>Suzuki</t>
  </si>
  <si>
    <t>Master Cylinder, Tripmatic &amp; Speed 18771</t>
  </si>
  <si>
    <t>Tripmatic</t>
  </si>
  <si>
    <t>Master Cylinder, Wilwood, 260-1304</t>
  </si>
  <si>
    <t>Master Cylinder, Wilwood, 260-6087</t>
  </si>
  <si>
    <t>Master Cylinder, Wilwood, 260-10371</t>
  </si>
  <si>
    <t>Chassis (All Cost as Made)</t>
  </si>
  <si>
    <t>Chassis</t>
  </si>
  <si>
    <t>Hubs (All Cost as Made)</t>
  </si>
  <si>
    <t>Monocoque (All Cost as Made)</t>
  </si>
  <si>
    <t>Rockers (All Cost as Made)</t>
  </si>
  <si>
    <t>Upright (All Cost as Made)</t>
  </si>
  <si>
    <t>Carbon Fiber Reinf Silicon Carbide, Brake Rotors</t>
  </si>
  <si>
    <t>Note: actual cost is $0.0092 even though display shows $0.01 actual value is used in math.</t>
  </si>
  <si>
    <t>Carbon Fiber Reinf Silicon Carbide, Brake Pads</t>
  </si>
  <si>
    <t>Note: actual cost is $0.0012 even though display shows $0.01 actual value is used in math.</t>
  </si>
  <si>
    <t>Carbon Fiber Reinf Carbon</t>
  </si>
  <si>
    <t>Composite Panel Insert, Press Fit, Torlon</t>
  </si>
  <si>
    <t>Torlon</t>
  </si>
  <si>
    <t>Composite Panel Insert, Potted-in (NAS) Style, Torlon</t>
  </si>
  <si>
    <t>Polypropylene, High Modulus</t>
  </si>
  <si>
    <t>Includes 'Tegris' and 'Innegra' fibers</t>
  </si>
  <si>
    <t>Datalogger, Aim EVO4</t>
  </si>
  <si>
    <t>AIM</t>
  </si>
  <si>
    <t>No screen data logger</t>
  </si>
  <si>
    <t>ECU, Bosch Motorsport, HPI Box 1.1</t>
  </si>
  <si>
    <t>ECU, Bosch Motorsport, MS3 Sport</t>
  </si>
  <si>
    <t>ECU, DTA, S40 Pro</t>
  </si>
  <si>
    <t>ECU, DTA, S80 Pro</t>
  </si>
  <si>
    <t>ECU, DTA, S100 Pro</t>
  </si>
  <si>
    <t>ECU, EngineLab, EL1140L</t>
  </si>
  <si>
    <t>EngineLab</t>
  </si>
  <si>
    <t>ECU, Haltech, PS1000</t>
  </si>
  <si>
    <t>ECU, McLaren MESL TAG-400</t>
  </si>
  <si>
    <t>McLaren Electronic Systems</t>
  </si>
  <si>
    <t>ECU, Magneti Marelli, SRA-E</t>
  </si>
  <si>
    <t>Magneti Marelli</t>
  </si>
  <si>
    <t>ECU, Magneti Marelli, SRA-EDL 4</t>
  </si>
  <si>
    <t>ECU, Magneti Marelli, SRA-EDL 8</t>
  </si>
  <si>
    <t>ECU, Magneti Marelli, SRT-E</t>
  </si>
  <si>
    <t>ECU, Magneti Marelli, SRT-EDL 16</t>
  </si>
  <si>
    <t>ECU, Magneti Marelli, SRT-EDL 32</t>
  </si>
  <si>
    <t>ECU, MoTeC, IEX - Ignition Expander</t>
  </si>
  <si>
    <t>ECU, MoTeC, M600</t>
  </si>
  <si>
    <t>ECU, MoTeC, TCMUX - Traction Control Multiplexer</t>
  </si>
  <si>
    <t>ECU, Nira, i3+</t>
  </si>
  <si>
    <t>Nira</t>
  </si>
  <si>
    <t>ECU, Sodemo Moteurs, EV11/4</t>
  </si>
  <si>
    <t>Sodemo Moteurs</t>
  </si>
  <si>
    <t>ECU, Trecs, Model II</t>
  </si>
  <si>
    <t>Trecs</t>
  </si>
  <si>
    <t>ECU, Trikejt Plus</t>
  </si>
  <si>
    <t>Trijekt</t>
  </si>
  <si>
    <t>ECU, VEMS, v3</t>
  </si>
  <si>
    <t>Versatile Engine Management System</t>
  </si>
  <si>
    <t>Damper, AVO, 1.9" Alum Dbl Adj (DAAWA100/75)</t>
  </si>
  <si>
    <t>Damper, Kind Shock, KS-504</t>
  </si>
  <si>
    <t>Kind Shock</t>
  </si>
  <si>
    <t>Damper, KW GFw 3-Way Adjustable</t>
  </si>
  <si>
    <t>KW</t>
  </si>
  <si>
    <t>Manitou</t>
  </si>
  <si>
    <t>Damper, Ohlins SD115</t>
  </si>
  <si>
    <t>Damper, Ohlins ST44</t>
  </si>
  <si>
    <t>Damper, Ohlins TTX 25</t>
  </si>
  <si>
    <t>Damper, Ohlins TTX 36</t>
  </si>
  <si>
    <t>Penske/Kaz Tech</t>
  </si>
  <si>
    <t>Piggyback, Double Adjustable</t>
  </si>
  <si>
    <t>Damper, X-Fusion Vektor DH 1.0</t>
  </si>
  <si>
    <t>X-Fusion</t>
  </si>
  <si>
    <t>Damper, ZF Sachs, RD 36-2</t>
  </si>
  <si>
    <t>Axle (All Cost as Made)</t>
  </si>
  <si>
    <t>Chain Guard (All Cost as Made)</t>
  </si>
  <si>
    <t>Half Shaft (All Cost as Made)</t>
  </si>
  <si>
    <t>Dashpanel, Haltech, Racepak IQ3 Display</t>
  </si>
  <si>
    <t>Wire Sleeving, Expandable</t>
  </si>
  <si>
    <t>Accusump</t>
  </si>
  <si>
    <t>Canton Racing Products</t>
  </si>
  <si>
    <t>([C1]*[Size1]+[C2])</t>
  </si>
  <si>
    <t>L</t>
  </si>
  <si>
    <t>Gage not included, include as separate material line item if used on vehicle.</t>
  </si>
  <si>
    <t>Boost Control Solenoid Valve, MR561312</t>
  </si>
  <si>
    <t>Mitsubishi Motors</t>
  </si>
  <si>
    <t>Exhaust Manifold (All Cost as Made)</t>
  </si>
  <si>
    <t>Exhaust Pipe, Flexible</t>
  </si>
  <si>
    <t>([C1]*[Size1]*[Size2]+[C2])</t>
  </si>
  <si>
    <t>Flexible tubing used for exhaust systems.  Also called convoluted or flex piping.</t>
  </si>
  <si>
    <t>Fuel Injector, Direct Injection</t>
  </si>
  <si>
    <t>Either fuel, gasoline or E85</t>
  </si>
  <si>
    <t>Fuel Pump, Direct Injection</t>
  </si>
  <si>
    <t>Port fuel injection, not for direct injection use</t>
  </si>
  <si>
    <t>Fuel Tank (All Cost as Made)</t>
  </si>
  <si>
    <t>Header Wrap</t>
  </si>
  <si>
    <t>Intake (All Cost as Made)</t>
  </si>
  <si>
    <t>Overflow Bottle, Steel Oil Can</t>
  </si>
  <si>
    <t>Pump, Transmission Oil, Hope Technik, 006</t>
  </si>
  <si>
    <t>Hope Technik</t>
  </si>
  <si>
    <t>Cable Tie Mount, Adhesive Backed</t>
  </si>
  <si>
    <t>Adhesive mount for connecting cable ties, zip ties, etc.  Normally is injection molded with a single loop for tie wrap connection.</t>
  </si>
  <si>
    <t>Drawbolt Catch &amp; Hook</t>
  </si>
  <si>
    <t>Included in process cost</t>
  </si>
  <si>
    <t>Pedal, Wilwood, 340-1285</t>
  </si>
  <si>
    <t>Break Coupling, Dry, Female, KC Engineering</t>
  </si>
  <si>
    <t>KC Engineering</t>
  </si>
  <si>
    <t>Break Coupling, Dry, Male, KC Engineering</t>
  </si>
  <si>
    <t>Check Valve, High Press, Adj, In-Line, Generant</t>
  </si>
  <si>
    <t>Cork</t>
  </si>
  <si>
    <t>Plastic, Polyoxymethylene (POM)</t>
  </si>
  <si>
    <t>Delrin</t>
  </si>
  <si>
    <t>Wood, Medium Density Fiberboard</t>
  </si>
  <si>
    <t>MDF</t>
  </si>
  <si>
    <t>Sensor, Fluid Pressure &amp; Temperature</t>
  </si>
  <si>
    <t>Sensor, Hall Effect</t>
  </si>
  <si>
    <t>Sensor, Temperature</t>
  </si>
  <si>
    <t>Air Pressure Regulator</t>
  </si>
  <si>
    <t>Shift Lever, Bicycle OEM</t>
  </si>
  <si>
    <t>Any make/model of bicycle (push bike) handle bar lever.  Includes lever only.</t>
  </si>
  <si>
    <t>Shift Lever, Honda, 0143719</t>
  </si>
  <si>
    <t>Shifter, Automatic, Flat Shifter Expert</t>
  </si>
  <si>
    <t>Flat Shifter</t>
  </si>
  <si>
    <t>Shifter, Automatic, Flat Shifter Max</t>
  </si>
  <si>
    <t>A-Arms (All Cost as Made)</t>
  </si>
  <si>
    <t>Wishbones (All Cost as Made)</t>
  </si>
  <si>
    <t>Tire, Dunlop Motorsport, 13", 175mm/505mm</t>
  </si>
  <si>
    <t>Dunlop</t>
  </si>
  <si>
    <t>Wheel, 10", 2 Piece, HiPer Racing, Carbon-plastic, Tec 3, Inner Half</t>
  </si>
  <si>
    <t>HiPer Racing</t>
  </si>
  <si>
    <t>Wheel, 10", 2 Piece, HiPer Racing, Carbon-plastic, CF1, Inner Half</t>
  </si>
  <si>
    <t>Wheel, 13", 1 Piece, Compomotive XR1380</t>
  </si>
  <si>
    <t>Compomotive</t>
  </si>
  <si>
    <t>Wheel, 13", 1 Piece, Braid, Formrace, Aluminum, Model 16, 7" Wide</t>
  </si>
  <si>
    <t>Braid</t>
  </si>
  <si>
    <t>s</t>
  </si>
  <si>
    <t>Wheel, 13", 1 Piece, Watanabe, Magnesium, 6-Spoke, Widths 8-9.5</t>
  </si>
  <si>
    <t>Watanabe</t>
  </si>
  <si>
    <t>Wheel, 13", 1 Piece, Watanabe, Magnesium, 6-Spoke, Widths 10-12</t>
  </si>
  <si>
    <t>Wheel, 13", 2 Piece, Braid, Formrace, Aluminum, Model 16, 6" Wide</t>
  </si>
  <si>
    <t>Aluminum Metal Matrix Composite (per kg)</t>
  </si>
  <si>
    <t>Raw Material (per kg)</t>
  </si>
  <si>
    <t>Aluminum, Normal (per kg)</t>
  </si>
  <si>
    <t>Aluminum, Premium (per kg)</t>
  </si>
  <si>
    <t>Brass (per kg)</t>
  </si>
  <si>
    <t>Bronze (per kg)</t>
  </si>
  <si>
    <t>Copper (per kg)</t>
  </si>
  <si>
    <t>Foam, Expanding, Non-Structural (per kg)</t>
  </si>
  <si>
    <t>Iron (per kg)</t>
  </si>
  <si>
    <t>Magnesium (per kg)</t>
  </si>
  <si>
    <t>Nickel (per kg)</t>
  </si>
  <si>
    <t>Plastic, ABS (per kg)</t>
  </si>
  <si>
    <t>Plastic, Acetal (per kg)</t>
  </si>
  <si>
    <t>Plastic, Acrylic (per kg)</t>
  </si>
  <si>
    <t>Plastic, Flouropolymers (per kg)</t>
  </si>
  <si>
    <t>Plastic, Garolite (per kg)</t>
  </si>
  <si>
    <t>Plastic, Nylon (per kg)</t>
  </si>
  <si>
    <t>Plastic, PEEK (per kg)</t>
  </si>
  <si>
    <t>Plastic, Polycarbonate (per kg)</t>
  </si>
  <si>
    <t>Plastic, Polyethelene (per kg)</t>
  </si>
  <si>
    <t>Plastic, Polyoxymethylene (POM) (per kg)</t>
  </si>
  <si>
    <t>Plastic, Polypropolene (per kg)</t>
  </si>
  <si>
    <t>Plastic, PVC (per kg)</t>
  </si>
  <si>
    <t>Rubber (per kg)</t>
  </si>
  <si>
    <t>Steel, Alloy (per kg)</t>
  </si>
  <si>
    <t>Steel, Mild (per kg)</t>
  </si>
  <si>
    <t>Steel, Stainless (per kg)</t>
  </si>
  <si>
    <t>Titanium (per kg)</t>
  </si>
  <si>
    <t>Laser Powder Deposition</t>
  </si>
  <si>
    <t>Linear distance of coating on exhaust header and tubing including all runners, etc.  Material included.</t>
  </si>
  <si>
    <t>Gear Shaping (hobbing)</t>
  </si>
  <si>
    <t>Linear travel of gear shaping.  A half-shaft end 5cm long would cost $2.50</t>
  </si>
  <si>
    <t>Revised cost for 2011 Competition Years</t>
  </si>
  <si>
    <t>Machining can include roughing (1.5mm machine stock min., Tol +/- 0.5mm) and/or finishing (0.5mm machine stock min.).  All parts should include the minimum 1.5mm material stock except parts produced by "near net shaped" basic forming processes.  It is not necessary to break down rough and finish cuts, only use the correct minimum stock in the calculation of material removed.</t>
  </si>
  <si>
    <t>Die Casting - Die</t>
  </si>
  <si>
    <t>Lamination - Aluminum Tool</t>
  </si>
  <si>
    <t>Lamination - Composite Tool</t>
  </si>
  <si>
    <t>Lamination - Flat Panel Tool</t>
  </si>
  <si>
    <t>Use surface area of tool that is used to form part geometry.  To use this tooling type composite part must have geometry that is possible to obtain from sheet metal tool with no complex curvature or shape.  For example flat panel parts are allowed or parts with curvature in only one axis.</t>
  </si>
  <si>
    <t>Lamination - Steel Tool</t>
  </si>
  <si>
    <t>Plastic injection molding - Die</t>
  </si>
  <si>
    <t>Powder Metal Forming - Die</t>
  </si>
  <si>
    <t>Sand Casting - Die</t>
  </si>
  <si>
    <t>Sand Casting - Sand Core Package</t>
  </si>
  <si>
    <t>Welds - Welding Fixture</t>
  </si>
  <si>
    <t>Brazing Fixture</t>
  </si>
  <si>
    <t>P/N</t>
  </si>
  <si>
    <t>00001</t>
  </si>
  <si>
    <t>A0001</t>
  </si>
  <si>
    <t>Tooling Table.  Posted Version 1.4, 28-Nov-2010</t>
  </si>
  <si>
    <t>[Quantity]*([C1]*[Size1])</t>
  </si>
  <si>
    <t>AN386 up to 6.35mm</t>
  </si>
  <si>
    <t>Tapered Pin, Threaded (AN386)</t>
  </si>
  <si>
    <t>[Quantity]*([C1]*[Size1]^2*[Size2]+[C2])</t>
  </si>
  <si>
    <t>[Quantity]*([C1]*[Size1]*[Size2]+[C2])</t>
  </si>
  <si>
    <t>[Quantity]*([C1]*[Size1]+[C2])</t>
  </si>
  <si>
    <t>[Quantity]*([C1]*EXP([C2]*[Size1]))</t>
  </si>
  <si>
    <t>[Quantity]*(([C1]*EXP([C2]*[Size1])))</t>
  </si>
  <si>
    <t>Alcoa Camloc Fastener 1/4 turn</t>
  </si>
  <si>
    <t>Warning! Check Added/Modified Date to make sure you have the current costs.  Some errors were found in the hose clamp equations in the calc price cell.</t>
  </si>
  <si>
    <t>Warning!  Calc Price displays a value when Size 1 and Size 2 (if applicable) are entered.  Make sure to read what Size1 and Size2 refer to in the comments field, fill out the appropriate size values before using calc price.</t>
  </si>
  <si>
    <t>Version 3.2</t>
  </si>
  <si>
    <t>Orbital</t>
  </si>
  <si>
    <t>Wheel, 13", 1 Piece, Orbital 861, Aluminum</t>
  </si>
  <si>
    <t>Wheel Center, Any Size, Student Made</t>
  </si>
  <si>
    <t>Yokohoma</t>
  </si>
  <si>
    <t>Tire, Yokohoma, ADVAN Wet, 13" 160-55</t>
  </si>
  <si>
    <t>Tire, Yokohoma, ADVAN Dry, 13" 160-55</t>
  </si>
  <si>
    <t>Plug/L.P./Pipe/Allen Head/Aluminum/Anodized</t>
  </si>
  <si>
    <t>Plug/L.P./O-Ring Boss//Aluminum/Anodized</t>
  </si>
  <si>
    <t>Plug/L.P./Flare//Steel/</t>
  </si>
  <si>
    <t>Locknut/L.P./Flare//Aluminum/Anodized</t>
  </si>
  <si>
    <t>Locknut/L.P.///Steel/</t>
  </si>
  <si>
    <t>Fitting/L.P./Tube Sleeve/Steel/</t>
  </si>
  <si>
    <t>Fitting/L.P./Tube Sleeve/Brass</t>
  </si>
  <si>
    <t>Fitting/L.P./Tube Sleeve//Aluminum/Anodized</t>
  </si>
  <si>
    <t>Fitting/L.P./Tube Nut//Steel/</t>
  </si>
  <si>
    <t>Fitting/L.P./Tube Nut//Aluminum/Anodized</t>
  </si>
  <si>
    <t>Fitting/L.P./Tee/Flare-Flare-Pipe/Steel/</t>
  </si>
  <si>
    <t>Fitting/L.P./Straight/Steel/</t>
  </si>
  <si>
    <t>Fitting/L.P./Straight/Aluminum/Nickel-Plated</t>
  </si>
  <si>
    <t>Fitting/L.P./Straight/Aluminum/Crimp</t>
  </si>
  <si>
    <t>Fitting/L.P./Straight/Aluminum/Anodized</t>
  </si>
  <si>
    <t>Fitting/L.P./Orb/90 deg./Aluminum/</t>
  </si>
  <si>
    <t>Fitting/L.P./Orb/45 deg./Aluminum/</t>
  </si>
  <si>
    <t>Fitting/L.P./Male Pipe//Aluminum/</t>
  </si>
  <si>
    <t>Fitting/L.P./Male Flare to Pipe//Aluminum/Anodized</t>
  </si>
  <si>
    <t>Fitting/L.P./Elbow/90 deg./Steel/</t>
  </si>
  <si>
    <t>Fitting/L.P./Elbow/90 deg./Aluminum/Nickel-Plated</t>
  </si>
  <si>
    <t>Fitting/L.P./Elbow/90 deg./Aluminum/Crimp</t>
  </si>
  <si>
    <t>Fitting/L.P./Elbow/90 deg./Aluminum/Anodized</t>
  </si>
  <si>
    <t>Fitting/L.P./Elbow/60 deg./Aluminum/Crimp</t>
  </si>
  <si>
    <t>Fitting/L.P./Elbow/60 deg./Aluminum/Anodized</t>
  </si>
  <si>
    <t>Fitting/L.P./Elbow/45 deg./Steel/</t>
  </si>
  <si>
    <t>Fitting/L.P./Elbow/45 deg./Aluminum/Nickel-Plated</t>
  </si>
  <si>
    <t>Fitting/L.P./Elbow/45 deg./Aluminum/Crimp</t>
  </si>
  <si>
    <t>Fitting/L.P./Elbow/45 deg./Aluminum/Anodized</t>
  </si>
  <si>
    <t>Fitting/L.P./Elbow/30 deg./Aluminum/Crimp</t>
  </si>
  <si>
    <t>Fitting/L.P./Elbow/30 deg./Aluminum/Anodized</t>
  </si>
  <si>
    <t>Fitting/L.P./Elbow/180 deg./Aluminum/Crimp</t>
  </si>
  <si>
    <t>Fitting/L.P./Elbow/180 deg./Aluminum/Anodized</t>
  </si>
  <si>
    <t>Fitting/L.P./Elbow/150 deg./Aluminum/Crimp</t>
  </si>
  <si>
    <t>Fitting/L.P./Elbow/150 deg./Aluminum/Anodized</t>
  </si>
  <si>
    <t>Fitting/L.P./Elbow/120 deg./Aluminum/Crimp</t>
  </si>
  <si>
    <t>Fitting/L.P./Elbow/120 deg./Aluminum/Anodized</t>
  </si>
  <si>
    <t>Fitting/L.P./Cap//Steel/</t>
  </si>
  <si>
    <t>Fitting/L.P./Cap//Aluminum/Anodized</t>
  </si>
  <si>
    <t>Fitting/H.P./Straight//Steel/</t>
  </si>
  <si>
    <t>Fitting/H.P./MAluminume Pipe//Steel/</t>
  </si>
  <si>
    <t>Fitting/H.P./MAluminume Pipe//Brass/</t>
  </si>
  <si>
    <t>Fitting/H.P./MAluminume Inverted Flare/90 deg./Steel/</t>
  </si>
  <si>
    <t>Fitting/H.P./MAluminume Inverted Flare/45 deg./Steel/</t>
  </si>
  <si>
    <t>Fitting/H.P./MAluminume Inverted Flare//Steel/</t>
  </si>
  <si>
    <t>Fitting/H.P./MAluminume Inverted Flare//Brass/</t>
  </si>
  <si>
    <t>Fitting/H.P./MAluminume Flare//Brass/</t>
  </si>
  <si>
    <t>Fitting/H.P./Elbow/90 deg./Steel/</t>
  </si>
  <si>
    <t>Fitting/H.P./Elbow/45 deg./Steel/</t>
  </si>
  <si>
    <t>Any size, materiAluminum</t>
  </si>
  <si>
    <t>Adapter/L.P./Union/FeMale Flare//Aluminum/Anodized</t>
  </si>
  <si>
    <t>Adapter/L.P./Union/90 deg./Brass</t>
  </si>
  <si>
    <t>Adapter/L.P./Union/90 deg./Aluminum/Anodized</t>
  </si>
  <si>
    <t>Adapter/L.P./Union//Aluminum/Anodized</t>
  </si>
  <si>
    <t>Adapter/L.P./Union Tee//Brass/</t>
  </si>
  <si>
    <t>Adapter/L.P./Union Tee//Aluminum/Anodized</t>
  </si>
  <si>
    <t>Adapter/L.P./Union Reducer//Brass</t>
  </si>
  <si>
    <t>Adapter/L.P./Union Reducer//Aluminum/Anodized</t>
  </si>
  <si>
    <t>Adapter/L.P./Pipe to Pipe//Aluminum/Anodized</t>
  </si>
  <si>
    <t>Adapter/L.P./Pipe Coupling//Aluminum/Anodized</t>
  </si>
  <si>
    <t>Adapter/L.P./Male Run Tee//Steel/</t>
  </si>
  <si>
    <t>Adapter/L.P./Male Run Tee//Aluminum/Anodized</t>
  </si>
  <si>
    <t>Adapter/L.P./Male Pip Nipple//Aluminum/Anodized</t>
  </si>
  <si>
    <t>Adapter/L.P./Male Flare to Pipe/90 deg./Steel/</t>
  </si>
  <si>
    <t>Adapter/L.P./Male Flare to Pipe/90 deg./Brass/</t>
  </si>
  <si>
    <t>Adapter/L.P./Male Flare to Pipe/90 deg./Aluminum/Nickel-Plated</t>
  </si>
  <si>
    <t>Adapter/L.P./Male Flare to Pipe/90 deg./Aluminum/Anodized</t>
  </si>
  <si>
    <t>Adapter/L.P./Male Flare to Pipe/45 deg./Steel/</t>
  </si>
  <si>
    <t>Adapter/L.P./Male Flare to Pipe/45 deg./Aluminum/Nickel-Plated</t>
  </si>
  <si>
    <t>Adapter/L.P./Male Flare to Pipe/45 deg./Aluminum/Anodized</t>
  </si>
  <si>
    <t>Adapter/L.P./Male Flare to Pipe//Steel/</t>
  </si>
  <si>
    <t>Adapter/L.P./Male Flare to Pipe//Brass/</t>
  </si>
  <si>
    <t>Adapter/L.P./Male Flare to Pipe//Aluminum/Nickel-Plated</t>
  </si>
  <si>
    <t>Adapter/L.P./Male Branch Tee//Aluminum/Anodized</t>
  </si>
  <si>
    <t>Adapter/L.P./FemAle Pipe to Male Flare//Steel/</t>
  </si>
  <si>
    <t>Adapter/L.P./Female Pipe Tee//Aluminum/Anodized</t>
  </si>
  <si>
    <t>Adapter/L.P./Female Flare Tee//Brass</t>
  </si>
  <si>
    <t>Adapter/L.P./Female Flare Tee//Aluminum/Anodized</t>
  </si>
  <si>
    <t>Adapter/L.P./Elbow/FeMale to Male Pipe/90 deg./Aluminum/Anodized</t>
  </si>
  <si>
    <t>Adapter/L.P./Bulkhead Union/90 deg./Steel/</t>
  </si>
  <si>
    <t>Adapter/L.P./Bulkhead Union/90 deg./Aluminum/Anodized</t>
  </si>
  <si>
    <t>Adapter/L.P./Bulkhead Union/45 deg./Steel/</t>
  </si>
  <si>
    <t>Adapter/L.P./Bulkhead Union/45 deg./Aluminum/Anodized</t>
  </si>
  <si>
    <t>Adapter/L.P./Bulkhead Union//Steel/</t>
  </si>
  <si>
    <t>Adapter/L.P./Bulkhead Union//Aluminum/Anodized</t>
  </si>
  <si>
    <t>Adapter/L.P./Bulkhead Tee//Steel/</t>
  </si>
  <si>
    <t>Adapter/L.P./Bulkhead Tee//Aluminum/Anodized</t>
  </si>
  <si>
    <t>Adapter/L.P./Bulkhead Run Tee//Steel/</t>
  </si>
  <si>
    <t>Adapter/L.P./Bulkhead Run Tee//Aluminum/Anodized</t>
  </si>
  <si>
    <t>Adapter/L.P./Bulkhead Male Connector//Steel/</t>
  </si>
  <si>
    <t>Adapter/L.P./Barb to Male Pipe/90 Deg./Aluminum/Anodized</t>
  </si>
  <si>
    <t>Adapter/L.P./Barb to Male Pipe/Straight/Aluminum/Anodized</t>
  </si>
  <si>
    <t>Adapter/L.P.///Aluminum/Anodized</t>
  </si>
  <si>
    <t>New high tech engines, 3-5 valves per cylinder, etc.  Engine cost includes tranmission (whether integral or not by design) and  all components necessary to run including spark plugs, coils, wires, oil filter, etc.  with the exception of the air induction and fuel system components.  Cost includes engine as received by manufacturer but not custom parts such as dry sump pans, PCV changes, etc.  Fully Internal engine changes are free.  If covers or other parts are removed disassembly labor must be included in labor coSteel</t>
  </si>
  <si>
    <t>Industrial engines, etc.  Engine cost includes tranmission (whether integral or not by design) and  all components necessary to run including spark plugs, coils, wires, oil filter, etc.  with the exception of the air induction and fuel system components.  Cost includes engine as received by manufacturer but not custom parts such as dry sump pans, PCV changes, etc.  Fully Internal engine changes are free.  If covers or other parts are removed disassembly labor must be included in labor coSteel</t>
  </si>
  <si>
    <t>Normal motorcycle engines with 2 valves per cylinder, etc.  Engine cost includes tranmission (whether integral or not by design) and all components necessary to run including spark plugs, coils, wires, oil filter, etc. with the exception of the air induction and fuel system components.  Cost includes engine as received by manufacturer but not custom parts such as dry sump pans, PCV changes, etc.  Fully Internal engine changes are free.  If covers or other parts are removed disassembly labor must be included in labor coSteel</t>
  </si>
  <si>
    <t>Can be used for 'ready to drive sound' for electric</t>
  </si>
  <si>
    <t>Speaker</t>
  </si>
  <si>
    <t>Used for general actuation.  For more specefic motors please submit an Add Item RequeSteel</t>
  </si>
  <si>
    <t>Constant Velocity Joint, Stub-shaft (All Cost as Made)</t>
  </si>
  <si>
    <t>3-Needle bearing plunging, includes grease, does not inlucde housing which is cost as made</t>
  </si>
  <si>
    <t>6-Ball Non-plunging, includeas grease, does not inlucde housing which is cost as made</t>
  </si>
  <si>
    <t>6-Ball plunging, includes grease, does not inlucde housing which is cost as made</t>
  </si>
  <si>
    <t>Constant Velocity Joint, Housing (All Cost as Made)</t>
  </si>
  <si>
    <t>Piggyback, Non-adjustable</t>
  </si>
  <si>
    <t>Damper, Penske 7800-Piggyback Non-Adj.(Kaz Tech.)</t>
  </si>
  <si>
    <t>Damper, Penske 7800-Piggyback Dbl. Adj. (Kaz Tech.)</t>
  </si>
  <si>
    <t>Non-adjustable Quarter Midget</t>
  </si>
  <si>
    <t>Damper, Penske 7800-Non-Adjustable Quarter Midget</t>
  </si>
  <si>
    <t>ECU, Performance Electronics, PE-ECU-3</t>
  </si>
  <si>
    <t>Beringer</t>
  </si>
  <si>
    <t>Brake Caliper, Beringer, 2D1</t>
  </si>
  <si>
    <t>Brake Caliper, Beringer, 4H12</t>
  </si>
  <si>
    <t>Brake Caliper, Beringer, 4H02</t>
  </si>
  <si>
    <t>[Size1]=Ball diameter (mm).  Any steel materiAluminum  This material is for a single steel sphere ball, not a complete bearing.</t>
  </si>
  <si>
    <t>Calc Value</t>
  </si>
  <si>
    <t>Added cost calculation</t>
  </si>
  <si>
    <t>Materials Cross Reference List Table.  Commonly asked about items that do not appear in the table, or how to find them.</t>
  </si>
  <si>
    <t>Process Multipliers Table.  Posted Version 1.3, 28-Nov-2010</t>
  </si>
  <si>
    <t>Materials Table.  Posted Version 14.0, 25-Apr-2012</t>
  </si>
  <si>
    <t>Balance Bar Cable Adjuster, Racetech, Any BBAxx series</t>
  </si>
  <si>
    <t>Racetech</t>
  </si>
  <si>
    <t>Chassis Control Module, +Electronic Brake Bias</t>
  </si>
  <si>
    <t>Chassis Control Module, + Battery Management System</t>
  </si>
  <si>
    <t>EV - Control Module</t>
  </si>
  <si>
    <t>channel</t>
  </si>
  <si>
    <t>See tab "EV" for more information</t>
  </si>
  <si>
    <t>ECU, Rapid Prototyping</t>
  </si>
  <si>
    <t>i.e. dSpace, ETAS.  See tab "EV" for more information</t>
  </si>
  <si>
    <t>ECU, Automotive</t>
  </si>
  <si>
    <t>i.e. TTC.  See tab "EV" for more information</t>
  </si>
  <si>
    <t>ECU, student built</t>
  </si>
  <si>
    <t>Student built</t>
  </si>
  <si>
    <t>ECU, Industrial</t>
  </si>
  <si>
    <t>i.e. Siemens, B&amp;R.  See tab "EV" for more information</t>
  </si>
  <si>
    <t>Chassis Control Module, + Isolation Monitoring Device</t>
  </si>
  <si>
    <t>e.g. Bender ISO F1.  See tab "EV" for more information</t>
  </si>
  <si>
    <t>Chassis Control Module, + Power Distribution Module</t>
  </si>
  <si>
    <t>Chassis Control Module, + TSAL</t>
  </si>
  <si>
    <t>Chassis Control Module, + TSAS, buzzer</t>
  </si>
  <si>
    <t>Chassis Control Module, + TSAS, melody</t>
  </si>
  <si>
    <t>Chassis Control Module, + DCDC-Power (&gt;1A) HV-&gt;LV</t>
  </si>
  <si>
    <t>Chassis Control Module, + Battery Charger HV</t>
  </si>
  <si>
    <t>kW</t>
  </si>
  <si>
    <t>Chassis Control Module, + Battery Charger LV</t>
  </si>
  <si>
    <t>pack</t>
  </si>
  <si>
    <t>Chassis Control Module, + Motor Controller AC</t>
  </si>
  <si>
    <t>Chassis Control Module, + Motor Controller DC</t>
  </si>
  <si>
    <t>Chassis Control Module, + HV Insulation Relay</t>
  </si>
  <si>
    <t>Chassis Control Module, + HV Precharge</t>
  </si>
  <si>
    <t>Chassis Control Module, + HV Housing</t>
  </si>
  <si>
    <t>Chassis Control Module, + HC-HV Fuse incl. Box</t>
  </si>
  <si>
    <t>Battery, Tractive Lithium</t>
  </si>
  <si>
    <t>EV - Electronics</t>
  </si>
  <si>
    <t>kWh</t>
  </si>
  <si>
    <t>Motor, Tractive AC</t>
  </si>
  <si>
    <t>EV - Tractive Drive</t>
  </si>
  <si>
    <t>Motor, Tractive DC</t>
  </si>
  <si>
    <t>Wiring HV (&gt; 12 mm2)</t>
  </si>
  <si>
    <t>Conduit incl. Nuts, Elbows etc.</t>
  </si>
  <si>
    <t>Connector, HC-HV Lug Type</t>
  </si>
  <si>
    <t>pin</t>
  </si>
  <si>
    <t>Connector, HC-HV incl. Interlock</t>
  </si>
  <si>
    <t>Dry Sump Pump, Aviad, 003-32000</t>
  </si>
  <si>
    <t>Aviad</t>
  </si>
  <si>
    <t>2 stage, non regulating</t>
  </si>
  <si>
    <t>Fitting, Push-to-Connect, Plastic, Elbow 90deg</t>
  </si>
  <si>
    <t>Teflon PTFE, PTFE (polytetrafluoroethylene), ETFE (ethylene tetrafluoroethylene), PFA (perfluoroalkoxy fluorocarbon), CTFE (chlorotrifluoroethylene), PVDF (Kynar), ECTFE (Halar), FEP (fluorinated ethylene-propylene), Rulon</t>
  </si>
  <si>
    <t>Process Table.  Posted Version 7, 30-Mar-2012</t>
  </si>
  <si>
    <t>Vacuum Form</t>
  </si>
  <si>
    <t>Engine first start, includes fuel</t>
  </si>
  <si>
    <t>Includes Fuel</t>
  </si>
  <si>
    <t>1. Introduction</t>
  </si>
  <si>
    <t>The addition of the Electric vehicle category of cost components ugprdades the cost tables to now include fully parameterized costs for all components needed by electric vehicles.  Thanks to the organizers of the Austrian and Australian competitions for the work that went into determining these costs.</t>
  </si>
  <si>
    <t>2. Materials parameterization clarification</t>
  </si>
  <si>
    <t>2.1. ECU, Rapid Prototyping</t>
  </si>
  <si>
    <t>This covers the dSpace microAutoBox and similar systems from ETAS and other suppliers. Those Units are differentiated by their deigned targets being Lab cars, HIL systems and prototype vehicles.</t>
  </si>
  <si>
    <t>2.2. ECU, Automotive</t>
  </si>
  <si>
    <t>ECU designed for small- or large series application.</t>
  </si>
  <si>
    <t>2.3. ECU, Industrial</t>
  </si>
  <si>
    <t>Industrial Automation – type Control units, e.g. Siemens SiMatic and similar systems from B&amp;R and other suppliers. If you have a full system with e.g. Inverter and control modules, you will need to cost both separately (see 2.5.10)</t>
  </si>
  <si>
    <t>2.4. ECU, EV, student built</t>
  </si>
  <si>
    <t>Use this item if you run your vehicle control (driver wish to motor torque request) on a self-designed unit, usually some kind of microcontroller + I/O. You will have to use the ECU add-ons (e.g. Traction Control) from the materials table if you have those features.</t>
  </si>
  <si>
    <t>2.5. Chassis Control Modules</t>
  </si>
  <si>
    <t>Since the System Topology of each EV will probably be different, we decided to stick to the Cost Committee recommendation to cost the EV function “boxes” as Chassis Control Module (CCM) functions. This allows for individual functionality “grouping”. For each “box” in your car you need “Chassis Control Module, Baseline Enclosure” and one or more of the functionalities from the EV table. The “baseline” CCM covers whatever Power supply, MCU, PCB, wiring etc. you have in your box.</t>
  </si>
  <si>
    <t>2.5.1. Chassis Control Module, + Battery Management System</t>
  </si>
  <si>
    <t>Use this instead of “Chassis Control Module, +Battery Charger”. Cost of this function is per “channel”. A channel is one “tap” into your battery pack, usually one for each cell in series. If your BMS manages a 12S1P pack, you will probably have 12 channels, if you have a 10S4P, it will probably have 10 channels (although it manages 40 cells!).</t>
  </si>
  <si>
    <t>2.5.2. Chassis Control Module, + Isolation Monitoring Device</t>
  </si>
  <si>
    <t>Your Bender ISO F1 or similar. See also 2.5.14</t>
  </si>
  <si>
    <t>2.5.3. Chassis Control Module, + Power Distribution Module</t>
  </si>
  <si>
    <t>Low voltage power switchbox. This covers “electronic fuse boxes” as well as devices that switch e.g. pumps and fans. Cost is per independently switchable output channel.</t>
  </si>
  <si>
    <t>2.5.4. Chassis Control Module, + TSAL</t>
  </si>
  <si>
    <t>Your tractive system active light as of FSE Rule 7.13. Covers any type, e.g. LED, strobe, regular bulbs. Includes cost for “blink” circuits but not for HV DC-DC converters described in 2.5.7</t>
  </si>
  <si>
    <t>2.5.5. Chassis Control Module, + TSAS, buzzer</t>
  </si>
  <si>
    <t>Your tractive system active sound as of FSE rule 7.18, if you use a piezo buzzer similar device.</t>
  </si>
  <si>
    <t>2.5.6. Chassis Control Module, + TSAS, melody</t>
  </si>
  <si>
    <t>Your tractive system active sound 7.18, if you use a speaker to play a melody, or a sound clip.</t>
  </si>
  <si>
    <t>2.5.7. Chassis Control Module, + DCDC-Power (&gt;1A) HV-&gt;LV</t>
  </si>
  <si>
    <t>DC/DC switching type voltage converter to generate low voltage from the tractive system high voltage supply.</t>
  </si>
  <si>
    <t>2.5.8. Chassis Control Module, + DCDC-Power LV-&gt;LV</t>
  </si>
  <si>
    <t>DC/DC switching type voltage converter to generate a powerful low voltage supply from another low voltage, e.g. 24V or 48V control system supply from 12V. Not needed for low power sensor supplies.</t>
  </si>
  <si>
    <t>2.5.9. Chassis Control Module, + Battery Charger HV</t>
  </si>
  <si>
    <t>Battery charger for your HV Battery, if mounted on the car. Cost is per kW (rated) charging power</t>
  </si>
  <si>
    <t>2.5.10. Chassis Control Module, + Motor Controller AC</t>
  </si>
  <si>
    <t>Inverter for one AC drive motor. You will need one for every motor. Includes the cost for low capacity HV capacitors. The cost is per kW continuous power. If this figure is not available, use (peak power * 0.5)</t>
  </si>
  <si>
    <t>2.5.11. Chassis Control Module, + Motor Controller DC</t>
  </si>
  <si>
    <t>Controller for DC drive motors. Use one for each independently controllable motor. Includes the cost for low capacity HV capacitors. The cost is per kW continuous power. If this figure is not available, use (peak power * 0.5)</t>
  </si>
  <si>
    <t>2.5.12. Chassis Control Module, + HV Insulation Relay</t>
  </si>
  <si>
    <t>Single-line HV insulation relay. Does not include cost for the electronics to switch it on or off.</t>
  </si>
  <si>
    <t>2.5.13. Chassis Control Module, + HV Precharge</t>
  </si>
  <si>
    <t>Single HV precharge circuit, complete with low-power HV relay, power resistor(s) and wiring. If you have multiple precharge circuits in your car (e.g. multiple battery containments) you will need a matching number.</t>
  </si>
  <si>
    <t>2.5.14. Chassis Control Module, + HV Housing</t>
  </si>
  <si>
    <t>You will need to add this item to each CCM that has high voltage inside. This adjusts for the higher cost of insulation, shielding etc. on these modules. This includes wire glands fitted to the case. Note that the CCM costs do not include HV wiring leaving the module, this has to be costed separately as wiring + e.g. lugs.</t>
  </si>
  <si>
    <t>2.5.15. Chassis Control Module, + HC-HV Fuse incl. Box</t>
  </si>
  <si>
    <t>The high voltage fuse element includes fuse, fuse holder, cover, terminals.</t>
  </si>
  <si>
    <t>2.6. Battery, Tractive Lithium</t>
  </si>
  <si>
    <t>Tractive system battery. Cost is per kWh and includes the PCBs, rails or whatever you use to electrically connect the cells to a pack. Note that the battery containers, carrier, etc. has to be cost separately!</t>
  </si>
  <si>
    <t>2.7. Motor, Tractive AC</t>
  </si>
  <si>
    <t>Cost per kW continuous power. Use peak power * 0.5 if this figure is not available.</t>
  </si>
  <si>
    <t>2.8. Motor, Tractive DC</t>
  </si>
  <si>
    <t>2.9. Wiring HV (&gt; 12 mm²)</t>
  </si>
  <si>
    <t>HV wiring, any style ((non) shielded, solid/stranded, etc..). Cost per mm² conductive cross section and meter length.</t>
  </si>
  <si>
    <t>2.10. Conduit incl. Nuts, Elbows etc.</t>
  </si>
  <si>
    <t>HV wiring conduit as required by FSE rule 7.11. Any type, color and diameter. Includes cost for small parts to connect the conduit, e.g. elbows, nuts, plastic glands etc.</t>
  </si>
  <si>
    <t>2.11. Connector, HC-HV Lug Type</t>
  </si>
  <si>
    <t>Single-wire lug type connector for HV wiring as described in 2.9. Any size and style.</t>
  </si>
  <si>
    <t>2.12. Connector, HC-HV incl. Interlock</t>
  </si>
  <si>
    <t>Insulated HV connector, any style, cost per HV Pin. Includes cost for small pilot/interlock/grounding pins and casing.</t>
  </si>
  <si>
    <t>3. Electric vehicle cost model example</t>
  </si>
  <si>
    <t>3.1. Abstract &amp; Terminology</t>
  </si>
  <si>
    <t>Here we will provide you with a simple example of how the tractive system of an electric vehicle could be costed using the provided table. Fig.1 shows the principal layout of that vehicle. Note that this vehicle may not fulfill the FSE rules!</t>
  </si>
  <si>
    <t>3.2. Battery</t>
  </si>
  <si>
    <t>The battery of this vehicle consists of 72x 45Ah Lithium Cells connected in series but split into 6 containers. The overall capacity is therefore 6 x 12 x 45Ah x 3,7V = 11,98 kWH which will cost $600/kWh x 11,98 kWh = $7188</t>
  </si>
  <si>
    <t>3.3. Battery Management</t>
  </si>
  <si>
    <t>Each one of the six battery containers has one BMS board inside, which monitors the 12 cells and therefore has 12 channels. In the cost report:</t>
  </si>
  <si>
    <t>6x Chassis Control Module, baseline enclosure = 6 x $25</t>
  </si>
  <si>
    <t>6x Chassis Control Module + Battery Management System (12 ch.) = $20 x 12 = 6x $240</t>
  </si>
  <si>
    <t>3.4. Electronic Control Unit</t>
  </si>
  <si>
    <t>The car uses a dSpace MicroAutoBox as ECU, which qualifies as a Rapid Prototyping System and will therefore cost $5000.</t>
  </si>
  <si>
    <t>3.5. IMD and TSAL/TSAS</t>
  </si>
  <si>
    <t>On this car the IMD is integrated with the HV relay and TSAL/TSAS driver into one device.</t>
  </si>
  <si>
    <t>In the cost report, this would look like this</t>
  </si>
  <si>
    <t>Chassis Control Module, baseline enclosure $25</t>
  </si>
  <si>
    <t>Chassis Control Module, + IMD $300</t>
  </si>
  <si>
    <t>Chassis Control Module + PDU (4ch.) $28 (3 for the relays, 1 for the TSAL+TSAS)</t>
  </si>
  <si>
    <t>Chassis Control Module + TSAL $10</t>
  </si>
  <si>
    <t>Chassis Control Module + TSAS, buzzer $5</t>
  </si>
  <si>
    <t>Chassis Control Module + HV housing $25</t>
  </si>
  <si>
    <t>3.6. Motors</t>
  </si>
  <si>
    <t>The car has dual DC motors, which are rated at 20 kW continuous power each:</t>
  </si>
  <si>
    <t>2x Motor, Tractive DC 20x $50 = $1000 2x $1000</t>
  </si>
  <si>
    <t>3.7. Motor Controller</t>
  </si>
  <si>
    <t>The car uses a two-channel DC power stage which is rated at 25kW continuous power per channel:</t>
  </si>
  <si>
    <t>1x Chassis Control Module, baseline enclosure $25</t>
  </si>
  <si>
    <t>2x Chassis Control Module, + Motor Controller DC 2x $562,5 (=25x $22,5)</t>
  </si>
  <si>
    <t>1x Chassis Control Module + HV housing $25</t>
  </si>
  <si>
    <t>3.8. PDU</t>
  </si>
  <si>
    <t>The PDU is a stand-alone device acting as an electronic fuse box and providing the ECU, and 4 other systems with power</t>
  </si>
  <si>
    <t>Chassis Control Module, + PDU (5ch.) $35</t>
  </si>
  <si>
    <t>3.9. LV-Battery</t>
  </si>
  <si>
    <t>The LV Battery is a low-performance LiIon 13,2V pack weighing about 1,2 kg.</t>
  </si>
  <si>
    <t>Battery, advanced Chemistry $65/kg * 1,2kg $78</t>
  </si>
  <si>
    <t>3.10. HV Wiring &amp; systems</t>
  </si>
  <si>
    <t>The wiring is not explained here, the standard harness process applies. The battery containment houses the 6 battery packs as well as the precharge circuit and HV Fuse:</t>
  </si>
  <si>
    <t>Chassis Control Module, +HV Fuse $100</t>
  </si>
  <si>
    <t>Chassis Control Module, + HV Precharge $50</t>
  </si>
</sst>
</file>

<file path=xl/styles.xml><?xml version="1.0" encoding="utf-8"?>
<styleSheet xmlns="http://schemas.openxmlformats.org/spreadsheetml/2006/main" xmlns:mc="http://schemas.openxmlformats.org/markup-compatibility/2006" xmlns:x14ac="http://schemas.microsoft.com/office/spreadsheetml/2009/9/ac" mc:Ignorable="x14ac">
  <numFmts count="19">
    <numFmt numFmtId="164" formatCode="_(&quot;$&quot;* #,##0.00_);_(&quot;$&quot;* \(#,##0.00\);_(&quot;$&quot;* &quot;-&quot;??_);_(@_)"/>
    <numFmt numFmtId="165" formatCode="_(* #,##0.00_);_(* \(#,##0.00\);_(* &quot;-&quot;??_);_(@_)"/>
    <numFmt numFmtId="166" formatCode="0.000"/>
    <numFmt numFmtId="167" formatCode="_(&quot;$&quot;* #,##0.000_);_(&quot;$&quot;* \(#,##0.000\);_(&quot;$&quot;* &quot;-&quot;??_);_(@_)"/>
    <numFmt numFmtId="169" formatCode="&quot;$&quot;#,##0.00"/>
    <numFmt numFmtId="170" formatCode="0.00000"/>
    <numFmt numFmtId="171" formatCode="0.0000"/>
    <numFmt numFmtId="172" formatCode="&quot;$&quot;#,##0.00;\(&quot;$&quot;#,##0.00\)"/>
    <numFmt numFmtId="173" formatCode="#,##0.0000_);\(#,##0.0000\)"/>
    <numFmt numFmtId="174" formatCode="_(* #,##0.000_);_(* \(#,##0.000\);_(* &quot;-&quot;??_);_(@_)"/>
    <numFmt numFmtId="175" formatCode="#,##0.000_);\(#,##0.000\)"/>
    <numFmt numFmtId="176" formatCode="_(&quot;$&quot;* #,##0_);_(&quot;$&quot;* \(#,##0\);_(&quot;$&quot;* &quot;-&quot;??_);_(@_)"/>
    <numFmt numFmtId="177" formatCode="d\-mmm\-yy;@"/>
    <numFmt numFmtId="178" formatCode="\$#,##0.00"/>
    <numFmt numFmtId="179" formatCode="_(\$* #,##0.00_);_(\$* \(#,##0.00\);_(\$* \-??_);_(@_)"/>
    <numFmt numFmtId="180" formatCode="\$#,##0.00_);[Red]&quot;($&quot;#,##0.00\)"/>
    <numFmt numFmtId="181" formatCode="_(\$* #,##0.0000_);_(\$* \(#,##0.0000\);_(\$* \-??_);_(@_)"/>
    <numFmt numFmtId="182" formatCode="_(\$* #,##0.000_);_(\$* \(#,##0.000\);_(\$* \-??_);_(@_)"/>
    <numFmt numFmtId="183" formatCode="dd/mmm/yy"/>
  </numFmts>
  <fonts count="29" x14ac:knownFonts="1">
    <font>
      <sz val="11"/>
      <color theme="1"/>
      <name val="Calibri"/>
      <family val="2"/>
      <scheme val="minor"/>
    </font>
    <font>
      <sz val="11"/>
      <color indexed="8"/>
      <name val="Calibri"/>
      <family val="2"/>
    </font>
    <font>
      <sz val="10"/>
      <name val="Arial"/>
      <family val="2"/>
    </font>
    <font>
      <sz val="11"/>
      <color indexed="17"/>
      <name val="Calibri"/>
      <family val="2"/>
    </font>
    <font>
      <b/>
      <sz val="11"/>
      <color indexed="8"/>
      <name val="Calibri"/>
      <family val="2"/>
    </font>
    <font>
      <sz val="11"/>
      <color theme="1"/>
      <name val="Calibri"/>
      <family val="2"/>
      <scheme val="minor"/>
    </font>
    <font>
      <b/>
      <sz val="11"/>
      <color rgb="FFFA7D00"/>
      <name val="Calibri"/>
      <family val="2"/>
      <scheme val="minor"/>
    </font>
    <font>
      <b/>
      <sz val="11"/>
      <color theme="0"/>
      <name val="Calibri"/>
      <family val="2"/>
      <scheme val="minor"/>
    </font>
    <font>
      <sz val="11"/>
      <color rgb="FF006100"/>
      <name val="Calibri"/>
      <family val="2"/>
      <scheme val="minor"/>
    </font>
    <font>
      <sz val="10"/>
      <name val="MS Sans Serif"/>
    </font>
    <font>
      <sz val="11"/>
      <name val="Calibri"/>
      <family val="2"/>
    </font>
    <font>
      <sz val="11"/>
      <color rgb="FF000000"/>
      <name val="Calibri"/>
      <family val="2"/>
    </font>
    <font>
      <sz val="10"/>
      <color indexed="8"/>
      <name val="Arial"/>
      <family val="2"/>
    </font>
    <font>
      <sz val="10"/>
      <name val="Verdana"/>
      <family val="2"/>
    </font>
    <font>
      <b/>
      <sz val="11"/>
      <name val="Calibri"/>
      <family val="2"/>
    </font>
    <font>
      <sz val="10"/>
      <name val="MS Sans Serif"/>
      <family val="2"/>
    </font>
    <font>
      <u/>
      <sz val="10"/>
      <color theme="10"/>
      <name val="MS Sans Serif"/>
      <family val="2"/>
    </font>
    <font>
      <u/>
      <sz val="11"/>
      <name val="Calibri"/>
      <family val="2"/>
    </font>
    <font>
      <u/>
      <sz val="11"/>
      <color theme="10"/>
      <name val="Calibri"/>
      <family val="2"/>
    </font>
    <font>
      <sz val="11"/>
      <name val="Calibri"/>
      <family val="2"/>
      <scheme val="minor"/>
    </font>
    <font>
      <sz val="11"/>
      <color theme="0"/>
      <name val="Calibri"/>
      <family val="2"/>
    </font>
    <font>
      <sz val="11"/>
      <color indexed="60"/>
      <name val="Calibri"/>
      <family val="2"/>
    </font>
    <font>
      <sz val="11"/>
      <color indexed="20"/>
      <name val="Calibri"/>
      <family val="2"/>
    </font>
    <font>
      <b/>
      <sz val="11"/>
      <color indexed="9"/>
      <name val="Calibri"/>
      <family val="2"/>
    </font>
    <font>
      <sz val="8"/>
      <color indexed="8"/>
      <name val="Arial"/>
      <family val="2"/>
    </font>
    <font>
      <b/>
      <sz val="16"/>
      <name val="Calibri"/>
      <family val="2"/>
    </font>
    <font>
      <sz val="12"/>
      <name val="Calibri"/>
      <family val="2"/>
    </font>
    <font>
      <b/>
      <sz val="12"/>
      <name val="Calibri"/>
      <family val="2"/>
    </font>
    <font>
      <i/>
      <sz val="12"/>
      <name val="Calibri"/>
      <family val="2"/>
    </font>
  </fonts>
  <fills count="22">
    <fill>
      <patternFill patternType="none"/>
    </fill>
    <fill>
      <patternFill patternType="gray125"/>
    </fill>
    <fill>
      <patternFill patternType="solid">
        <fgColor indexed="42"/>
      </patternFill>
    </fill>
    <fill>
      <patternFill patternType="solid">
        <fgColor rgb="FFA5A5A5"/>
      </patternFill>
    </fill>
    <fill>
      <patternFill patternType="solid">
        <fgColor rgb="FFC6EFCE"/>
      </patternFill>
    </fill>
    <fill>
      <patternFill patternType="solid">
        <fgColor theme="0"/>
        <bgColor indexed="64"/>
      </patternFill>
    </fill>
    <fill>
      <patternFill patternType="solid">
        <fgColor rgb="FFF2F2F2"/>
      </patternFill>
    </fill>
    <fill>
      <patternFill patternType="solid">
        <fgColor indexed="22"/>
        <bgColor indexed="0"/>
      </patternFill>
    </fill>
    <fill>
      <patternFill patternType="solid">
        <fgColor indexed="22"/>
        <bgColor indexed="64"/>
      </patternFill>
    </fill>
    <fill>
      <patternFill patternType="solid">
        <fgColor theme="0" tint="-0.249977111117893"/>
        <bgColor indexed="64"/>
      </patternFill>
    </fill>
    <fill>
      <patternFill patternType="solid">
        <fgColor rgb="FFC00000"/>
        <bgColor indexed="64"/>
      </patternFill>
    </fill>
    <fill>
      <patternFill patternType="solid">
        <fgColor rgb="FFC0C0C0"/>
        <bgColor rgb="FFC0C0C0"/>
      </patternFill>
    </fill>
    <fill>
      <patternFill patternType="solid">
        <fgColor rgb="FFFFFF00"/>
        <bgColor indexed="64"/>
      </patternFill>
    </fill>
    <fill>
      <patternFill patternType="solid">
        <fgColor theme="1"/>
        <bgColor indexed="64"/>
      </patternFill>
    </fill>
    <fill>
      <patternFill patternType="solid">
        <fgColor indexed="22"/>
        <bgColor indexed="31"/>
      </patternFill>
    </fill>
    <fill>
      <patternFill patternType="solid">
        <fgColor indexed="13"/>
        <bgColor indexed="34"/>
      </patternFill>
    </fill>
    <fill>
      <patternFill patternType="solid">
        <fgColor indexed="23"/>
        <bgColor indexed="55"/>
      </patternFill>
    </fill>
    <fill>
      <patternFill patternType="solid">
        <fgColor indexed="9"/>
        <bgColor indexed="26"/>
      </patternFill>
    </fill>
    <fill>
      <patternFill patternType="solid">
        <fgColor indexed="43"/>
        <bgColor indexed="26"/>
      </patternFill>
    </fill>
    <fill>
      <patternFill patternType="solid">
        <fgColor indexed="42"/>
        <bgColor indexed="27"/>
      </patternFill>
    </fill>
    <fill>
      <patternFill patternType="solid">
        <fgColor indexed="45"/>
        <bgColor indexed="29"/>
      </patternFill>
    </fill>
    <fill>
      <patternFill patternType="solid">
        <fgColor indexed="55"/>
        <bgColor indexed="23"/>
      </patternFill>
    </fill>
  </fills>
  <borders count="13">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diagonal/>
    </border>
    <border>
      <left style="thin">
        <color indexed="22"/>
      </left>
      <right style="thin">
        <color indexed="22"/>
      </right>
      <top/>
      <bottom/>
      <diagonal/>
    </border>
    <border>
      <left style="thin">
        <color indexed="22"/>
      </left>
      <right/>
      <top/>
      <bottom/>
      <diagonal/>
    </border>
    <border>
      <left/>
      <right/>
      <top style="thin">
        <color indexed="9"/>
      </top>
      <bottom style="thin">
        <color indexed="9"/>
      </bottom>
      <diagonal/>
    </border>
    <border>
      <left style="thin">
        <color indexed="59"/>
      </left>
      <right style="thin">
        <color indexed="59"/>
      </right>
      <top style="thin">
        <color indexed="59"/>
      </top>
      <bottom style="thin">
        <color indexed="59"/>
      </bottom>
      <diagonal/>
    </border>
    <border>
      <left style="double">
        <color indexed="63"/>
      </left>
      <right style="double">
        <color indexed="63"/>
      </right>
      <top style="double">
        <color indexed="63"/>
      </top>
      <bottom style="double">
        <color indexed="63"/>
      </bottom>
      <diagonal/>
    </border>
  </borders>
  <cellStyleXfs count="49">
    <xf numFmtId="0" fontId="0" fillId="0" borderId="0"/>
    <xf numFmtId="0" fontId="7" fillId="3" borderId="4" applyNumberFormat="0" applyAlignment="0" applyProtection="0"/>
    <xf numFmtId="165" fontId="2" fillId="0" borderId="0" applyFont="0" applyFill="0" applyBorder="0" applyAlignment="0" applyProtection="0"/>
    <xf numFmtId="164" fontId="8" fillId="4" borderId="1">
      <alignment vertical="center" wrapText="1"/>
    </xf>
    <xf numFmtId="164" fontId="2" fillId="0" borderId="0" applyFont="0" applyFill="0" applyBorder="0" applyAlignment="0" applyProtection="0"/>
    <xf numFmtId="0" fontId="8" fillId="4" borderId="0" applyNumberFormat="0" applyBorder="0" applyAlignment="0" applyProtection="0"/>
    <xf numFmtId="0" fontId="2" fillId="0" borderId="0"/>
    <xf numFmtId="0" fontId="9" fillId="0" borderId="0"/>
    <xf numFmtId="164" fontId="11" fillId="5" borderId="5">
      <alignment vertical="center" wrapText="1"/>
    </xf>
    <xf numFmtId="0" fontId="6" fillId="6" borderId="3" applyNumberFormat="0" applyAlignment="0" applyProtection="0"/>
    <xf numFmtId="0" fontId="5" fillId="0" borderId="0"/>
    <xf numFmtId="0" fontId="3" fillId="2" borderId="0" applyNumberFormat="0" applyBorder="0" applyAlignment="0" applyProtection="0"/>
    <xf numFmtId="0" fontId="5" fillId="0" borderId="0"/>
    <xf numFmtId="0" fontId="12" fillId="0" borderId="0"/>
    <xf numFmtId="0" fontId="2" fillId="0" borderId="0"/>
    <xf numFmtId="0" fontId="13" fillId="0" borderId="0"/>
    <xf numFmtId="0" fontId="2" fillId="0" borderId="0"/>
    <xf numFmtId="0" fontId="2" fillId="0" borderId="0"/>
    <xf numFmtId="0" fontId="2" fillId="0" borderId="0"/>
    <xf numFmtId="0" fontId="5" fillId="0" borderId="0"/>
    <xf numFmtId="0" fontId="13" fillId="0" borderId="0"/>
    <xf numFmtId="0" fontId="13" fillId="0" borderId="0"/>
    <xf numFmtId="0" fontId="5" fillId="0" borderId="0"/>
    <xf numFmtId="169" fontId="11" fillId="0" borderId="5">
      <alignment vertical="center" wrapText="1"/>
    </xf>
    <xf numFmtId="164" fontId="1" fillId="0" borderId="0" applyFont="0" applyFill="0" applyBorder="0" applyAlignment="0" applyProtection="0"/>
    <xf numFmtId="164" fontId="15" fillId="0" borderId="0" applyFont="0" applyFill="0" applyBorder="0" applyAlignment="0" applyProtection="0"/>
    <xf numFmtId="0" fontId="16" fillId="0" borderId="0" applyNumberFormat="0" applyFill="0" applyBorder="0" applyAlignment="0" applyProtection="0">
      <alignment vertical="top"/>
      <protection locked="0"/>
    </xf>
    <xf numFmtId="165" fontId="15" fillId="0" borderId="0" applyFont="0" applyFill="0" applyBorder="0" applyAlignment="0" applyProtection="0"/>
    <xf numFmtId="165" fontId="1" fillId="0" borderId="0" applyFont="0" applyFill="0" applyBorder="0" applyAlignment="0" applyProtection="0"/>
    <xf numFmtId="166" fontId="11" fillId="0" borderId="5">
      <alignment vertical="center" wrapText="1"/>
    </xf>
    <xf numFmtId="164" fontId="1" fillId="0" borderId="0" applyFont="0" applyFill="0" applyBorder="0" applyAlignment="0" applyProtection="0"/>
    <xf numFmtId="0" fontId="18" fillId="0" borderId="0" applyNumberFormat="0" applyFill="0" applyBorder="0" applyAlignment="0" applyProtection="0">
      <alignment vertical="top"/>
      <protection locked="0"/>
    </xf>
    <xf numFmtId="164" fontId="5" fillId="0" borderId="0" applyFont="0" applyFill="0" applyBorder="0" applyAlignment="0" applyProtection="0"/>
    <xf numFmtId="0" fontId="15" fillId="0" borderId="0"/>
    <xf numFmtId="179" fontId="1" fillId="17" borderId="1">
      <alignment vertical="center" wrapText="1"/>
    </xf>
    <xf numFmtId="179" fontId="21" fillId="18" borderId="1">
      <alignment vertical="center" wrapText="1"/>
    </xf>
    <xf numFmtId="0" fontId="3" fillId="19" borderId="0" applyNumberFormat="0" applyBorder="0" applyAlignment="0" applyProtection="0"/>
    <xf numFmtId="179" fontId="3" fillId="19" borderId="1">
      <alignment vertical="center" wrapText="1"/>
    </xf>
    <xf numFmtId="0" fontId="22" fillId="20" borderId="0" applyNumberFormat="0" applyBorder="0" applyAlignment="0" applyProtection="0"/>
    <xf numFmtId="0" fontId="23" fillId="21" borderId="12" applyNumberFormat="0" applyAlignment="0" applyProtection="0"/>
    <xf numFmtId="179" fontId="15" fillId="0" borderId="0" applyFill="0" applyBorder="0" applyAlignment="0" applyProtection="0"/>
    <xf numFmtId="0" fontId="21" fillId="18" borderId="0" applyNumberFormat="0" applyBorder="0" applyAlignment="0" applyProtection="0"/>
    <xf numFmtId="179" fontId="22" fillId="20" borderId="1">
      <alignment vertical="center" wrapText="1"/>
    </xf>
    <xf numFmtId="0" fontId="1" fillId="0" borderId="0"/>
    <xf numFmtId="0" fontId="3" fillId="19" borderId="0" applyNumberFormat="0" applyBorder="0" applyAlignment="0" applyProtection="0"/>
    <xf numFmtId="0" fontId="1" fillId="0" borderId="0"/>
    <xf numFmtId="164" fontId="15" fillId="0" borderId="0" applyFont="0" applyFill="0" applyBorder="0" applyAlignment="0" applyProtection="0"/>
    <xf numFmtId="165" fontId="15" fillId="0" borderId="0" applyFont="0" applyFill="0" applyBorder="0" applyAlignment="0" applyProtection="0"/>
    <xf numFmtId="164" fontId="5" fillId="0" borderId="0" applyFont="0" applyFill="0" applyBorder="0" applyAlignment="0" applyProtection="0"/>
  </cellStyleXfs>
  <cellXfs count="170">
    <xf numFmtId="0" fontId="0" fillId="0" borderId="0" xfId="0"/>
    <xf numFmtId="0" fontId="0" fillId="0" borderId="0" xfId="0" applyBorder="1"/>
    <xf numFmtId="0" fontId="10" fillId="0" borderId="0" xfId="7" applyFont="1"/>
    <xf numFmtId="0" fontId="10" fillId="0" borderId="0" xfId="7" applyFont="1" applyFill="1" applyBorder="1" applyAlignment="1" applyProtection="1">
      <alignment vertical="center" wrapText="1"/>
    </xf>
    <xf numFmtId="164" fontId="10" fillId="0" borderId="0" xfId="7" applyNumberFormat="1" applyFont="1" applyFill="1" applyBorder="1" applyAlignment="1" applyProtection="1">
      <alignment vertical="center" wrapText="1"/>
    </xf>
    <xf numFmtId="0" fontId="1" fillId="7" borderId="6" xfId="13" applyFont="1" applyFill="1" applyBorder="1" applyAlignment="1">
      <alignment horizontal="center"/>
    </xf>
    <xf numFmtId="0" fontId="1" fillId="0" borderId="0" xfId="13" applyFont="1" applyFill="1" applyBorder="1" applyAlignment="1">
      <alignment wrapText="1"/>
    </xf>
    <xf numFmtId="171" fontId="10" fillId="0" borderId="0" xfId="7" applyNumberFormat="1" applyFont="1" applyAlignment="1">
      <alignment vertical="center"/>
    </xf>
    <xf numFmtId="169" fontId="10" fillId="0" borderId="0" xfId="7" quotePrefix="1" applyNumberFormat="1" applyFont="1" applyFill="1" applyBorder="1" applyAlignment="1" applyProtection="1">
      <alignment vertical="center" wrapText="1"/>
    </xf>
    <xf numFmtId="0" fontId="1" fillId="0" borderId="1" xfId="13" applyFont="1" applyFill="1" applyBorder="1" applyAlignment="1">
      <alignment horizontal="right" wrapText="1"/>
    </xf>
    <xf numFmtId="0" fontId="1" fillId="0" borderId="1" xfId="13" applyFont="1" applyFill="1" applyBorder="1" applyAlignment="1">
      <alignment wrapText="1"/>
    </xf>
    <xf numFmtId="0" fontId="1" fillId="0" borderId="8" xfId="13" applyFont="1" applyFill="1" applyBorder="1" applyAlignment="1">
      <alignment wrapText="1"/>
    </xf>
    <xf numFmtId="0" fontId="1" fillId="0" borderId="9" xfId="13" applyFont="1" applyFill="1" applyBorder="1" applyAlignment="1">
      <alignment wrapText="1"/>
    </xf>
    <xf numFmtId="0" fontId="14" fillId="8" borderId="10" xfId="0" applyNumberFormat="1" applyFont="1" applyFill="1" applyBorder="1"/>
    <xf numFmtId="0" fontId="10" fillId="0" borderId="0" xfId="0" applyNumberFormat="1" applyFont="1" applyFill="1" applyBorder="1"/>
    <xf numFmtId="0" fontId="10" fillId="0" borderId="0" xfId="0" quotePrefix="1" applyNumberFormat="1" applyFont="1" applyFill="1" applyBorder="1" applyAlignment="1">
      <alignment horizontal="right"/>
    </xf>
    <xf numFmtId="0" fontId="10" fillId="0" borderId="0" xfId="24" applyNumberFormat="1" applyFont="1" applyFill="1" applyBorder="1"/>
    <xf numFmtId="0" fontId="10" fillId="0" borderId="0" xfId="28" applyNumberFormat="1" applyFont="1" applyFill="1" applyBorder="1"/>
    <xf numFmtId="0" fontId="10" fillId="0" borderId="0" xfId="0" applyNumberFormat="1" applyFont="1" applyFill="1" applyBorder="1" applyAlignment="1">
      <alignment horizontal="left"/>
    </xf>
    <xf numFmtId="0" fontId="14" fillId="0" borderId="0" xfId="0" applyNumberFormat="1" applyFont="1" applyFill="1" applyBorder="1"/>
    <xf numFmtId="0" fontId="14" fillId="8" borderId="2" xfId="0" applyNumberFormat="1" applyFont="1" applyFill="1" applyBorder="1"/>
    <xf numFmtId="0" fontId="10" fillId="0" borderId="2" xfId="0" applyNumberFormat="1" applyFont="1" applyFill="1" applyBorder="1"/>
    <xf numFmtId="0" fontId="10" fillId="0" borderId="2" xfId="24" applyNumberFormat="1" applyFont="1" applyFill="1" applyBorder="1"/>
    <xf numFmtId="0" fontId="10" fillId="0" borderId="2" xfId="28" applyNumberFormat="1" applyFont="1" applyFill="1" applyBorder="1"/>
    <xf numFmtId="0" fontId="14" fillId="8" borderId="2" xfId="0" applyNumberFormat="1" applyFont="1" applyFill="1" applyBorder="1" applyAlignment="1">
      <alignment horizontal="right"/>
    </xf>
    <xf numFmtId="0" fontId="10" fillId="0" borderId="0" xfId="0" applyNumberFormat="1" applyFont="1" applyFill="1" applyBorder="1" applyAlignment="1">
      <alignment horizontal="right"/>
    </xf>
    <xf numFmtId="0" fontId="14" fillId="9" borderId="2" xfId="0" applyNumberFormat="1" applyFont="1" applyFill="1" applyBorder="1"/>
    <xf numFmtId="0" fontId="14" fillId="10" borderId="2" xfId="0" applyNumberFormat="1" applyFont="1" applyFill="1" applyBorder="1"/>
    <xf numFmtId="0" fontId="0" fillId="0" borderId="1" xfId="0" applyBorder="1"/>
    <xf numFmtId="15" fontId="1" fillId="0" borderId="0" xfId="13" applyNumberFormat="1" applyFont="1" applyFill="1" applyBorder="1" applyAlignment="1">
      <alignment wrapText="1"/>
    </xf>
    <xf numFmtId="0" fontId="0" fillId="0" borderId="8" xfId="0" applyBorder="1"/>
    <xf numFmtId="15" fontId="0" fillId="0" borderId="0" xfId="0" applyNumberFormat="1"/>
    <xf numFmtId="164" fontId="0" fillId="0" borderId="0" xfId="0" applyNumberFormat="1"/>
    <xf numFmtId="0" fontId="10" fillId="0" borderId="0" xfId="0" quotePrefix="1" applyNumberFormat="1" applyFont="1" applyFill="1" applyBorder="1" applyAlignment="1">
      <alignment horizontal="left"/>
    </xf>
    <xf numFmtId="0" fontId="1" fillId="0" borderId="8" xfId="13" applyFont="1" applyFill="1" applyBorder="1" applyAlignment="1">
      <alignment horizontal="right" wrapText="1"/>
    </xf>
    <xf numFmtId="0" fontId="10" fillId="0" borderId="5" xfId="7" applyFont="1" applyFill="1" applyBorder="1" applyAlignment="1" applyProtection="1">
      <alignment vertical="center" wrapText="1"/>
    </xf>
    <xf numFmtId="172" fontId="10" fillId="0" borderId="5" xfId="7" applyNumberFormat="1" applyFont="1" applyFill="1" applyBorder="1" applyAlignment="1" applyProtection="1">
      <alignment horizontal="right" vertical="center" wrapText="1"/>
    </xf>
    <xf numFmtId="15" fontId="10" fillId="0" borderId="5" xfId="7" applyNumberFormat="1" applyFont="1" applyFill="1" applyBorder="1" applyAlignment="1" applyProtection="1">
      <alignment horizontal="right" vertical="center" wrapText="1"/>
    </xf>
    <xf numFmtId="169" fontId="10" fillId="0" borderId="5" xfId="7" applyNumberFormat="1" applyFont="1" applyFill="1" applyBorder="1" applyAlignment="1" applyProtection="1">
      <alignment vertical="center" wrapText="1"/>
    </xf>
    <xf numFmtId="0" fontId="10" fillId="0" borderId="0" xfId="7" applyFont="1" applyAlignment="1"/>
    <xf numFmtId="0" fontId="10" fillId="0" borderId="5" xfId="7" applyFont="1" applyFill="1" applyBorder="1" applyAlignment="1" applyProtection="1">
      <alignment vertical="center"/>
    </xf>
    <xf numFmtId="167" fontId="19" fillId="0" borderId="1" xfId="5" applyNumberFormat="1" applyFont="1" applyFill="1" applyBorder="1"/>
    <xf numFmtId="0" fontId="10" fillId="0" borderId="0" xfId="7" applyFont="1" applyFill="1" applyAlignment="1" applyProtection="1">
      <alignment vertical="center" wrapText="1"/>
    </xf>
    <xf numFmtId="169" fontId="10" fillId="0" borderId="5" xfId="23" applyFont="1" applyAlignment="1">
      <alignment vertical="center" wrapText="1"/>
    </xf>
    <xf numFmtId="169" fontId="11" fillId="0" borderId="5" xfId="23">
      <alignment vertical="center" wrapText="1"/>
    </xf>
    <xf numFmtId="167" fontId="19" fillId="0" borderId="5" xfId="5" applyNumberFormat="1" applyFont="1" applyFill="1" applyBorder="1"/>
    <xf numFmtId="0" fontId="15" fillId="0" borderId="5" xfId="7" applyFont="1" applyBorder="1" applyAlignment="1">
      <alignment vertical="center"/>
    </xf>
    <xf numFmtId="164" fontId="10" fillId="0" borderId="0" xfId="7" applyNumberFormat="1" applyFont="1"/>
    <xf numFmtId="164" fontId="19" fillId="0" borderId="1" xfId="5" applyNumberFormat="1" applyFont="1" applyFill="1" applyBorder="1"/>
    <xf numFmtId="0" fontId="15" fillId="0" borderId="5" xfId="7" applyFont="1" applyBorder="1"/>
    <xf numFmtId="164" fontId="19" fillId="0" borderId="5" xfId="5" applyNumberFormat="1" applyFont="1" applyFill="1" applyBorder="1"/>
    <xf numFmtId="0" fontId="15" fillId="0" borderId="0" xfId="7" applyFont="1"/>
    <xf numFmtId="0" fontId="10" fillId="0" borderId="5" xfId="7" applyFont="1" applyBorder="1"/>
    <xf numFmtId="169" fontId="10" fillId="0" borderId="0" xfId="7" applyNumberFormat="1" applyFont="1" applyFill="1" applyAlignment="1" applyProtection="1">
      <alignment vertical="center" wrapText="1"/>
    </xf>
    <xf numFmtId="167" fontId="19" fillId="0" borderId="0" xfId="5" applyNumberFormat="1" applyFont="1" applyFill="1" applyBorder="1"/>
    <xf numFmtId="164" fontId="10" fillId="0" borderId="5" xfId="7" applyNumberFormat="1" applyFont="1" applyFill="1" applyBorder="1" applyAlignment="1" applyProtection="1">
      <alignment vertical="center" wrapText="1"/>
    </xf>
    <xf numFmtId="15" fontId="7" fillId="3" borderId="4" xfId="1" applyNumberFormat="1" applyAlignment="1" applyProtection="1">
      <alignment horizontal="right" vertical="center" wrapText="1"/>
    </xf>
    <xf numFmtId="4" fontId="10" fillId="0" borderId="5" xfId="7" applyNumberFormat="1" applyFont="1" applyFill="1" applyBorder="1" applyAlignment="1" applyProtection="1">
      <alignment vertical="center" wrapText="1"/>
    </xf>
    <xf numFmtId="0" fontId="15" fillId="0" borderId="0" xfId="7" applyFont="1" applyAlignment="1">
      <alignment vertical="center"/>
    </xf>
    <xf numFmtId="169" fontId="10" fillId="0" borderId="5" xfId="7" quotePrefix="1" applyNumberFormat="1" applyFont="1" applyFill="1" applyBorder="1" applyAlignment="1" applyProtection="1">
      <alignment vertical="center" wrapText="1"/>
    </xf>
    <xf numFmtId="15" fontId="10" fillId="0" borderId="5" xfId="7" applyNumberFormat="1" applyFont="1" applyFill="1" applyBorder="1" applyAlignment="1" applyProtection="1">
      <alignment horizontal="left" vertical="center" wrapText="1"/>
    </xf>
    <xf numFmtId="2" fontId="10" fillId="0" borderId="0" xfId="7" applyNumberFormat="1" applyFont="1"/>
    <xf numFmtId="0" fontId="10" fillId="0" borderId="0" xfId="7" quotePrefix="1" applyFont="1"/>
    <xf numFmtId="0" fontId="10" fillId="0" borderId="0" xfId="7" quotePrefix="1" applyFont="1" applyAlignment="1">
      <alignment horizontal="left"/>
    </xf>
    <xf numFmtId="2" fontId="10" fillId="0" borderId="5" xfId="7" applyNumberFormat="1" applyFont="1" applyFill="1" applyBorder="1" applyAlignment="1" applyProtection="1">
      <alignment horizontal="right" vertical="center" wrapText="1"/>
    </xf>
    <xf numFmtId="0" fontId="17" fillId="0" borderId="5" xfId="26" applyFont="1" applyFill="1" applyBorder="1" applyAlignment="1" applyProtection="1">
      <alignment vertical="center" wrapText="1"/>
    </xf>
    <xf numFmtId="0" fontId="14" fillId="11" borderId="2" xfId="7" applyFont="1" applyFill="1" applyBorder="1" applyAlignment="1" applyProtection="1">
      <alignment horizontal="center" vertical="center"/>
    </xf>
    <xf numFmtId="0" fontId="10" fillId="12" borderId="0" xfId="7" applyFont="1" applyFill="1"/>
    <xf numFmtId="15" fontId="20" fillId="13" borderId="0" xfId="7" applyNumberFormat="1" applyFont="1" applyFill="1"/>
    <xf numFmtId="0" fontId="20" fillId="13" borderId="0" xfId="7" applyFont="1" applyFill="1"/>
    <xf numFmtId="176" fontId="1" fillId="0" borderId="8" xfId="32" applyNumberFormat="1" applyFont="1" applyFill="1" applyBorder="1" applyAlignment="1">
      <alignment horizontal="right" wrapText="1"/>
    </xf>
    <xf numFmtId="176" fontId="1" fillId="0" borderId="1" xfId="32" applyNumberFormat="1" applyFont="1" applyFill="1" applyBorder="1" applyAlignment="1">
      <alignment horizontal="right" wrapText="1"/>
    </xf>
    <xf numFmtId="0" fontId="10" fillId="0" borderId="0" xfId="33" applyFont="1"/>
    <xf numFmtId="0" fontId="15" fillId="0" borderId="0" xfId="33"/>
    <xf numFmtId="0" fontId="15" fillId="0" borderId="0" xfId="33" applyFont="1"/>
    <xf numFmtId="177" fontId="15" fillId="0" borderId="0" xfId="33" applyNumberFormat="1"/>
    <xf numFmtId="0" fontId="4" fillId="14" borderId="11" xfId="33" applyFont="1" applyFill="1" applyBorder="1" applyAlignment="1" applyProtection="1">
      <alignment horizontal="center" vertical="center"/>
    </xf>
    <xf numFmtId="0" fontId="4" fillId="15" borderId="11" xfId="33" applyFont="1" applyFill="1" applyBorder="1" applyAlignment="1" applyProtection="1">
      <alignment horizontal="center" vertical="center"/>
    </xf>
    <xf numFmtId="177" fontId="4" fillId="14" borderId="11" xfId="33" applyNumberFormat="1" applyFont="1" applyFill="1" applyBorder="1" applyAlignment="1" applyProtection="1">
      <alignment horizontal="center" vertical="center"/>
    </xf>
    <xf numFmtId="0" fontId="10" fillId="0" borderId="7" xfId="33" applyFont="1" applyFill="1" applyBorder="1" applyAlignment="1" applyProtection="1">
      <alignment vertical="center" wrapText="1"/>
    </xf>
    <xf numFmtId="178" fontId="10" fillId="0" borderId="7" xfId="33" applyNumberFormat="1" applyFont="1" applyFill="1" applyBorder="1" applyAlignment="1" applyProtection="1">
      <alignment vertical="center" wrapText="1"/>
    </xf>
    <xf numFmtId="0" fontId="10" fillId="16" borderId="7" xfId="33" applyFont="1" applyFill="1" applyBorder="1" applyAlignment="1" applyProtection="1">
      <alignment vertical="center" wrapText="1"/>
    </xf>
    <xf numFmtId="177" fontId="10" fillId="0" borderId="7" xfId="33" applyNumberFormat="1" applyFont="1" applyFill="1" applyBorder="1" applyAlignment="1" applyProtection="1">
      <alignment vertical="center" wrapText="1"/>
    </xf>
    <xf numFmtId="0" fontId="10" fillId="0" borderId="7" xfId="33" applyFont="1" applyFill="1" applyBorder="1"/>
    <xf numFmtId="0" fontId="10" fillId="0" borderId="0" xfId="33" applyFont="1" applyBorder="1"/>
    <xf numFmtId="0" fontId="10" fillId="0" borderId="0" xfId="33" applyFont="1" applyFill="1" applyBorder="1" applyAlignment="1" applyProtection="1">
      <alignment vertical="center" wrapText="1"/>
    </xf>
    <xf numFmtId="179" fontId="10" fillId="0" borderId="0" xfId="34" applyFont="1" applyFill="1" applyBorder="1">
      <alignment vertical="center" wrapText="1"/>
    </xf>
    <xf numFmtId="177" fontId="10" fillId="0" borderId="0" xfId="33" applyNumberFormat="1" applyFont="1" applyFill="1" applyBorder="1" applyAlignment="1" applyProtection="1">
      <alignment vertical="center" wrapText="1"/>
    </xf>
    <xf numFmtId="179" fontId="10" fillId="0" borderId="0" xfId="35" applyFont="1" applyFill="1" applyBorder="1">
      <alignment vertical="center" wrapText="1"/>
    </xf>
    <xf numFmtId="170" fontId="10" fillId="0" borderId="0" xfId="33" applyNumberFormat="1" applyFont="1" applyFill="1" applyBorder="1" applyAlignment="1" applyProtection="1">
      <alignment vertical="center" wrapText="1"/>
    </xf>
    <xf numFmtId="4" fontId="10" fillId="0" borderId="0" xfId="33" applyNumberFormat="1" applyFont="1" applyFill="1" applyBorder="1" applyAlignment="1" applyProtection="1">
      <alignment vertical="center" wrapText="1"/>
    </xf>
    <xf numFmtId="0" fontId="10" fillId="16" borderId="0" xfId="33" applyFont="1" applyFill="1" applyBorder="1" applyAlignment="1" applyProtection="1">
      <alignment vertical="center" wrapText="1"/>
    </xf>
    <xf numFmtId="0" fontId="10" fillId="0" borderId="0" xfId="33" applyFont="1" applyFill="1" applyBorder="1"/>
    <xf numFmtId="179" fontId="10" fillId="0" borderId="0" xfId="36" applyNumberFormat="1" applyFont="1" applyFill="1" applyBorder="1" applyAlignment="1" applyProtection="1"/>
    <xf numFmtId="179" fontId="10" fillId="0" borderId="0" xfId="37" applyFont="1" applyFill="1" applyBorder="1">
      <alignment vertical="center" wrapText="1"/>
    </xf>
    <xf numFmtId="177" fontId="10" fillId="0" borderId="0" xfId="33" applyNumberFormat="1" applyFont="1" applyFill="1" applyBorder="1"/>
    <xf numFmtId="178" fontId="10" fillId="0" borderId="0" xfId="33" applyNumberFormat="1" applyFont="1" applyFill="1" applyBorder="1" applyAlignment="1" applyProtection="1">
      <alignment vertical="center" wrapText="1"/>
    </xf>
    <xf numFmtId="0" fontId="10" fillId="0" borderId="0" xfId="38" applyNumberFormat="1" applyFont="1" applyFill="1" applyBorder="1" applyAlignment="1" applyProtection="1"/>
    <xf numFmtId="0" fontId="10" fillId="0" borderId="0" xfId="39" applyNumberFormat="1" applyFont="1" applyFill="1" applyBorder="1" applyAlignment="1" applyProtection="1"/>
    <xf numFmtId="179" fontId="10" fillId="0" borderId="0" xfId="40" applyFont="1" applyFill="1" applyBorder="1" applyAlignment="1" applyProtection="1"/>
    <xf numFmtId="179" fontId="10" fillId="0" borderId="0" xfId="36" applyNumberFormat="1" applyFont="1" applyFill="1" applyBorder="1" applyAlignment="1" applyProtection="1">
      <alignment vertical="center" wrapText="1"/>
    </xf>
    <xf numFmtId="180" fontId="10" fillId="0" borderId="0" xfId="36" applyNumberFormat="1" applyFont="1" applyFill="1" applyBorder="1" applyAlignment="1" applyProtection="1"/>
    <xf numFmtId="181" fontId="10" fillId="0" borderId="0" xfId="35" applyNumberFormat="1" applyFont="1" applyFill="1" applyBorder="1">
      <alignment vertical="center" wrapText="1"/>
    </xf>
    <xf numFmtId="179" fontId="10" fillId="0" borderId="0" xfId="39" applyNumberFormat="1" applyFont="1" applyFill="1" applyBorder="1" applyAlignment="1" applyProtection="1">
      <alignment vertical="center" wrapText="1"/>
    </xf>
    <xf numFmtId="179" fontId="10" fillId="0" borderId="0" xfId="33" applyNumberFormat="1" applyFont="1" applyFill="1" applyBorder="1" applyAlignment="1" applyProtection="1">
      <alignment vertical="center" wrapText="1"/>
    </xf>
    <xf numFmtId="179" fontId="10" fillId="0" borderId="0" xfId="41" applyNumberFormat="1" applyFont="1" applyFill="1" applyBorder="1" applyAlignment="1" applyProtection="1"/>
    <xf numFmtId="0" fontId="10" fillId="0" borderId="0" xfId="33" applyFont="1" applyFill="1" applyBorder="1" applyAlignment="1"/>
    <xf numFmtId="179" fontId="10" fillId="0" borderId="0" xfId="42" applyFont="1" applyFill="1" applyBorder="1">
      <alignment vertical="center" wrapText="1"/>
    </xf>
    <xf numFmtId="179" fontId="10" fillId="0" borderId="0" xfId="38" applyNumberFormat="1" applyFont="1" applyFill="1" applyBorder="1" applyAlignment="1" applyProtection="1">
      <alignment vertical="center" wrapText="1"/>
    </xf>
    <xf numFmtId="0" fontId="1" fillId="0" borderId="0" xfId="43" applyBorder="1"/>
    <xf numFmtId="179" fontId="10" fillId="0" borderId="0" xfId="36" applyNumberFormat="1" applyFont="1" applyFill="1" applyBorder="1" applyAlignment="1" applyProtection="1">
      <alignment horizontal="right" vertical="center" wrapText="1"/>
    </xf>
    <xf numFmtId="179" fontId="10" fillId="0" borderId="0" xfId="38" applyNumberFormat="1" applyFont="1" applyFill="1" applyBorder="1" applyAlignment="1" applyProtection="1">
      <alignment horizontal="right" vertical="center" wrapText="1"/>
    </xf>
    <xf numFmtId="179" fontId="10" fillId="0" borderId="0" xfId="39" applyNumberFormat="1" applyFont="1" applyFill="1" applyBorder="1" applyAlignment="1" applyProtection="1">
      <alignment horizontal="right" vertical="center" wrapText="1"/>
    </xf>
    <xf numFmtId="0" fontId="10" fillId="0" borderId="0" xfId="43" applyFont="1" applyFill="1" applyBorder="1" applyAlignment="1" applyProtection="1">
      <alignment vertical="center" wrapText="1"/>
    </xf>
    <xf numFmtId="0" fontId="1" fillId="0" borderId="0" xfId="43" applyFont="1" applyFill="1" applyBorder="1"/>
    <xf numFmtId="0" fontId="10" fillId="0" borderId="0" xfId="36" applyNumberFormat="1" applyFont="1" applyFill="1" applyBorder="1" applyAlignment="1" applyProtection="1">
      <alignment vertical="center" wrapText="1"/>
    </xf>
    <xf numFmtId="179" fontId="10" fillId="0" borderId="0" xfId="44" applyNumberFormat="1" applyFont="1" applyFill="1" applyBorder="1" applyAlignment="1" applyProtection="1">
      <alignment vertical="center" wrapText="1"/>
    </xf>
    <xf numFmtId="0" fontId="10" fillId="0" borderId="0" xfId="33" applyFont="1" applyBorder="1" applyAlignment="1"/>
    <xf numFmtId="179" fontId="10" fillId="0" borderId="0" xfId="41" applyNumberFormat="1" applyFont="1" applyFill="1" applyBorder="1" applyAlignment="1" applyProtection="1">
      <alignment vertical="center" wrapText="1"/>
    </xf>
    <xf numFmtId="181" fontId="10" fillId="0" borderId="0" xfId="41" applyNumberFormat="1" applyFont="1" applyFill="1" applyBorder="1" applyAlignment="1" applyProtection="1">
      <alignment vertical="center" wrapText="1"/>
    </xf>
    <xf numFmtId="182" fontId="10" fillId="0" borderId="0" xfId="35" applyNumberFormat="1" applyFont="1" applyFill="1" applyBorder="1">
      <alignment vertical="center" wrapText="1"/>
    </xf>
    <xf numFmtId="0" fontId="10" fillId="17" borderId="0" xfId="33" applyFont="1" applyFill="1" applyBorder="1" applyAlignment="1" applyProtection="1">
      <alignment vertical="center" wrapText="1"/>
    </xf>
    <xf numFmtId="0" fontId="10" fillId="0" borderId="0" xfId="39" applyNumberFormat="1" applyFont="1" applyFill="1" applyBorder="1" applyAlignment="1" applyProtection="1">
      <alignment vertical="center" wrapText="1"/>
    </xf>
    <xf numFmtId="178" fontId="10" fillId="0" borderId="0" xfId="39" applyNumberFormat="1" applyFont="1" applyFill="1" applyBorder="1" applyAlignment="1" applyProtection="1">
      <alignment vertical="center" wrapText="1"/>
    </xf>
    <xf numFmtId="0" fontId="10" fillId="0" borderId="0" xfId="45" applyFont="1" applyFill="1" applyBorder="1"/>
    <xf numFmtId="0" fontId="24" fillId="0" borderId="0" xfId="33" applyNumberFormat="1" applyFont="1" applyFill="1" applyBorder="1" applyAlignment="1">
      <alignment horizontal="left"/>
    </xf>
    <xf numFmtId="179" fontId="10" fillId="0" borderId="0" xfId="40" applyFont="1" applyFill="1" applyBorder="1" applyAlignment="1" applyProtection="1">
      <alignment vertical="center" wrapText="1"/>
    </xf>
    <xf numFmtId="0" fontId="10" fillId="0" borderId="0" xfId="33" applyFont="1" applyFill="1" applyBorder="1" applyAlignment="1" applyProtection="1">
      <alignment vertical="center"/>
    </xf>
    <xf numFmtId="2" fontId="15" fillId="0" borderId="0" xfId="33" applyNumberFormat="1" applyBorder="1" applyAlignment="1">
      <alignment horizontal="center"/>
    </xf>
    <xf numFmtId="0" fontId="15" fillId="0" borderId="0" xfId="33" applyBorder="1" applyAlignment="1">
      <alignment horizontal="center"/>
    </xf>
    <xf numFmtId="177" fontId="10" fillId="0" borderId="0" xfId="33" applyNumberFormat="1" applyFont="1" applyBorder="1"/>
    <xf numFmtId="171" fontId="15" fillId="0" borderId="0" xfId="33" applyNumberFormat="1" applyBorder="1" applyAlignment="1">
      <alignment horizontal="center"/>
    </xf>
    <xf numFmtId="171" fontId="15" fillId="0" borderId="0" xfId="33" applyNumberFormat="1" applyFill="1" applyBorder="1" applyAlignment="1">
      <alignment horizontal="center"/>
    </xf>
    <xf numFmtId="0" fontId="15" fillId="0" borderId="0" xfId="33" applyFill="1" applyBorder="1" applyAlignment="1">
      <alignment horizontal="center"/>
    </xf>
    <xf numFmtId="0" fontId="2" fillId="0" borderId="0" xfId="33" applyFont="1" applyFill="1" applyBorder="1" applyAlignment="1" applyProtection="1">
      <alignment vertical="top" wrapText="1"/>
    </xf>
    <xf numFmtId="183" fontId="10" fillId="0" borderId="0" xfId="33" applyNumberFormat="1" applyFont="1" applyFill="1" applyBorder="1" applyAlignment="1" applyProtection="1">
      <alignment horizontal="left" vertical="center" wrapText="1"/>
    </xf>
    <xf numFmtId="177" fontId="10" fillId="0" borderId="0" xfId="33" applyNumberFormat="1" applyFont="1"/>
    <xf numFmtId="179" fontId="10" fillId="0" borderId="7" xfId="35" applyFont="1" applyFill="1" applyBorder="1">
      <alignment vertical="center" wrapText="1"/>
    </xf>
    <xf numFmtId="39" fontId="10" fillId="0" borderId="5" xfId="46" applyNumberFormat="1" applyFont="1" applyFill="1" applyBorder="1" applyAlignment="1" applyProtection="1">
      <alignment vertical="center" wrapText="1"/>
    </xf>
    <xf numFmtId="164" fontId="10" fillId="0" borderId="5" xfId="46" applyFont="1" applyFill="1" applyBorder="1" applyAlignment="1" applyProtection="1">
      <alignment horizontal="left" vertical="center" wrapText="1"/>
    </xf>
    <xf numFmtId="164" fontId="10" fillId="0" borderId="5" xfId="46" quotePrefix="1" applyFont="1" applyFill="1" applyBorder="1" applyAlignment="1" applyProtection="1">
      <alignment horizontal="left" vertical="center" wrapText="1"/>
    </xf>
    <xf numFmtId="165" fontId="10" fillId="0" borderId="5" xfId="47" applyFont="1" applyFill="1" applyBorder="1" applyAlignment="1" applyProtection="1">
      <alignment vertical="center" wrapText="1"/>
    </xf>
    <xf numFmtId="164" fontId="10" fillId="0" borderId="5" xfId="46" applyFont="1" applyFill="1" applyBorder="1" applyAlignment="1" applyProtection="1">
      <alignment vertical="center" wrapText="1"/>
    </xf>
    <xf numFmtId="39" fontId="10" fillId="0" borderId="5" xfId="46" applyNumberFormat="1" applyFont="1" applyBorder="1" applyAlignment="1">
      <alignment vertical="center" wrapText="1"/>
    </xf>
    <xf numFmtId="173" fontId="10" fillId="0" borderId="5" xfId="46" applyNumberFormat="1" applyFont="1" applyBorder="1" applyAlignment="1">
      <alignment vertical="center" wrapText="1"/>
    </xf>
    <xf numFmtId="165" fontId="15" fillId="0" borderId="0" xfId="47" applyFont="1"/>
    <xf numFmtId="164" fontId="10" fillId="0" borderId="5" xfId="46" applyFont="1" applyFill="1" applyBorder="1" applyAlignment="1" applyProtection="1">
      <alignment horizontal="right" vertical="center" wrapText="1"/>
    </xf>
    <xf numFmtId="164" fontId="10" fillId="0" borderId="5" xfId="46" applyFont="1" applyBorder="1"/>
    <xf numFmtId="164" fontId="10" fillId="0" borderId="0" xfId="46" applyFont="1"/>
    <xf numFmtId="174" fontId="10" fillId="0" borderId="5" xfId="47" applyNumberFormat="1" applyFont="1" applyFill="1" applyBorder="1" applyAlignment="1" applyProtection="1">
      <alignment horizontal="right" vertical="center" wrapText="1"/>
    </xf>
    <xf numFmtId="164" fontId="10" fillId="0" borderId="0" xfId="46" applyFont="1" applyFill="1" applyAlignment="1" applyProtection="1">
      <alignment vertical="center" wrapText="1"/>
    </xf>
    <xf numFmtId="164" fontId="10" fillId="0" borderId="0" xfId="46" applyFont="1" applyFill="1" applyBorder="1" applyAlignment="1" applyProtection="1">
      <alignment vertical="center" wrapText="1"/>
    </xf>
    <xf numFmtId="167" fontId="10" fillId="0" borderId="5" xfId="46" applyNumberFormat="1" applyFont="1" applyFill="1" applyBorder="1" applyAlignment="1" applyProtection="1">
      <alignment vertical="center" wrapText="1"/>
    </xf>
    <xf numFmtId="175" fontId="10" fillId="0" borderId="5" xfId="46" applyNumberFormat="1" applyFont="1" applyBorder="1" applyAlignment="1">
      <alignment vertical="center" wrapText="1"/>
    </xf>
    <xf numFmtId="165" fontId="10" fillId="0" borderId="5" xfId="47" applyFont="1" applyFill="1" applyBorder="1" applyAlignment="1" applyProtection="1">
      <alignment horizontal="right" vertical="center" wrapText="1"/>
    </xf>
    <xf numFmtId="164" fontId="10" fillId="0" borderId="0" xfId="46" applyFont="1" applyFill="1" applyBorder="1" applyAlignment="1" applyProtection="1">
      <alignment horizontal="right" vertical="center" wrapText="1"/>
    </xf>
    <xf numFmtId="169" fontId="10" fillId="0" borderId="5" xfId="23" quotePrefix="1" applyFont="1" applyAlignment="1">
      <alignment vertical="center" wrapText="1"/>
    </xf>
    <xf numFmtId="165" fontId="10" fillId="0" borderId="0" xfId="47" applyFont="1" applyFill="1" applyBorder="1" applyAlignment="1" applyProtection="1">
      <alignment vertical="center" wrapText="1"/>
    </xf>
    <xf numFmtId="164" fontId="5" fillId="0" borderId="1" xfId="48" applyFont="1" applyBorder="1"/>
    <xf numFmtId="0" fontId="1" fillId="0" borderId="1" xfId="33" applyFont="1" applyFill="1" applyBorder="1" applyAlignment="1" applyProtection="1">
      <alignment vertical="center" wrapText="1"/>
    </xf>
    <xf numFmtId="177" fontId="1" fillId="0" borderId="1" xfId="33" applyNumberFormat="1" applyFont="1" applyFill="1" applyBorder="1" applyAlignment="1" applyProtection="1">
      <alignment vertical="center" wrapText="1"/>
    </xf>
    <xf numFmtId="0" fontId="10" fillId="0" borderId="1" xfId="33" applyFont="1" applyBorder="1"/>
    <xf numFmtId="0" fontId="25" fillId="0" borderId="0" xfId="33" applyFont="1" applyAlignment="1">
      <alignment wrapText="1"/>
    </xf>
    <xf numFmtId="0" fontId="26" fillId="0" borderId="0" xfId="33" applyFont="1"/>
    <xf numFmtId="0" fontId="26" fillId="0" borderId="0" xfId="33" applyFont="1" applyAlignment="1">
      <alignment horizontal="left" wrapText="1" indent="1"/>
    </xf>
    <xf numFmtId="0" fontId="25" fillId="0" borderId="0" xfId="33" applyFont="1" applyAlignment="1">
      <alignment horizontal="left" wrapText="1"/>
    </xf>
    <xf numFmtId="0" fontId="27" fillId="0" borderId="0" xfId="33" applyFont="1" applyAlignment="1">
      <alignment horizontal="left" wrapText="1" indent="1"/>
    </xf>
    <xf numFmtId="0" fontId="28" fillId="0" borderId="0" xfId="33" applyFont="1" applyAlignment="1">
      <alignment horizontal="left" wrapText="1" indent="2"/>
    </xf>
    <xf numFmtId="0" fontId="26" fillId="0" borderId="0" xfId="33" applyFont="1" applyAlignment="1">
      <alignment horizontal="left" wrapText="1" indent="2"/>
    </xf>
    <xf numFmtId="0" fontId="26" fillId="0" borderId="0" xfId="33" applyFont="1" applyAlignment="1">
      <alignment wrapText="1"/>
    </xf>
  </cellXfs>
  <cellStyles count="49">
    <cellStyle name="Calculation 2" xfId="9"/>
    <cellStyle name="Comma 2" xfId="2"/>
    <cellStyle name="Comma 3" xfId="27"/>
    <cellStyle name="Comma 4" xfId="28"/>
    <cellStyle name="Cost Table Plain" xfId="8"/>
    <cellStyle name="Cost Table Plain 2" xfId="34"/>
    <cellStyle name="Cost_Green" xfId="3"/>
    <cellStyle name="Cost_Green 2" xfId="37"/>
    <cellStyle name="Cost_Red 2" xfId="42"/>
    <cellStyle name="Cost_Yellow 2" xfId="35"/>
    <cellStyle name="Currency 2" xfId="4"/>
    <cellStyle name="Currency 3" xfId="24"/>
    <cellStyle name="Currency 4" xfId="25"/>
    <cellStyle name="Currency 5" xfId="30"/>
    <cellStyle name="Currency 6" xfId="32"/>
    <cellStyle name="Excel_BuiltIn_Bad" xfId="38"/>
    <cellStyle name="Excel_BuiltIn_Check Cell" xfId="39"/>
    <cellStyle name="Excel_BuiltIn_Good" xfId="36"/>
    <cellStyle name="Excel_BuiltIn_Neutral" xfId="41"/>
    <cellStyle name="Good 2" xfId="11"/>
    <cellStyle name="Good 2 2" xfId="44"/>
    <cellStyle name="Hyperlink 2" xfId="31"/>
    <cellStyle name="Lien hypertexte" xfId="26" builtinId="8"/>
    <cellStyle name="Milliers 2" xfId="47"/>
    <cellStyle name="Monétaire 2" xfId="40"/>
    <cellStyle name="Monétaire 3" xfId="46"/>
    <cellStyle name="Monétaire 4" xfId="48"/>
    <cellStyle name="Normal" xfId="0" builtinId="0"/>
    <cellStyle name="Normal 2" xfId="6"/>
    <cellStyle name="Normal 2 2" xfId="10"/>
    <cellStyle name="Normal 2 2 2" xfId="14"/>
    <cellStyle name="Normal 2 2 2 2" xfId="15"/>
    <cellStyle name="Normal 2 2 2 2 2" xfId="16"/>
    <cellStyle name="Normal 2 2 2 3" xfId="17"/>
    <cellStyle name="Normal 2 2 3" xfId="18"/>
    <cellStyle name="Normal 2 2 4" xfId="19"/>
    <cellStyle name="Normal 2 2 4 2" xfId="20"/>
    <cellStyle name="Normal 2 2 4 3" xfId="43"/>
    <cellStyle name="Normal 2 3" xfId="21"/>
    <cellStyle name="Normal 2 4" xfId="22"/>
    <cellStyle name="Normal 3" xfId="7"/>
    <cellStyle name="Normal 3 2" xfId="12"/>
    <cellStyle name="Normal 3 3" xfId="45"/>
    <cellStyle name="Normal 4" xfId="33"/>
    <cellStyle name="Normal_Sheet1" xfId="13"/>
    <cellStyle name="Satisfaisant" xfId="5" builtinId="26"/>
    <cellStyle name="Style 1" xfId="23"/>
    <cellStyle name="Style 1 2" xfId="29"/>
    <cellStyle name="Vérification" xfId="1" builtinId="2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2</xdr:col>
      <xdr:colOff>1352550</xdr:colOff>
      <xdr:row>481</xdr:row>
      <xdr:rowOff>104775</xdr:rowOff>
    </xdr:from>
    <xdr:to>
      <xdr:col>6</xdr:col>
      <xdr:colOff>19050</xdr:colOff>
      <xdr:row>484</xdr:row>
      <xdr:rowOff>95250</xdr:rowOff>
    </xdr:to>
    <xdr:sp macro="" textlink="" fLocksText="0">
      <xdr:nvSpPr>
        <xdr:cNvPr id="2" name="TextBox 1"/>
        <xdr:cNvSpPr txBox="1">
          <a:spLocks noChangeArrowheads="1"/>
        </xdr:cNvSpPr>
      </xdr:nvSpPr>
      <xdr:spPr bwMode="auto">
        <a:xfrm>
          <a:off x="6296025" y="98783775"/>
          <a:ext cx="4191000" cy="561975"/>
        </a:xfrm>
        <a:prstGeom prst="rect">
          <a:avLst/>
        </a:prstGeom>
        <a:solidFill>
          <a:srgbClr val="FFFFFF"/>
        </a:solidFill>
        <a:ln w="9360">
          <a:solidFill>
            <a:srgbClr val="BCBCBC"/>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en-CA" sz="1100" b="0" i="0" u="none" strike="noStrike" baseline="0">
              <a:solidFill>
                <a:srgbClr val="000000"/>
              </a:solidFill>
              <a:latin typeface="Calibri"/>
            </a:rPr>
            <a:t> Adapter/Union Tee/Brass))</a:t>
          </a:r>
        </a:p>
        <a:p>
          <a:pPr algn="l" rtl="0">
            <a:defRPr sz="1000"/>
          </a:pPr>
          <a:r>
            <a:rPr lang="en-CA" sz="1100" b="0" i="0" u="none" strike="noStrike" baseline="0">
              <a:solidFill>
                <a:srgbClr val="000000"/>
              </a:solidFill>
              <a:latin typeface="Calibri"/>
            </a:rPr>
            <a:t> </a:t>
          </a:r>
        </a:p>
        <a:p>
          <a:pPr algn="l" rtl="0">
            <a:defRPr sz="1000"/>
          </a:pPr>
          <a:endParaRPr lang="en-CA"/>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152400</xdr:colOff>
      <xdr:row>5</xdr:row>
      <xdr:rowOff>200025</xdr:rowOff>
    </xdr:from>
    <xdr:to>
      <xdr:col>14</xdr:col>
      <xdr:colOff>809625</xdr:colOff>
      <xdr:row>5</xdr:row>
      <xdr:rowOff>800100</xdr:rowOff>
    </xdr:to>
    <xdr:pic>
      <xdr:nvPicPr>
        <xdr:cNvPr id="2" name="Picture 4" descr="8863tp2s.gif"/>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91900" y="2867025"/>
          <a:ext cx="6572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76200</xdr:colOff>
      <xdr:row>4</xdr:row>
      <xdr:rowOff>123825</xdr:rowOff>
    </xdr:from>
    <xdr:to>
      <xdr:col>14</xdr:col>
      <xdr:colOff>781050</xdr:colOff>
      <xdr:row>4</xdr:row>
      <xdr:rowOff>847725</xdr:rowOff>
    </xdr:to>
    <xdr:pic>
      <xdr:nvPicPr>
        <xdr:cNvPr id="3" name="Picture 5" descr="8863tp1s.gif"/>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15700" y="1743075"/>
          <a:ext cx="70485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133350</xdr:colOff>
      <xdr:row>3</xdr:row>
      <xdr:rowOff>190500</xdr:rowOff>
    </xdr:from>
    <xdr:to>
      <xdr:col>14</xdr:col>
      <xdr:colOff>781050</xdr:colOff>
      <xdr:row>3</xdr:row>
      <xdr:rowOff>971550</xdr:rowOff>
    </xdr:to>
    <xdr:pic>
      <xdr:nvPicPr>
        <xdr:cNvPr id="4" name="Picture 7" descr="rubber_cushioned_clamp.gif"/>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372850" y="762000"/>
          <a:ext cx="64770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76200</xdr:colOff>
      <xdr:row>6</xdr:row>
      <xdr:rowOff>95250</xdr:rowOff>
    </xdr:from>
    <xdr:to>
      <xdr:col>14</xdr:col>
      <xdr:colOff>790575</xdr:colOff>
      <xdr:row>6</xdr:row>
      <xdr:rowOff>990600</xdr:rowOff>
    </xdr:to>
    <xdr:pic>
      <xdr:nvPicPr>
        <xdr:cNvPr id="5" name="Picture 8" descr="7329kp1s.gif"/>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315700" y="3810000"/>
          <a:ext cx="7143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171450</xdr:colOff>
      <xdr:row>7</xdr:row>
      <xdr:rowOff>114300</xdr:rowOff>
    </xdr:from>
    <xdr:to>
      <xdr:col>14</xdr:col>
      <xdr:colOff>695325</xdr:colOff>
      <xdr:row>7</xdr:row>
      <xdr:rowOff>990600</xdr:rowOff>
    </xdr:to>
    <xdr:pic>
      <xdr:nvPicPr>
        <xdr:cNvPr id="6" name="Picture 9" descr="8946kp1s.gif"/>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410950" y="4876800"/>
          <a:ext cx="52387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219075</xdr:colOff>
      <xdr:row>11</xdr:row>
      <xdr:rowOff>133350</xdr:rowOff>
    </xdr:from>
    <xdr:to>
      <xdr:col>14</xdr:col>
      <xdr:colOff>647700</xdr:colOff>
      <xdr:row>11</xdr:row>
      <xdr:rowOff>981075</xdr:rowOff>
    </xdr:to>
    <xdr:pic>
      <xdr:nvPicPr>
        <xdr:cNvPr id="7" name="Picture 39"/>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458575" y="9086850"/>
          <a:ext cx="42862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14</xdr:col>
      <xdr:colOff>57150</xdr:colOff>
      <xdr:row>12</xdr:row>
      <xdr:rowOff>314325</xdr:rowOff>
    </xdr:from>
    <xdr:to>
      <xdr:col>14</xdr:col>
      <xdr:colOff>866775</xdr:colOff>
      <xdr:row>12</xdr:row>
      <xdr:rowOff>771525</xdr:rowOff>
    </xdr:to>
    <xdr:pic>
      <xdr:nvPicPr>
        <xdr:cNvPr id="8" name="Picture 322"/>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296650" y="10315575"/>
          <a:ext cx="8096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14</xdr:col>
      <xdr:colOff>123825</xdr:colOff>
      <xdr:row>13</xdr:row>
      <xdr:rowOff>238125</xdr:rowOff>
    </xdr:from>
    <xdr:to>
      <xdr:col>14</xdr:col>
      <xdr:colOff>838200</xdr:colOff>
      <xdr:row>13</xdr:row>
      <xdr:rowOff>838200</xdr:rowOff>
    </xdr:to>
    <xdr:pic>
      <xdr:nvPicPr>
        <xdr:cNvPr id="9" name="Picture 356"/>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r="50000"/>
        <a:stretch>
          <a:fillRect/>
        </a:stretch>
      </xdr:blipFill>
      <xdr:spPr bwMode="auto">
        <a:xfrm>
          <a:off x="11363325" y="11287125"/>
          <a:ext cx="7143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14</xdr:col>
      <xdr:colOff>66675</xdr:colOff>
      <xdr:row>15</xdr:row>
      <xdr:rowOff>333375</xdr:rowOff>
    </xdr:from>
    <xdr:to>
      <xdr:col>14</xdr:col>
      <xdr:colOff>885825</xdr:colOff>
      <xdr:row>15</xdr:row>
      <xdr:rowOff>590550</xdr:rowOff>
    </xdr:to>
    <xdr:pic>
      <xdr:nvPicPr>
        <xdr:cNvPr id="10" name="Picture 375"/>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19327" t="-999" r="23950" b="58000"/>
        <a:stretch>
          <a:fillRect/>
        </a:stretch>
      </xdr:blipFill>
      <xdr:spPr bwMode="auto">
        <a:xfrm>
          <a:off x="11306175" y="13477875"/>
          <a:ext cx="81915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14</xdr:col>
      <xdr:colOff>161925</xdr:colOff>
      <xdr:row>14</xdr:row>
      <xdr:rowOff>285750</xdr:rowOff>
    </xdr:from>
    <xdr:to>
      <xdr:col>14</xdr:col>
      <xdr:colOff>800100</xdr:colOff>
      <xdr:row>14</xdr:row>
      <xdr:rowOff>819150</xdr:rowOff>
    </xdr:to>
    <xdr:pic>
      <xdr:nvPicPr>
        <xdr:cNvPr id="11" name="Picture 356"/>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49580"/>
        <a:stretch>
          <a:fillRect/>
        </a:stretch>
      </xdr:blipFill>
      <xdr:spPr bwMode="auto">
        <a:xfrm>
          <a:off x="11401425" y="12382500"/>
          <a:ext cx="63817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14</xdr:col>
      <xdr:colOff>47625</xdr:colOff>
      <xdr:row>8</xdr:row>
      <xdr:rowOff>28575</xdr:rowOff>
    </xdr:from>
    <xdr:to>
      <xdr:col>14</xdr:col>
      <xdr:colOff>885825</xdr:colOff>
      <xdr:row>8</xdr:row>
      <xdr:rowOff>1028700</xdr:rowOff>
    </xdr:to>
    <xdr:pic>
      <xdr:nvPicPr>
        <xdr:cNvPr id="12" name="Picture 1336"/>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1287125" y="5838825"/>
          <a:ext cx="8382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14</xdr:col>
      <xdr:colOff>190500</xdr:colOff>
      <xdr:row>9</xdr:row>
      <xdr:rowOff>0</xdr:rowOff>
    </xdr:from>
    <xdr:to>
      <xdr:col>14</xdr:col>
      <xdr:colOff>695325</xdr:colOff>
      <xdr:row>9</xdr:row>
      <xdr:rowOff>981075</xdr:rowOff>
    </xdr:to>
    <xdr:pic>
      <xdr:nvPicPr>
        <xdr:cNvPr id="13" name="Picture 1372"/>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1430000" y="6858000"/>
          <a:ext cx="5048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14</xdr:col>
      <xdr:colOff>47625</xdr:colOff>
      <xdr:row>10</xdr:row>
      <xdr:rowOff>9525</xdr:rowOff>
    </xdr:from>
    <xdr:to>
      <xdr:col>14</xdr:col>
      <xdr:colOff>895350</xdr:colOff>
      <xdr:row>10</xdr:row>
      <xdr:rowOff>1038225</xdr:rowOff>
    </xdr:to>
    <xdr:pic>
      <xdr:nvPicPr>
        <xdr:cNvPr id="14" name="Picture 1" descr="http://www.verociousmotorsports.com/core/media/media.nl/id.1766/c.606473/.f?h=e77423bb2d6852bdf9cc"/>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1287125" y="7915275"/>
          <a:ext cx="8477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276225</xdr:colOff>
      <xdr:row>92</xdr:row>
      <xdr:rowOff>0</xdr:rowOff>
    </xdr:from>
    <xdr:to>
      <xdr:col>1</xdr:col>
      <xdr:colOff>190500</xdr:colOff>
      <xdr:row>130</xdr:row>
      <xdr:rowOff>200025</xdr:rowOff>
    </xdr:to>
    <xdr:pic>
      <xdr:nvPicPr>
        <xdr:cNvPr id="2" name="Picture 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 y="22802850"/>
          <a:ext cx="8791575" cy="7800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blMaterials_20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lMaterials"/>
      <sheetName val="Cross Reference List"/>
      <sheetName val="EV"/>
    </sheetNames>
    <sheetDataSet>
      <sheetData sheetId="0"/>
      <sheetData sheetId="1"/>
      <sheetData sheetId="2"/>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J67"/>
  <sheetViews>
    <sheetView topLeftCell="A25" workbookViewId="0">
      <selection activeCell="H52" sqref="H52"/>
    </sheetView>
  </sheetViews>
  <sheetFormatPr baseColWidth="10" defaultColWidth="9.140625" defaultRowHeight="15" x14ac:dyDescent="0.25"/>
  <cols>
    <col min="1" max="1" width="15.42578125" customWidth="1"/>
    <col min="2" max="2" width="28.42578125" customWidth="1"/>
    <col min="3" max="3" width="21.140625" customWidth="1"/>
    <col min="7" max="7" width="15.140625" customWidth="1"/>
  </cols>
  <sheetData>
    <row r="1" spans="1:10" x14ac:dyDescent="0.25">
      <c r="A1" s="13" t="s">
        <v>3</v>
      </c>
      <c r="B1" s="14" t="s">
        <v>18</v>
      </c>
      <c r="C1" s="14"/>
      <c r="D1" s="13" t="s">
        <v>5</v>
      </c>
      <c r="E1" s="15">
        <v>99999</v>
      </c>
      <c r="F1" s="14"/>
      <c r="G1" s="13" t="s">
        <v>1194</v>
      </c>
      <c r="H1" s="16">
        <f>E20+J30+I47+J59+I65</f>
        <v>0</v>
      </c>
      <c r="I1" s="14"/>
      <c r="J1" s="14"/>
    </row>
    <row r="2" spans="1:10" x14ac:dyDescent="0.25">
      <c r="A2" s="13" t="s">
        <v>1071</v>
      </c>
      <c r="B2" s="14" t="s">
        <v>1215</v>
      </c>
      <c r="C2" s="14"/>
      <c r="D2" s="14"/>
      <c r="E2" s="14"/>
      <c r="F2" s="14"/>
      <c r="G2" s="13" t="s">
        <v>1195</v>
      </c>
      <c r="H2" s="17">
        <v>1</v>
      </c>
      <c r="I2" s="14"/>
      <c r="J2" s="14"/>
    </row>
    <row r="3" spans="1:10" x14ac:dyDescent="0.25">
      <c r="A3" s="13" t="s">
        <v>925</v>
      </c>
      <c r="B3" s="14" t="s">
        <v>1213</v>
      </c>
      <c r="C3" s="14"/>
      <c r="D3" s="14"/>
      <c r="E3" s="14"/>
      <c r="F3" s="14"/>
      <c r="G3" s="14"/>
      <c r="H3" s="14"/>
      <c r="I3" s="14"/>
      <c r="J3" s="14"/>
    </row>
    <row r="4" spans="1:10" x14ac:dyDescent="0.25">
      <c r="A4" s="13" t="s">
        <v>1196</v>
      </c>
      <c r="B4" s="18" t="s">
        <v>1440</v>
      </c>
      <c r="C4" s="14"/>
      <c r="D4" s="14"/>
      <c r="E4" s="14"/>
      <c r="F4" s="14"/>
      <c r="G4" s="13" t="s">
        <v>1197</v>
      </c>
      <c r="H4" s="16">
        <f>H1*H2</f>
        <v>0</v>
      </c>
      <c r="I4" s="14"/>
      <c r="J4" s="14"/>
    </row>
    <row r="5" spans="1:10" x14ac:dyDescent="0.25">
      <c r="A5" s="13" t="s">
        <v>1198</v>
      </c>
      <c r="B5" s="14" t="s">
        <v>14</v>
      </c>
      <c r="C5" s="14"/>
      <c r="D5" s="14"/>
      <c r="E5" s="14"/>
      <c r="F5" s="14"/>
      <c r="G5" s="14"/>
      <c r="H5" s="14"/>
      <c r="I5" s="14"/>
      <c r="J5" s="14"/>
    </row>
    <row r="6" spans="1:10" x14ac:dyDescent="0.25">
      <c r="A6" s="13" t="s">
        <v>1199</v>
      </c>
      <c r="B6" s="14"/>
      <c r="C6" s="14"/>
      <c r="D6" s="14"/>
      <c r="E6" s="14"/>
      <c r="F6" s="14"/>
      <c r="G6" s="14"/>
      <c r="H6" s="14"/>
      <c r="I6" s="14"/>
      <c r="J6" s="14"/>
    </row>
    <row r="7" spans="1:10" x14ac:dyDescent="0.25">
      <c r="B7" s="14"/>
      <c r="C7" s="14"/>
      <c r="D7" s="14"/>
      <c r="E7" s="14"/>
      <c r="F7" s="14"/>
      <c r="G7" s="14"/>
      <c r="H7" s="14"/>
      <c r="I7" s="14"/>
      <c r="J7" s="14"/>
    </row>
    <row r="8" spans="1:10" x14ac:dyDescent="0.25">
      <c r="A8" s="14"/>
      <c r="B8" s="14"/>
      <c r="C8" s="14"/>
      <c r="D8" s="14"/>
      <c r="E8" s="14"/>
      <c r="F8" s="14"/>
      <c r="G8" s="14"/>
      <c r="H8" s="14"/>
      <c r="I8" s="14"/>
      <c r="J8" s="14"/>
    </row>
    <row r="9" spans="1:10" x14ac:dyDescent="0.25">
      <c r="A9" s="19" t="s">
        <v>1200</v>
      </c>
      <c r="B9" s="14"/>
      <c r="C9" s="14"/>
      <c r="D9" s="14"/>
      <c r="E9" s="14"/>
      <c r="F9" s="14"/>
      <c r="G9" s="14"/>
      <c r="H9" s="14"/>
      <c r="I9" s="14"/>
      <c r="J9" s="14"/>
    </row>
    <row r="10" spans="1:10" x14ac:dyDescent="0.25">
      <c r="A10" s="20" t="s">
        <v>1438</v>
      </c>
      <c r="B10" s="20" t="s">
        <v>1201</v>
      </c>
      <c r="C10" s="20" t="s">
        <v>1202</v>
      </c>
      <c r="D10" s="20" t="s">
        <v>1</v>
      </c>
      <c r="E10" s="20" t="s">
        <v>1203</v>
      </c>
      <c r="F10" s="14"/>
      <c r="G10" s="14"/>
      <c r="H10" s="14"/>
      <c r="I10" s="14"/>
      <c r="J10" s="14"/>
    </row>
    <row r="11" spans="1:10" x14ac:dyDescent="0.25">
      <c r="A11" s="21"/>
      <c r="B11" s="21"/>
      <c r="C11" s="22"/>
      <c r="D11" s="23"/>
      <c r="E11" s="22">
        <f>C11*D11</f>
        <v>0</v>
      </c>
      <c r="F11" s="14"/>
      <c r="G11" s="14"/>
      <c r="H11" s="14"/>
      <c r="I11" s="14"/>
      <c r="J11" s="14"/>
    </row>
    <row r="12" spans="1:10" x14ac:dyDescent="0.25">
      <c r="A12" s="21"/>
      <c r="B12" s="21"/>
      <c r="C12" s="22"/>
      <c r="D12" s="23"/>
      <c r="E12" s="22">
        <f t="shared" ref="E12:E19" si="0">C12*D12</f>
        <v>0</v>
      </c>
      <c r="F12" s="14"/>
      <c r="G12" s="14"/>
      <c r="H12" s="14"/>
      <c r="I12" s="14"/>
      <c r="J12" s="14"/>
    </row>
    <row r="13" spans="1:10" x14ac:dyDescent="0.25">
      <c r="A13" s="21"/>
      <c r="B13" s="21"/>
      <c r="C13" s="22"/>
      <c r="D13" s="23"/>
      <c r="E13" s="22">
        <f t="shared" si="0"/>
        <v>0</v>
      </c>
      <c r="F13" s="14"/>
      <c r="G13" s="14"/>
      <c r="H13" s="14"/>
      <c r="I13" s="14"/>
      <c r="J13" s="14"/>
    </row>
    <row r="14" spans="1:10" x14ac:dyDescent="0.25">
      <c r="A14" s="21"/>
      <c r="B14" s="21"/>
      <c r="C14" s="22"/>
      <c r="D14" s="23"/>
      <c r="E14" s="22">
        <f t="shared" si="0"/>
        <v>0</v>
      </c>
      <c r="F14" s="14"/>
      <c r="G14" s="14"/>
      <c r="H14" s="14"/>
      <c r="I14" s="14"/>
      <c r="J14" s="14"/>
    </row>
    <row r="15" spans="1:10" x14ac:dyDescent="0.25">
      <c r="A15" s="21"/>
      <c r="B15" s="21"/>
      <c r="C15" s="22"/>
      <c r="D15" s="23"/>
      <c r="E15" s="22">
        <f t="shared" si="0"/>
        <v>0</v>
      </c>
      <c r="F15" s="14"/>
      <c r="G15" s="14"/>
      <c r="H15" s="14"/>
      <c r="I15" s="14"/>
      <c r="J15" s="14"/>
    </row>
    <row r="16" spans="1:10" x14ac:dyDescent="0.25">
      <c r="A16" s="21"/>
      <c r="B16" s="21"/>
      <c r="C16" s="22"/>
      <c r="D16" s="23"/>
      <c r="E16" s="22">
        <f t="shared" si="0"/>
        <v>0</v>
      </c>
      <c r="F16" s="14"/>
      <c r="G16" s="14"/>
      <c r="H16" s="14"/>
      <c r="I16" s="14"/>
      <c r="J16" s="14"/>
    </row>
    <row r="17" spans="1:10" x14ac:dyDescent="0.25">
      <c r="A17" s="21"/>
      <c r="B17" s="21"/>
      <c r="C17" s="22"/>
      <c r="D17" s="23"/>
      <c r="E17" s="22">
        <f t="shared" si="0"/>
        <v>0</v>
      </c>
      <c r="F17" s="14"/>
      <c r="G17" s="14"/>
      <c r="H17" s="14"/>
      <c r="I17" s="14"/>
      <c r="J17" s="14"/>
    </row>
    <row r="18" spans="1:10" x14ac:dyDescent="0.25">
      <c r="A18" s="21"/>
      <c r="B18" s="21"/>
      <c r="C18" s="22"/>
      <c r="D18" s="23"/>
      <c r="E18" s="22">
        <f t="shared" si="0"/>
        <v>0</v>
      </c>
      <c r="F18" s="14"/>
      <c r="G18" s="14"/>
      <c r="H18" s="14"/>
      <c r="I18" s="14"/>
      <c r="J18" s="14"/>
    </row>
    <row r="19" spans="1:10" x14ac:dyDescent="0.25">
      <c r="A19" s="21"/>
      <c r="B19" s="21"/>
      <c r="C19" s="22"/>
      <c r="D19" s="23"/>
      <c r="E19" s="22">
        <f t="shared" si="0"/>
        <v>0</v>
      </c>
      <c r="F19" s="14"/>
      <c r="G19" s="14"/>
      <c r="H19" s="14"/>
      <c r="I19" s="14"/>
      <c r="J19" s="14"/>
    </row>
    <row r="20" spans="1:10" x14ac:dyDescent="0.25">
      <c r="A20" s="14"/>
      <c r="B20" s="14"/>
      <c r="C20" s="14"/>
      <c r="D20" s="24" t="s">
        <v>1203</v>
      </c>
      <c r="E20" s="20">
        <f>SUM(E11:E19)</f>
        <v>0</v>
      </c>
      <c r="F20" s="14"/>
      <c r="G20" s="14"/>
      <c r="H20" s="14"/>
      <c r="I20" s="14"/>
      <c r="J20" s="14"/>
    </row>
    <row r="21" spans="1:10" x14ac:dyDescent="0.25">
      <c r="A21" s="14"/>
      <c r="B21" s="14"/>
      <c r="C21" s="14"/>
      <c r="D21" s="14"/>
      <c r="E21" s="14"/>
      <c r="F21" s="14"/>
      <c r="G21" s="14"/>
      <c r="H21" s="14"/>
      <c r="I21" s="14"/>
      <c r="J21" s="14"/>
    </row>
    <row r="22" spans="1:10" x14ac:dyDescent="0.25">
      <c r="A22" s="19" t="s">
        <v>15</v>
      </c>
      <c r="B22" s="14"/>
      <c r="C22" s="14"/>
      <c r="D22" s="14"/>
      <c r="E22" s="14"/>
      <c r="F22" s="14"/>
      <c r="G22" s="14"/>
      <c r="H22" s="14"/>
      <c r="I22" s="14"/>
      <c r="J22" s="14"/>
    </row>
    <row r="23" spans="1:10" x14ac:dyDescent="0.25">
      <c r="A23" s="20" t="s">
        <v>1180</v>
      </c>
      <c r="B23" s="20" t="s">
        <v>20</v>
      </c>
      <c r="C23" s="20" t="s">
        <v>1031</v>
      </c>
      <c r="D23" s="20" t="s">
        <v>1204</v>
      </c>
      <c r="E23" s="20" t="s">
        <v>1205</v>
      </c>
      <c r="F23" s="20" t="s">
        <v>1206</v>
      </c>
      <c r="G23" s="20" t="s">
        <v>1207</v>
      </c>
      <c r="H23" s="20" t="s">
        <v>1208</v>
      </c>
      <c r="I23" s="20" t="s">
        <v>1</v>
      </c>
      <c r="J23" s="20" t="s">
        <v>1203</v>
      </c>
    </row>
    <row r="24" spans="1:10" x14ac:dyDescent="0.25">
      <c r="A24" s="21"/>
      <c r="B24" s="21" t="str">
        <f>IF($A24&lt;&gt;"",VLOOKUP($A24,tblMaterials2013!$A$3:$L$10000,2,FALSE),"")</f>
        <v/>
      </c>
      <c r="C24" s="21"/>
      <c r="D24" s="21" t="str">
        <f>IF($A24&lt;&gt;"",VLOOKUP($A24,tblMaterials2013!$A$3:$L$1000,5,FALSE),"")</f>
        <v/>
      </c>
      <c r="E24" s="21"/>
      <c r="F24" s="21" t="str">
        <f>IF($A24&lt;&gt;"",IF(VLOOKUP($A24,tblMaterials2013!$A$3:$L$10000,6,FALSE)&lt;&gt;FALSE,VLOOKUP($A24,tblMaterials2013!$A$3:$L$10000,6,FALSE),""), "")</f>
        <v/>
      </c>
      <c r="G24" s="21"/>
      <c r="H24" s="21" t="str">
        <f>IF($A24&lt;&gt;"",IF(VLOOKUP($A24,tblMaterials2013!$A$3:$L$10000,7,FALSE)&lt;&gt;FALSE,VLOOKUP($A24,tblMaterials2013!$A$3:$L$10000,7,FALSE),""), "")</f>
        <v/>
      </c>
      <c r="I24" s="23"/>
      <c r="J24" s="22">
        <f t="shared" ref="J24" si="1">IF($A24="",0,D24*I24)</f>
        <v>0</v>
      </c>
    </row>
    <row r="25" spans="1:10" x14ac:dyDescent="0.25">
      <c r="A25" s="21"/>
      <c r="B25" s="21" t="str">
        <f>IF($A25&lt;&gt;"",VLOOKUP($A25,tblMaterials2013!$A$3:$L$10000,2,FALSE),"")</f>
        <v/>
      </c>
      <c r="C25" s="21"/>
      <c r="D25" s="21" t="str">
        <f>IF($A25&lt;&gt;"",VLOOKUP($A25,tblMaterials2013!$A$3:$L$1000,5,FALSE),"")</f>
        <v/>
      </c>
      <c r="E25" s="21"/>
      <c r="F25" s="21" t="str">
        <f>IF($A25&lt;&gt;"",IF(VLOOKUP($A25,tblMaterials2013!$A$3:$L$10000,6,FALSE)&lt;&gt;FALSE,VLOOKUP($A25,tblMaterials2013!$A$3:$L$10000,6,FALSE),""), "")</f>
        <v/>
      </c>
      <c r="G25" s="21"/>
      <c r="H25" s="21" t="str">
        <f>IF($A25&lt;&gt;"",IF(VLOOKUP($A25,tblMaterials2013!$A$3:$L$10000,7,FALSE)&lt;&gt;FALSE,VLOOKUP($A25,tblMaterials2013!$A$3:$L$10000,7,FALSE),""), "")</f>
        <v/>
      </c>
      <c r="I25" s="23"/>
      <c r="J25" s="22">
        <f t="shared" ref="J25:J29" si="2">IF($A25="",0,D25*I25)</f>
        <v>0</v>
      </c>
    </row>
    <row r="26" spans="1:10" x14ac:dyDescent="0.25">
      <c r="A26" s="21"/>
      <c r="B26" s="21" t="str">
        <f>IF($A26&lt;&gt;"",VLOOKUP($A26,tblMaterials2013!$A$3:$L$10000,2,FALSE),"")</f>
        <v/>
      </c>
      <c r="C26" s="21"/>
      <c r="D26" s="21" t="str">
        <f>IF($A26&lt;&gt;"",VLOOKUP($A26,tblMaterials2013!$A$3:$L$1000,5,FALSE),"")</f>
        <v/>
      </c>
      <c r="E26" s="21"/>
      <c r="F26" s="21" t="str">
        <f>IF($A26&lt;&gt;"",IF(VLOOKUP($A26,tblMaterials2013!$A$3:$L$10000,6,FALSE)&lt;&gt;FALSE,VLOOKUP($A26,tblMaterials2013!$A$3:$L$10000,6,FALSE),""), "")</f>
        <v/>
      </c>
      <c r="G26" s="21"/>
      <c r="H26" s="21" t="str">
        <f>IF($A26&lt;&gt;"",IF(VLOOKUP($A26,tblMaterials2013!$A$3:$L$10000,7,FALSE)&lt;&gt;FALSE,VLOOKUP($A26,tblMaterials2013!$A$3:$L$10000,7,FALSE),""), "")</f>
        <v/>
      </c>
      <c r="I26" s="23"/>
      <c r="J26" s="22">
        <f t="shared" si="2"/>
        <v>0</v>
      </c>
    </row>
    <row r="27" spans="1:10" x14ac:dyDescent="0.25">
      <c r="A27" s="21"/>
      <c r="B27" s="21" t="str">
        <f>IF($A27&lt;&gt;"",VLOOKUP($A27,tblMaterials2013!$A$3:$L$10000,2,FALSE),"")</f>
        <v/>
      </c>
      <c r="C27" s="21"/>
      <c r="D27" s="21" t="str">
        <f>IF($A27&lt;&gt;"",VLOOKUP($A27,tblMaterials2013!$A$3:$L$1000,5,FALSE),"")</f>
        <v/>
      </c>
      <c r="E27" s="21"/>
      <c r="F27" s="21" t="str">
        <f>IF($A27&lt;&gt;"",IF(VLOOKUP($A27,tblMaterials2013!$A$3:$L$10000,6,FALSE)&lt;&gt;FALSE,VLOOKUP($A27,tblMaterials2013!$A$3:$L$10000,6,FALSE),""), "")</f>
        <v/>
      </c>
      <c r="G27" s="21"/>
      <c r="H27" s="21" t="str">
        <f>IF($A27&lt;&gt;"",IF(VLOOKUP($A27,tblMaterials2013!$A$3:$L$10000,7,FALSE)&lt;&gt;FALSE,VLOOKUP($A27,tblMaterials2013!$A$3:$L$10000,7,FALSE),""), "")</f>
        <v/>
      </c>
      <c r="I27" s="23"/>
      <c r="J27" s="22">
        <f t="shared" si="2"/>
        <v>0</v>
      </c>
    </row>
    <row r="28" spans="1:10" x14ac:dyDescent="0.25">
      <c r="A28" s="21"/>
      <c r="B28" s="21" t="str">
        <f>IF($A28&lt;&gt;"",VLOOKUP($A28,tblMaterials2013!$A$3:$L$10000,2,FALSE),"")</f>
        <v/>
      </c>
      <c r="C28" s="21"/>
      <c r="D28" s="21" t="str">
        <f>IF($A28&lt;&gt;"",VLOOKUP($A28,tblMaterials2013!$A$3:$L$1000,5,FALSE),"")</f>
        <v/>
      </c>
      <c r="E28" s="21"/>
      <c r="F28" s="21" t="str">
        <f>IF($A28&lt;&gt;"",IF(VLOOKUP($A28,tblMaterials2013!$A$3:$L$10000,6,FALSE)&lt;&gt;FALSE,VLOOKUP($A28,tblMaterials2013!$A$3:$L$10000,6,FALSE),""), "")</f>
        <v/>
      </c>
      <c r="G28" s="21"/>
      <c r="H28" s="21" t="str">
        <f>IF($A28&lt;&gt;"",IF(VLOOKUP($A28,tblMaterials2013!$A$3:$L$10000,7,FALSE)&lt;&gt;FALSE,VLOOKUP($A28,tblMaterials2013!$A$3:$L$10000,7,FALSE),""), "")</f>
        <v/>
      </c>
      <c r="I28" s="23"/>
      <c r="J28" s="22">
        <f t="shared" si="2"/>
        <v>0</v>
      </c>
    </row>
    <row r="29" spans="1:10" x14ac:dyDescent="0.25">
      <c r="A29" s="21"/>
      <c r="B29" s="21" t="str">
        <f>IF($A29&lt;&gt;"",VLOOKUP($A29,tblMaterials2013!$A$3:$L$10000,2,FALSE),"")</f>
        <v/>
      </c>
      <c r="C29" s="21"/>
      <c r="D29" s="21" t="str">
        <f>IF($A29&lt;&gt;"",VLOOKUP($A29,tblMaterials2013!$A$3:$L$1000,5,FALSE),"")</f>
        <v/>
      </c>
      <c r="E29" s="21"/>
      <c r="F29" s="21" t="str">
        <f>IF($A29&lt;&gt;"",IF(VLOOKUP($A29,tblMaterials2013!$A$3:$L$10000,6,FALSE)&lt;&gt;FALSE,VLOOKUP($A29,tblMaterials2013!$A$3:$L$10000,6,FALSE),""), "")</f>
        <v/>
      </c>
      <c r="G29" s="21"/>
      <c r="H29" s="21" t="str">
        <f>IF($A29&lt;&gt;"",IF(VLOOKUP($A29,tblMaterials2013!$A$3:$L$10000,7,FALSE)&lt;&gt;FALSE,VLOOKUP($A29,tblMaterials2013!$A$3:$L$10000,7,FALSE),""), "")</f>
        <v/>
      </c>
      <c r="I29" s="23"/>
      <c r="J29" s="22">
        <f t="shared" si="2"/>
        <v>0</v>
      </c>
    </row>
    <row r="30" spans="1:10" x14ac:dyDescent="0.25">
      <c r="A30" s="19"/>
      <c r="B30" s="19"/>
      <c r="C30" s="19"/>
      <c r="D30" s="19"/>
      <c r="E30" s="19"/>
      <c r="F30" s="19"/>
      <c r="G30" s="19"/>
      <c r="H30" s="19"/>
      <c r="I30" s="24" t="s">
        <v>1203</v>
      </c>
      <c r="J30" s="20">
        <f>SUM(J24:J29)</f>
        <v>0</v>
      </c>
    </row>
    <row r="31" spans="1:10" x14ac:dyDescent="0.25">
      <c r="A31" s="14"/>
      <c r="B31" s="14"/>
      <c r="C31" s="14"/>
      <c r="D31" s="14"/>
      <c r="E31" s="14"/>
      <c r="F31" s="14"/>
      <c r="G31" s="14"/>
      <c r="H31" s="14"/>
      <c r="I31" s="14"/>
      <c r="J31" s="14"/>
    </row>
    <row r="32" spans="1:10" x14ac:dyDescent="0.25">
      <c r="A32" s="19" t="s">
        <v>17</v>
      </c>
      <c r="B32" s="14"/>
      <c r="C32" s="14"/>
      <c r="D32" s="14"/>
      <c r="E32" s="14"/>
      <c r="F32" s="14"/>
      <c r="G32" s="14"/>
      <c r="H32" s="14"/>
      <c r="I32" s="19"/>
      <c r="J32" s="19"/>
    </row>
    <row r="33" spans="1:10" x14ac:dyDescent="0.25">
      <c r="A33" s="20" t="s">
        <v>1180</v>
      </c>
      <c r="B33" s="20" t="s">
        <v>824</v>
      </c>
      <c r="C33" s="20" t="s">
        <v>1031</v>
      </c>
      <c r="D33" s="20" t="s">
        <v>1204</v>
      </c>
      <c r="E33" s="20" t="s">
        <v>166</v>
      </c>
      <c r="F33" s="20" t="s">
        <v>1</v>
      </c>
      <c r="G33" s="20" t="s">
        <v>1209</v>
      </c>
      <c r="H33" s="20" t="s">
        <v>1210</v>
      </c>
      <c r="I33" s="20" t="s">
        <v>1203</v>
      </c>
      <c r="J33" s="19"/>
    </row>
    <row r="34" spans="1:10" x14ac:dyDescent="0.25">
      <c r="A34" s="21"/>
      <c r="B34" s="21" t="str">
        <f>IF($A34&lt;&gt;"",VLOOKUP($A34,tblProcesses2013!$A$3:$J$9998,2,FALSE),"")</f>
        <v/>
      </c>
      <c r="C34" s="21"/>
      <c r="D34" s="21" t="str">
        <f>IF($A34&lt;&gt;"",VLOOKUP($A34,tblProcesses2013!$A$3:$J$9998,3,FALSE),"")</f>
        <v/>
      </c>
      <c r="E34" s="21" t="str">
        <f>IF($A34&lt;&gt;"",VLOOKUP($A34,tblProcesses2013!$A$3:$J$9998,4,FALSE),"")</f>
        <v/>
      </c>
      <c r="F34" s="21"/>
      <c r="G34" s="21" t="str">
        <f>IF($A34&lt;&gt;"",IF(ISBLANK(VLOOKUP($A34,tblProcesses2013!$A$3:$J$9998,8,FALSE)),"","?"),"")</f>
        <v/>
      </c>
      <c r="H34" s="21" t="str">
        <f>IF(AND($G34&lt;&gt;"",$G34&lt;&gt;"?"),VLOOKUP($G34,tblProcessMultipliers2013!$A$3:$E$10000,3,FALSE),"")</f>
        <v/>
      </c>
      <c r="I34" s="22">
        <f>IF($A34&lt;&gt;"",IF($H34&lt;&gt;"",$D34*$F34*$H34,$D34*$F34),0)</f>
        <v>0</v>
      </c>
      <c r="J34" s="14"/>
    </row>
    <row r="35" spans="1:10" x14ac:dyDescent="0.25">
      <c r="A35" s="21"/>
      <c r="B35" s="21" t="str">
        <f>IF($A35&lt;&gt;"",VLOOKUP($A35,tblProcesses2013!$A$3:$J$9998,2,FALSE),"")</f>
        <v/>
      </c>
      <c r="C35" s="21"/>
      <c r="D35" s="21" t="str">
        <f>IF($A35&lt;&gt;"",VLOOKUP($A35,tblProcesses2013!$A$3:$J$9998,3,FALSE),"")</f>
        <v/>
      </c>
      <c r="E35" s="21" t="str">
        <f>IF($A35&lt;&gt;"",VLOOKUP($A35,tblProcesses2013!$A$3:$J$9998,4,FALSE),"")</f>
        <v/>
      </c>
      <c r="F35" s="21"/>
      <c r="G35" s="21" t="str">
        <f>IF($A35&lt;&gt;"",IF(ISBLANK(VLOOKUP($A35,tblProcesses2013!$A$3:$J$9998,8,FALSE)),"","?"),"")</f>
        <v/>
      </c>
      <c r="H35" s="21" t="str">
        <f>IF(AND($G35&lt;&gt;"",$G35&lt;&gt;"?"),VLOOKUP($G35,tblProcessMultipliers2013!$A$3:$E$10000,3,FALSE),"")</f>
        <v/>
      </c>
      <c r="I35" s="22">
        <f>IF($A35&lt;&gt;"",IF($H35&lt;&gt;"",$D35*$F35*$H35,$D35*$F35),0)</f>
        <v>0</v>
      </c>
      <c r="J35" s="14"/>
    </row>
    <row r="36" spans="1:10" x14ac:dyDescent="0.25">
      <c r="A36" s="21"/>
      <c r="B36" s="21" t="str">
        <f>IF($A36&lt;&gt;"",VLOOKUP($A36,tblProcesses2013!$A$3:$J$9998,2,FALSE),"")</f>
        <v/>
      </c>
      <c r="C36" s="21"/>
      <c r="D36" s="21" t="str">
        <f>IF($A36&lt;&gt;"",VLOOKUP($A36,tblProcesses2013!$A$3:$J$9998,3,FALSE),"")</f>
        <v/>
      </c>
      <c r="E36" s="21" t="str">
        <f>IF($A36&lt;&gt;"",VLOOKUP($A36,tblProcesses2013!$A$3:$J$9998,4,FALSE),"")</f>
        <v/>
      </c>
      <c r="F36" s="21"/>
      <c r="G36" s="21" t="str">
        <f>IF($A36&lt;&gt;"",IF(ISBLANK(VLOOKUP($A36,tblProcesses2013!$A$3:$J$9998,8,FALSE)),"","?"),"")</f>
        <v/>
      </c>
      <c r="H36" s="21" t="str">
        <f>IF(AND($G36&lt;&gt;"",$G36&lt;&gt;"?"),VLOOKUP($G36,tblProcessMultipliers2013!$A$3:$E$10000,3,FALSE),"")</f>
        <v/>
      </c>
      <c r="I36" s="22">
        <f>IF($A36&lt;&gt;"",IF($H36&lt;&gt;"",$D36*$F36*$H36,$D36*$F36),0)</f>
        <v>0</v>
      </c>
      <c r="J36" s="14"/>
    </row>
    <row r="37" spans="1:10" x14ac:dyDescent="0.25">
      <c r="A37" s="21"/>
      <c r="B37" s="21" t="str">
        <f>IF($A37&lt;&gt;"",VLOOKUP($A37,tblProcesses2013!$A$3:$J$9998,2,FALSE),"")</f>
        <v/>
      </c>
      <c r="C37" s="21"/>
      <c r="D37" s="21" t="str">
        <f>IF($A37&lt;&gt;"",VLOOKUP($A37,tblProcesses2013!$A$3:$J$9998,3,FALSE),"")</f>
        <v/>
      </c>
      <c r="E37" s="21" t="str">
        <f>IF($A37&lt;&gt;"",VLOOKUP($A37,tblProcesses2013!$A$3:$J$9998,4,FALSE),"")</f>
        <v/>
      </c>
      <c r="F37" s="21"/>
      <c r="G37" s="21" t="str">
        <f>IF($A37&lt;&gt;"",IF(ISBLANK(VLOOKUP($A37,tblProcesses2013!$A$3:$J$9998,8,FALSE)),"","?"),"")</f>
        <v/>
      </c>
      <c r="H37" s="21" t="str">
        <f>IF(AND($G37&lt;&gt;"",$G37&lt;&gt;"?"),VLOOKUP($G37,tblProcessMultipliers2013!$A$3:$E$10000,3,FALSE),"")</f>
        <v/>
      </c>
      <c r="I37" s="22">
        <f>IF($A37&lt;&gt;"",IF($H37&lt;&gt;"",$D37*$F37*$H37,$D37*$F37),0)</f>
        <v>0</v>
      </c>
      <c r="J37" s="14"/>
    </row>
    <row r="38" spans="1:10" x14ac:dyDescent="0.25">
      <c r="A38" s="21"/>
      <c r="B38" s="21" t="str">
        <f>IF($A38&lt;&gt;"",VLOOKUP($A38,tblProcesses2013!$A$3:$J$9998,2,FALSE),"")</f>
        <v/>
      </c>
      <c r="C38" s="21"/>
      <c r="D38" s="21" t="str">
        <f>IF($A38&lt;&gt;"",VLOOKUP($A38,tblProcesses2013!$A$3:$J$9998,3,FALSE),"")</f>
        <v/>
      </c>
      <c r="E38" s="21" t="str">
        <f>IF($A38&lt;&gt;"",VLOOKUP($A38,tblProcesses2013!$A$3:$J$9998,4,FALSE),"")</f>
        <v/>
      </c>
      <c r="F38" s="21"/>
      <c r="G38" s="21" t="str">
        <f>IF($A38&lt;&gt;"",IF(ISBLANK(VLOOKUP($A38,tblProcesses2013!$A$3:$J$9998,8,FALSE)),"","?"),"")</f>
        <v/>
      </c>
      <c r="H38" s="21" t="str">
        <f>IF(AND($G38&lt;&gt;"",$G38&lt;&gt;"?"),VLOOKUP($G38,tblProcessMultipliers2013!$A$3:$E$10000,3,FALSE),"")</f>
        <v/>
      </c>
      <c r="I38" s="22">
        <f>IF($A38&lt;&gt;"",IF($H38&lt;&gt;"",$D38*$F38*$H38,$D38*$F38),0)</f>
        <v>0</v>
      </c>
      <c r="J38" s="14"/>
    </row>
    <row r="39" spans="1:10" x14ac:dyDescent="0.25">
      <c r="A39" s="21"/>
      <c r="B39" s="21" t="str">
        <f>IF($A39&lt;&gt;"",VLOOKUP($A39,tblProcesses2013!$A$3:$J$9998,2,FALSE),"")</f>
        <v/>
      </c>
      <c r="C39" s="21"/>
      <c r="D39" s="21" t="str">
        <f>IF($A39&lt;&gt;"",VLOOKUP($A39,tblProcesses2013!$A$3:$J$9998,3,FALSE),"")</f>
        <v/>
      </c>
      <c r="E39" s="21" t="str">
        <f>IF($A39&lt;&gt;"",VLOOKUP($A39,tblProcesses2013!$A$3:$J$9998,4,FALSE),"")</f>
        <v/>
      </c>
      <c r="F39" s="21"/>
      <c r="G39" s="21" t="str">
        <f>IF($A39&lt;&gt;"",IF(ISBLANK(VLOOKUP($A39,tblProcesses2013!$A$3:$J$9998,8,FALSE)),"","?"),"")</f>
        <v/>
      </c>
      <c r="H39" s="21" t="str">
        <f>IF(AND($G39&lt;&gt;"",$G39&lt;&gt;"?"),VLOOKUP($G39,tblProcessMultipliers2013!$A$3:$E$10000,3,FALSE),"")</f>
        <v/>
      </c>
      <c r="I39" s="22">
        <f>IF($A39&lt;&gt;"",IF($H39&lt;&gt;"",$D39*$F39*$H39,$D39*$F39),0)</f>
        <v>0</v>
      </c>
      <c r="J39" s="14"/>
    </row>
    <row r="40" spans="1:10" x14ac:dyDescent="0.25">
      <c r="A40" s="21"/>
      <c r="B40" s="21" t="str">
        <f>IF($A40&lt;&gt;"",VLOOKUP($A40,tblProcesses2013!$A$3:$J$9998,2,FALSE),"")</f>
        <v/>
      </c>
      <c r="C40" s="21"/>
      <c r="D40" s="21" t="str">
        <f>IF($A40&lt;&gt;"",VLOOKUP($A40,tblProcesses2013!$A$3:$J$9998,3,FALSE),"")</f>
        <v/>
      </c>
      <c r="E40" s="21" t="str">
        <f>IF($A40&lt;&gt;"",VLOOKUP($A40,tblProcesses2013!$A$3:$J$9998,4,FALSE),"")</f>
        <v/>
      </c>
      <c r="F40" s="21"/>
      <c r="G40" s="21" t="str">
        <f>IF($A40&lt;&gt;"",IF(ISBLANK(VLOOKUP($A40,tblProcesses2013!$A$3:$J$9998,8,FALSE)),"","?"),"")</f>
        <v/>
      </c>
      <c r="H40" s="21" t="str">
        <f>IF(AND($G40&lt;&gt;"",$G40&lt;&gt;"?"),VLOOKUP($G40,tblProcessMultipliers2013!$A$3:$E$10000,3,FALSE),"")</f>
        <v/>
      </c>
      <c r="I40" s="22">
        <f>IF($A40&lt;&gt;"",IF($H40&lt;&gt;"",$D40*$F40*$H40,$D40*$F40),0)</f>
        <v>0</v>
      </c>
      <c r="J40" s="14"/>
    </row>
    <row r="41" spans="1:10" x14ac:dyDescent="0.25">
      <c r="A41" s="21"/>
      <c r="B41" s="21" t="str">
        <f>IF($A41&lt;&gt;"",VLOOKUP($A41,tblProcesses2013!$A$3:$J$9998,2,FALSE),"")</f>
        <v/>
      </c>
      <c r="C41" s="21"/>
      <c r="D41" s="21" t="str">
        <f>IF($A41&lt;&gt;"",VLOOKUP($A41,tblProcesses2013!$A$3:$J$9998,3,FALSE),"")</f>
        <v/>
      </c>
      <c r="E41" s="21" t="str">
        <f>IF($A41&lt;&gt;"",VLOOKUP($A41,tblProcesses2013!$A$3:$J$9998,4,FALSE),"")</f>
        <v/>
      </c>
      <c r="F41" s="21"/>
      <c r="G41" s="21" t="str">
        <f>IF($A41&lt;&gt;"",IF(ISBLANK(VLOOKUP($A41,tblProcesses2013!$A$3:$J$9998,8,FALSE)),"","?"),"")</f>
        <v/>
      </c>
      <c r="H41" s="21" t="str">
        <f>IF(AND($G41&lt;&gt;"",$G41&lt;&gt;"?"),VLOOKUP($G41,tblProcessMultipliers2013!$A$3:$E$10000,3,FALSE),"")</f>
        <v/>
      </c>
      <c r="I41" s="22">
        <f>IF($A41&lt;&gt;"",IF($H41&lt;&gt;"",$D41*$F41*$H41,$D41*$F41),0)</f>
        <v>0</v>
      </c>
      <c r="J41" s="14"/>
    </row>
    <row r="42" spans="1:10" x14ac:dyDescent="0.25">
      <c r="A42" s="21"/>
      <c r="B42" s="21" t="str">
        <f>IF($A42&lt;&gt;"",VLOOKUP($A42,tblProcesses2013!$A$3:$J$9998,2,FALSE),"")</f>
        <v/>
      </c>
      <c r="C42" s="21"/>
      <c r="D42" s="21" t="str">
        <f>IF($A42&lt;&gt;"",VLOOKUP($A42,tblProcesses2013!$A$3:$J$9998,3,FALSE),"")</f>
        <v/>
      </c>
      <c r="E42" s="21" t="str">
        <f>IF($A42&lt;&gt;"",VLOOKUP($A42,tblProcesses2013!$A$3:$J$9998,4,FALSE),"")</f>
        <v/>
      </c>
      <c r="F42" s="21"/>
      <c r="G42" s="21" t="str">
        <f>IF($A42&lt;&gt;"",IF(ISBLANK(VLOOKUP($A42,tblProcesses2013!$A$3:$J$9998,8,FALSE)),"","?"),"")</f>
        <v/>
      </c>
      <c r="H42" s="21" t="str">
        <f>IF(AND($G42&lt;&gt;"",$G42&lt;&gt;"?"),VLOOKUP($G42,tblProcessMultipliers2013!$A$3:$E$10000,3,FALSE),"")</f>
        <v/>
      </c>
      <c r="I42" s="22">
        <f>IF($A42&lt;&gt;"",IF($H42&lt;&gt;"",$D42*$F42*$H42,$D42*$F42),0)</f>
        <v>0</v>
      </c>
      <c r="J42" s="14"/>
    </row>
    <row r="43" spans="1:10" x14ac:dyDescent="0.25">
      <c r="A43" s="21"/>
      <c r="B43" s="21" t="str">
        <f>IF($A43&lt;&gt;"",VLOOKUP($A43,tblProcesses2013!$A$3:$J$9998,2,FALSE),"")</f>
        <v/>
      </c>
      <c r="C43" s="21"/>
      <c r="D43" s="21" t="str">
        <f>IF($A43&lt;&gt;"",VLOOKUP($A43,tblProcesses2013!$A$3:$J$9998,3,FALSE),"")</f>
        <v/>
      </c>
      <c r="E43" s="21" t="str">
        <f>IF($A43&lt;&gt;"",VLOOKUP($A43,tblProcesses2013!$A$3:$J$9998,4,FALSE),"")</f>
        <v/>
      </c>
      <c r="F43" s="21"/>
      <c r="G43" s="21" t="str">
        <f>IF($A43&lt;&gt;"",IF(ISBLANK(VLOOKUP($A43,tblProcesses2013!$A$3:$J$9998,8,FALSE)),"","?"),"")</f>
        <v/>
      </c>
      <c r="H43" s="21" t="str">
        <f>IF(AND($G43&lt;&gt;"",$G43&lt;&gt;"?"),VLOOKUP($G43,tblProcessMultipliers2013!$A$3:$E$10000,3,FALSE),"")</f>
        <v/>
      </c>
      <c r="I43" s="22">
        <f>IF($A43&lt;&gt;"",IF($H43&lt;&gt;"",$D43*$F43*$H43,$D43*$F43),0)</f>
        <v>0</v>
      </c>
      <c r="J43" s="14"/>
    </row>
    <row r="44" spans="1:10" x14ac:dyDescent="0.25">
      <c r="A44" s="21"/>
      <c r="B44" s="21" t="str">
        <f>IF($A44&lt;&gt;"",VLOOKUP($A44,tblProcesses2013!$A$3:$J$9998,2,FALSE),"")</f>
        <v/>
      </c>
      <c r="C44" s="21"/>
      <c r="D44" s="21" t="str">
        <f>IF($A44&lt;&gt;"",VLOOKUP($A44,tblProcesses2013!$A$3:$J$9998,3,FALSE),"")</f>
        <v/>
      </c>
      <c r="E44" s="21" t="str">
        <f>IF($A44&lt;&gt;"",VLOOKUP($A44,tblProcesses2013!$A$3:$J$9998,4,FALSE),"")</f>
        <v/>
      </c>
      <c r="F44" s="21"/>
      <c r="G44" s="21" t="str">
        <f>IF($A44&lt;&gt;"",IF(ISBLANK(VLOOKUP($A44,tblProcesses2013!$A$3:$J$9998,8,FALSE)),"","?"),"")</f>
        <v/>
      </c>
      <c r="H44" s="21" t="str">
        <f>IF(AND($G44&lt;&gt;"",$G44&lt;&gt;"?"),VLOOKUP($G44,tblProcessMultipliers2013!$A$3:$E$10000,3,FALSE),"")</f>
        <v/>
      </c>
      <c r="I44" s="22">
        <f>IF($A44&lt;&gt;"",IF($H44&lt;&gt;"",$D44*$F44*$H44,$D44*$F44),0)</f>
        <v>0</v>
      </c>
      <c r="J44" s="14"/>
    </row>
    <row r="45" spans="1:10" x14ac:dyDescent="0.25">
      <c r="A45" s="21"/>
      <c r="B45" s="21" t="str">
        <f>IF($A45&lt;&gt;"",VLOOKUP($A45,tblProcesses2013!$A$3:$J$9998,2,FALSE),"")</f>
        <v/>
      </c>
      <c r="C45" s="21"/>
      <c r="D45" s="21" t="str">
        <f>IF($A45&lt;&gt;"",VLOOKUP($A45,tblProcesses2013!$A$3:$J$9998,3,FALSE),"")</f>
        <v/>
      </c>
      <c r="E45" s="21" t="str">
        <f>IF($A45&lt;&gt;"",VLOOKUP($A45,tblProcesses2013!$A$3:$J$9998,4,FALSE),"")</f>
        <v/>
      </c>
      <c r="F45" s="21"/>
      <c r="G45" s="21" t="str">
        <f>IF($A45&lt;&gt;"",IF(ISBLANK(VLOOKUP($A45,tblProcesses2013!$A$3:$J$9998,8,FALSE)),"","?"),"")</f>
        <v/>
      </c>
      <c r="H45" s="21" t="str">
        <f>IF(AND($G45&lt;&gt;"",$G45&lt;&gt;"?"),VLOOKUP($G45,tblProcessMultipliers2013!$A$3:$E$10000,3,FALSE),"")</f>
        <v/>
      </c>
      <c r="I45" s="22">
        <f>IF($A45&lt;&gt;"",IF($H45&lt;&gt;"",$D45*$F45*$H45,$D45*$F45),0)</f>
        <v>0</v>
      </c>
      <c r="J45" s="19"/>
    </row>
    <row r="46" spans="1:10" x14ac:dyDescent="0.25">
      <c r="A46" s="21"/>
      <c r="B46" s="21" t="str">
        <f>IF($A46&lt;&gt;"",VLOOKUP($A46,tblProcesses2013!$A$3:$J$9998,2,FALSE),"")</f>
        <v/>
      </c>
      <c r="C46" s="21"/>
      <c r="D46" s="21" t="str">
        <f>IF($A46&lt;&gt;"",VLOOKUP($A46,tblProcesses2013!$A$3:$J$9998,3,FALSE),"")</f>
        <v/>
      </c>
      <c r="E46" s="21" t="str">
        <f>IF($A46&lt;&gt;"",VLOOKUP($A46,tblProcesses2013!$A$3:$J$9998,4,FALSE),"")</f>
        <v/>
      </c>
      <c r="F46" s="21"/>
      <c r="G46" s="21" t="str">
        <f>IF($A46&lt;&gt;"",IF(ISBLANK(VLOOKUP($A46,tblProcesses2013!$A$3:$J$9998,8,FALSE)),"","?"),"")</f>
        <v/>
      </c>
      <c r="H46" s="21" t="str">
        <f>IF(AND($G46&lt;&gt;"",$G46&lt;&gt;"?"),VLOOKUP($G46,tblProcessMultipliers2013!$A$3:$E$10000,3,FALSE),"")</f>
        <v/>
      </c>
      <c r="I46" s="22">
        <f>IF($A46&lt;&gt;"",IF($H46&lt;&gt;"",$D46*$F46*$H46,$D46*$F46),0)</f>
        <v>0</v>
      </c>
      <c r="J46" s="19"/>
    </row>
    <row r="47" spans="1:10" x14ac:dyDescent="0.25">
      <c r="A47" s="19"/>
      <c r="B47" s="19"/>
      <c r="C47" s="19"/>
      <c r="D47" s="19"/>
      <c r="E47" s="19"/>
      <c r="F47" s="19"/>
      <c r="G47" s="19"/>
      <c r="H47" s="24" t="s">
        <v>1203</v>
      </c>
      <c r="I47" s="20">
        <f>SUM(I34:I46)</f>
        <v>0</v>
      </c>
      <c r="J47" s="14"/>
    </row>
    <row r="48" spans="1:10" x14ac:dyDescent="0.25">
      <c r="A48" s="19"/>
      <c r="B48" s="19"/>
      <c r="C48" s="19"/>
      <c r="D48" s="19"/>
      <c r="E48" s="19"/>
      <c r="F48" s="19"/>
      <c r="G48" s="19"/>
      <c r="H48" s="19"/>
      <c r="I48" s="19"/>
      <c r="J48" s="19"/>
    </row>
    <row r="49" spans="1:10" x14ac:dyDescent="0.25">
      <c r="A49" s="19" t="s">
        <v>16</v>
      </c>
      <c r="B49" s="14"/>
      <c r="C49" s="14"/>
      <c r="D49" s="14"/>
      <c r="E49" s="14"/>
      <c r="F49" s="14"/>
      <c r="G49" s="14"/>
      <c r="H49" s="14"/>
      <c r="I49" s="14"/>
      <c r="J49" s="14"/>
    </row>
    <row r="50" spans="1:10" x14ac:dyDescent="0.25">
      <c r="A50" s="20" t="s">
        <v>1180</v>
      </c>
      <c r="B50" s="20" t="s">
        <v>1066</v>
      </c>
      <c r="C50" s="20" t="s">
        <v>1031</v>
      </c>
      <c r="D50" s="20" t="s">
        <v>1204</v>
      </c>
      <c r="E50" s="20" t="s">
        <v>1205</v>
      </c>
      <c r="F50" s="20" t="s">
        <v>1206</v>
      </c>
      <c r="G50" s="20" t="s">
        <v>1207</v>
      </c>
      <c r="H50" s="20" t="s">
        <v>1208</v>
      </c>
      <c r="I50" s="20" t="s">
        <v>1</v>
      </c>
      <c r="J50" s="20" t="s">
        <v>1203</v>
      </c>
    </row>
    <row r="51" spans="1:10" x14ac:dyDescent="0.25">
      <c r="A51" s="21"/>
      <c r="B51" s="21" t="str">
        <f>IF($A51&lt;&gt;"",VLOOKUP($A51,tblFasteners2013!$A$4:$R$9999,2,FALSE),"")</f>
        <v/>
      </c>
      <c r="C51" s="21"/>
      <c r="D51" s="21" t="str">
        <f>IF($A51&lt;&gt;"",VLOOKUP($A51,tblFasteners2013!$A$4:$R$9999,11,FALSE),"")</f>
        <v/>
      </c>
      <c r="E51" s="21"/>
      <c r="F51" s="21" t="str">
        <f>IF($A51&lt;&gt;"",IF(VLOOKUP($A51,tblFasteners2013!$A$4:$R$9999,4,FALSE)&lt;&gt;FALSE,VLOOKUP($A51,tblFasteners2013!$A$4:$R$9999,4,FALSE),""),"")</f>
        <v/>
      </c>
      <c r="G51" s="21"/>
      <c r="H51" s="21" t="str">
        <f>IF($A51&lt;&gt;"",IF(VLOOKUP($A51,tblFasteners2013!$A$4:$R$9999,6,FALSE)&lt;&gt;FALSE,VLOOKUP($A51,tblFasteners2013!$A$4:$R$9999,6,FALSE),""),"")</f>
        <v/>
      </c>
      <c r="I51" s="22"/>
      <c r="J51" s="22">
        <f>IF($A51&lt;&gt;"",D51*I51,0)</f>
        <v>0</v>
      </c>
    </row>
    <row r="52" spans="1:10" x14ac:dyDescent="0.25">
      <c r="A52" s="21"/>
      <c r="B52" s="21" t="str">
        <f>IF($A52&lt;&gt;"",VLOOKUP($A52,tblFasteners2013!$A$4:$R$9999,2,FALSE),"")</f>
        <v/>
      </c>
      <c r="C52" s="21"/>
      <c r="D52" s="21" t="str">
        <f>IF($A52&lt;&gt;"",VLOOKUP($A52,tblFasteners2013!$A$4:$R$9999,11,FALSE),"")</f>
        <v/>
      </c>
      <c r="E52" s="21"/>
      <c r="F52" s="21" t="str">
        <f>IF($A52&lt;&gt;"",IF(VLOOKUP($A52,tblFasteners2013!$A$4:$R$9999,4,FALSE)&lt;&gt;FALSE,VLOOKUP($A52,tblFasteners2013!$A$4:$R$9999,4,FALSE),""),"")</f>
        <v/>
      </c>
      <c r="G52" s="21"/>
      <c r="H52" s="21" t="str">
        <f>IF($A52&lt;&gt;"",IF(VLOOKUP($A52,tblFasteners2013!$A$4:$R$9999,6,FALSE)&lt;&gt;FALSE,VLOOKUP($A52,tblFasteners2013!$A$4:$R$9999,6,FALSE),""),"")</f>
        <v/>
      </c>
      <c r="I52" s="22"/>
      <c r="J52" s="22">
        <f t="shared" ref="J52:J58" si="3">IF($A52&lt;&gt;"",D52*I52,0)</f>
        <v>0</v>
      </c>
    </row>
    <row r="53" spans="1:10" x14ac:dyDescent="0.25">
      <c r="A53" s="21"/>
      <c r="B53" s="21" t="str">
        <f>IF($A53&lt;&gt;"",VLOOKUP($A53,tblFasteners2013!$A$4:$R$9999,2,FALSE),"")</f>
        <v/>
      </c>
      <c r="C53" s="21"/>
      <c r="D53" s="21" t="str">
        <f>IF($A53&lt;&gt;"",VLOOKUP($A53,tblFasteners2013!$A$4:$R$9999,11,FALSE),"")</f>
        <v/>
      </c>
      <c r="E53" s="21"/>
      <c r="F53" s="21" t="str">
        <f>IF($A53&lt;&gt;"",IF(VLOOKUP($A53,tblFasteners2013!$A$4:$R$9999,4,FALSE)&lt;&gt;FALSE,VLOOKUP($A53,tblFasteners2013!$A$4:$R$9999,4,FALSE),""),"")</f>
        <v/>
      </c>
      <c r="G53" s="21"/>
      <c r="H53" s="21" t="str">
        <f>IF($A53&lt;&gt;"",IF(VLOOKUP($A53,tblFasteners2013!$A$4:$R$9999,6,FALSE)&lt;&gt;FALSE,VLOOKUP($A53,tblFasteners2013!$A$4:$R$9999,6,FALSE),""),"")</f>
        <v/>
      </c>
      <c r="I53" s="22"/>
      <c r="J53" s="22">
        <f t="shared" si="3"/>
        <v>0</v>
      </c>
    </row>
    <row r="54" spans="1:10" x14ac:dyDescent="0.25">
      <c r="A54" s="21"/>
      <c r="B54" s="21" t="str">
        <f>IF($A54&lt;&gt;"",VLOOKUP($A54,tblFasteners2013!$A$4:$R$9999,2,FALSE),"")</f>
        <v/>
      </c>
      <c r="C54" s="21"/>
      <c r="D54" s="21" t="str">
        <f>IF($A54&lt;&gt;"",VLOOKUP($A54,tblFasteners2013!$A$4:$R$9999,11,FALSE),"")</f>
        <v/>
      </c>
      <c r="E54" s="21"/>
      <c r="F54" s="21" t="str">
        <f>IF($A54&lt;&gt;"",IF(VLOOKUP($A54,tblFasteners2013!$A$4:$R$9999,4,FALSE)&lt;&gt;FALSE,VLOOKUP($A54,tblFasteners2013!$A$4:$R$9999,4,FALSE),""),"")</f>
        <v/>
      </c>
      <c r="G54" s="21"/>
      <c r="H54" s="21" t="str">
        <f>IF($A54&lt;&gt;"",IF(VLOOKUP($A54,tblFasteners2013!$A$4:$R$9999,6,FALSE)&lt;&gt;FALSE,VLOOKUP($A54,tblFasteners2013!$A$4:$R$9999,6,FALSE),""),"")</f>
        <v/>
      </c>
      <c r="I54" s="22"/>
      <c r="J54" s="22">
        <f t="shared" si="3"/>
        <v>0</v>
      </c>
    </row>
    <row r="55" spans="1:10" x14ac:dyDescent="0.25">
      <c r="A55" s="21"/>
      <c r="B55" s="21" t="str">
        <f>IF($A55&lt;&gt;"",VLOOKUP($A55,tblFasteners2013!$A$4:$R$9999,2,FALSE),"")</f>
        <v/>
      </c>
      <c r="C55" s="21"/>
      <c r="D55" s="21" t="str">
        <f>IF($A55&lt;&gt;"",VLOOKUP($A55,tblFasteners2013!$A$4:$R$9999,11,FALSE),"")</f>
        <v/>
      </c>
      <c r="E55" s="21"/>
      <c r="F55" s="21" t="str">
        <f>IF($A55&lt;&gt;"",IF(VLOOKUP($A55,tblFasteners2013!$A$4:$R$9999,4,FALSE)&lt;&gt;FALSE,VLOOKUP($A55,tblFasteners2013!$A$4:$R$9999,4,FALSE),""),"")</f>
        <v/>
      </c>
      <c r="G55" s="21"/>
      <c r="H55" s="21" t="str">
        <f>IF($A55&lt;&gt;"",IF(VLOOKUP($A55,tblFasteners2013!$A$4:$R$9999,6,FALSE)&lt;&gt;FALSE,VLOOKUP($A55,tblFasteners2013!$A$4:$R$9999,6,FALSE),""),"")</f>
        <v/>
      </c>
      <c r="I55" s="22"/>
      <c r="J55" s="22">
        <f t="shared" si="3"/>
        <v>0</v>
      </c>
    </row>
    <row r="56" spans="1:10" x14ac:dyDescent="0.25">
      <c r="A56" s="21"/>
      <c r="B56" s="21" t="str">
        <f>IF($A56&lt;&gt;"",VLOOKUP($A56,tblFasteners2013!$A$4:$R$9999,2,FALSE),"")</f>
        <v/>
      </c>
      <c r="C56" s="21"/>
      <c r="D56" s="21" t="str">
        <f>IF($A56&lt;&gt;"",VLOOKUP($A56,tblFasteners2013!$A$4:$R$9999,11,FALSE),"")</f>
        <v/>
      </c>
      <c r="E56" s="21"/>
      <c r="F56" s="21" t="str">
        <f>IF($A56&lt;&gt;"",IF(VLOOKUP($A56,tblFasteners2013!$A$4:$R$9999,4,FALSE)&lt;&gt;FALSE,VLOOKUP($A56,tblFasteners2013!$A$4:$R$9999,4,FALSE),""),"")</f>
        <v/>
      </c>
      <c r="G56" s="21"/>
      <c r="H56" s="21" t="str">
        <f>IF($A56&lt;&gt;"",IF(VLOOKUP($A56,tblFasteners2013!$A$4:$R$9999,6,FALSE)&lt;&gt;FALSE,VLOOKUP($A56,tblFasteners2013!$A$4:$R$9999,6,FALSE),""),"")</f>
        <v/>
      </c>
      <c r="I56" s="22"/>
      <c r="J56" s="22">
        <f t="shared" si="3"/>
        <v>0</v>
      </c>
    </row>
    <row r="57" spans="1:10" x14ac:dyDescent="0.25">
      <c r="A57" s="21"/>
      <c r="B57" s="21" t="str">
        <f>IF($A57&lt;&gt;"",VLOOKUP($A57,tblFasteners2013!$A$4:$R$9999,2,FALSE),"")</f>
        <v/>
      </c>
      <c r="C57" s="21"/>
      <c r="D57" s="21" t="str">
        <f>IF($A57&lt;&gt;"",VLOOKUP($A57,tblFasteners2013!$A$4:$R$9999,11,FALSE),"")</f>
        <v/>
      </c>
      <c r="E57" s="21"/>
      <c r="F57" s="21" t="str">
        <f>IF($A57&lt;&gt;"",IF(VLOOKUP($A57,tblFasteners2013!$A$4:$R$9999,4,FALSE)&lt;&gt;FALSE,VLOOKUP($A57,tblFasteners2013!$A$4:$R$9999,4,FALSE),""),"")</f>
        <v/>
      </c>
      <c r="G57" s="21"/>
      <c r="H57" s="21" t="str">
        <f>IF($A57&lt;&gt;"",IF(VLOOKUP($A57,tblFasteners2013!$A$4:$R$9999,6,FALSE)&lt;&gt;FALSE,VLOOKUP($A57,tblFasteners2013!$A$4:$R$9999,6,FALSE),""),"")</f>
        <v/>
      </c>
      <c r="I57" s="22"/>
      <c r="J57" s="22">
        <f t="shared" si="3"/>
        <v>0</v>
      </c>
    </row>
    <row r="58" spans="1:10" x14ac:dyDescent="0.25">
      <c r="A58" s="21"/>
      <c r="B58" s="21" t="str">
        <f>IF($A58&lt;&gt;"",VLOOKUP($A58,tblFasteners2013!$A$4:$R$9999,2,FALSE),"")</f>
        <v/>
      </c>
      <c r="C58" s="21"/>
      <c r="D58" s="21" t="str">
        <f>IF($A58&lt;&gt;"",VLOOKUP($A58,tblFasteners2013!$A$4:$R$9999,11,FALSE),"")</f>
        <v/>
      </c>
      <c r="E58" s="21"/>
      <c r="F58" s="21" t="str">
        <f>IF($A58&lt;&gt;"",IF(VLOOKUP($A58,tblFasteners2013!$A$4:$R$9999,4,FALSE)&lt;&gt;FALSE,VLOOKUP($A58,tblFasteners2013!$A$4:$R$9999,4,FALSE),""),"")</f>
        <v/>
      </c>
      <c r="G58" s="21"/>
      <c r="H58" s="21" t="str">
        <f>IF($A58&lt;&gt;"",IF(VLOOKUP($A58,tblFasteners2013!$A$4:$R$9999,6,FALSE)&lt;&gt;FALSE,VLOOKUP($A58,tblFasteners2013!$A$4:$R$9999,6,FALSE),""),"")</f>
        <v/>
      </c>
      <c r="I58" s="22"/>
      <c r="J58" s="22">
        <f t="shared" si="3"/>
        <v>0</v>
      </c>
    </row>
    <row r="59" spans="1:10" x14ac:dyDescent="0.25">
      <c r="A59" s="19"/>
      <c r="B59" s="19"/>
      <c r="C59" s="19"/>
      <c r="D59" s="19"/>
      <c r="E59" s="19"/>
      <c r="F59" s="19"/>
      <c r="G59" s="19"/>
      <c r="H59" s="19"/>
      <c r="I59" s="24" t="s">
        <v>1203</v>
      </c>
      <c r="J59" s="20">
        <f>SUM(J51:J58)</f>
        <v>0</v>
      </c>
    </row>
    <row r="60" spans="1:10" x14ac:dyDescent="0.25">
      <c r="A60" s="19"/>
      <c r="B60" s="19"/>
      <c r="C60" s="19"/>
      <c r="D60" s="19"/>
      <c r="E60" s="19"/>
      <c r="F60" s="19"/>
      <c r="G60" s="19"/>
      <c r="H60" s="19"/>
      <c r="I60" s="19"/>
      <c r="J60" s="19"/>
    </row>
    <row r="61" spans="1:10" x14ac:dyDescent="0.25">
      <c r="A61" s="19" t="s">
        <v>4</v>
      </c>
      <c r="B61" s="14"/>
      <c r="C61" s="14"/>
      <c r="D61" s="14"/>
      <c r="E61" s="14"/>
      <c r="F61" s="14"/>
      <c r="G61" s="14"/>
      <c r="H61" s="25"/>
      <c r="I61" s="14"/>
      <c r="J61" s="14"/>
    </row>
    <row r="62" spans="1:10" x14ac:dyDescent="0.25">
      <c r="A62" s="20" t="s">
        <v>1180</v>
      </c>
      <c r="B62" s="20" t="s">
        <v>4</v>
      </c>
      <c r="C62" s="20" t="s">
        <v>1031</v>
      </c>
      <c r="D62" s="20" t="s">
        <v>1204</v>
      </c>
      <c r="E62" s="20" t="s">
        <v>166</v>
      </c>
      <c r="F62" s="20" t="s">
        <v>1</v>
      </c>
      <c r="G62" s="26" t="s">
        <v>1211</v>
      </c>
      <c r="H62" s="27" t="s">
        <v>1212</v>
      </c>
      <c r="I62" s="20" t="s">
        <v>1203</v>
      </c>
      <c r="J62" s="14"/>
    </row>
    <row r="63" spans="1:10" x14ac:dyDescent="0.25">
      <c r="A63" s="21"/>
      <c r="B63" s="21" t="str">
        <f>IF($A63&lt;&gt;"",VLOOKUP($A63,tblToolings2013!$A$3:$F$10000,3,FALSE),"")</f>
        <v/>
      </c>
      <c r="C63" s="21"/>
      <c r="D63" s="21" t="str">
        <f>IF($A63&lt;&gt;"",VLOOKUP($A63,tblToolings2013!$A$3:$F$10000,4,FALSE),"")</f>
        <v/>
      </c>
      <c r="E63" s="21" t="str">
        <f>IF($A63&lt;&gt;"",VLOOKUP($A63,tblToolings2013!$A$3:$F$10000,5,FALSE),"")</f>
        <v/>
      </c>
      <c r="F63" s="21"/>
      <c r="G63" s="21">
        <v>3000</v>
      </c>
      <c r="H63" s="21"/>
      <c r="I63" s="22">
        <f>IF($A63&lt;&gt;"",D63*F63/G63,0)</f>
        <v>0</v>
      </c>
      <c r="J63" s="19"/>
    </row>
    <row r="64" spans="1:10" x14ac:dyDescent="0.25">
      <c r="A64" s="21"/>
      <c r="B64" s="21" t="str">
        <f>IF($A64&lt;&gt;"",VLOOKUP($A64,tblToolings2013!$A$3:$F$10000,3,FALSE),"")</f>
        <v/>
      </c>
      <c r="C64" s="21"/>
      <c r="D64" s="21" t="str">
        <f>IF($A64&lt;&gt;"",VLOOKUP($A64,tblToolings2013!$A$3:$F$10000,4,FALSE),"")</f>
        <v/>
      </c>
      <c r="E64" s="21" t="str">
        <f>IF($A64&lt;&gt;"",VLOOKUP($A64,tblToolings2013!$A$3:$F$10000,5,FALSE),"")</f>
        <v/>
      </c>
      <c r="F64" s="21"/>
      <c r="G64" s="21">
        <v>3000</v>
      </c>
      <c r="H64" s="21"/>
      <c r="I64" s="22">
        <f>IF($A64&lt;&gt;"",D64*F64/G64,0)</f>
        <v>0</v>
      </c>
      <c r="J64" s="14"/>
    </row>
    <row r="65" spans="1:10" x14ac:dyDescent="0.25">
      <c r="A65" s="19"/>
      <c r="B65" s="19"/>
      <c r="C65" s="19"/>
      <c r="D65" s="19"/>
      <c r="E65" s="19"/>
      <c r="F65" s="19"/>
      <c r="G65" s="19"/>
      <c r="H65" s="24" t="s">
        <v>1203</v>
      </c>
      <c r="I65" s="20">
        <f>SUM(I63:I64)</f>
        <v>0</v>
      </c>
      <c r="J65" s="14"/>
    </row>
    <row r="66" spans="1:10" x14ac:dyDescent="0.25">
      <c r="A66" s="14"/>
      <c r="B66" s="14"/>
      <c r="C66" s="14"/>
      <c r="D66" s="14"/>
      <c r="E66" s="14"/>
      <c r="F66" s="14"/>
      <c r="G66" s="14"/>
      <c r="H66" s="14"/>
      <c r="I66" s="14"/>
      <c r="J66" s="14"/>
    </row>
    <row r="67" spans="1:10" x14ac:dyDescent="0.25">
      <c r="A67" s="14"/>
      <c r="B67" s="14"/>
      <c r="C67" s="14"/>
      <c r="D67" s="14"/>
      <c r="E67" s="14"/>
      <c r="F67" s="14"/>
      <c r="G67" s="14"/>
      <c r="H67" s="14"/>
      <c r="I67" s="14"/>
      <c r="J67"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J55"/>
  <sheetViews>
    <sheetView topLeftCell="A25" workbookViewId="0">
      <selection activeCell="A39" sqref="A39:J46"/>
    </sheetView>
  </sheetViews>
  <sheetFormatPr baseColWidth="10" defaultColWidth="9.140625" defaultRowHeight="15" x14ac:dyDescent="0.25"/>
  <cols>
    <col min="1" max="1" width="15.42578125" customWidth="1"/>
    <col min="2" max="2" width="28.42578125" customWidth="1"/>
    <col min="3" max="3" width="21.140625" customWidth="1"/>
    <col min="4" max="4" width="19" customWidth="1"/>
    <col min="7" max="7" width="15.140625" customWidth="1"/>
  </cols>
  <sheetData>
    <row r="1" spans="1:10" x14ac:dyDescent="0.25">
      <c r="A1" s="13" t="s">
        <v>3</v>
      </c>
      <c r="B1" s="14" t="s">
        <v>18</v>
      </c>
      <c r="C1" s="14"/>
      <c r="D1" s="13" t="s">
        <v>5</v>
      </c>
      <c r="E1" s="15">
        <v>99999</v>
      </c>
      <c r="F1" s="14"/>
      <c r="G1" s="13" t="s">
        <v>1194</v>
      </c>
      <c r="H1" s="16">
        <f>J18+I35+J47+I53</f>
        <v>0</v>
      </c>
      <c r="I1" s="14"/>
      <c r="J1" s="14"/>
    </row>
    <row r="2" spans="1:10" x14ac:dyDescent="0.25">
      <c r="A2" s="13" t="s">
        <v>1071</v>
      </c>
      <c r="B2" s="14" t="s">
        <v>1215</v>
      </c>
      <c r="C2" s="14"/>
      <c r="D2" s="14"/>
      <c r="E2" s="14"/>
      <c r="F2" s="14"/>
      <c r="G2" s="13" t="s">
        <v>1195</v>
      </c>
      <c r="H2" s="17">
        <v>1</v>
      </c>
      <c r="I2" s="14"/>
      <c r="J2" s="14"/>
    </row>
    <row r="3" spans="1:10" x14ac:dyDescent="0.25">
      <c r="A3" s="13" t="s">
        <v>925</v>
      </c>
      <c r="B3" s="14" t="s">
        <v>1213</v>
      </c>
      <c r="C3" s="14"/>
      <c r="D3" s="14"/>
      <c r="E3" s="14"/>
      <c r="F3" s="14"/>
      <c r="G3" s="14"/>
      <c r="H3" s="14"/>
      <c r="I3" s="14"/>
      <c r="J3" s="14"/>
    </row>
    <row r="4" spans="1:10" x14ac:dyDescent="0.25">
      <c r="A4" s="13" t="s">
        <v>1201</v>
      </c>
      <c r="B4" s="14" t="s">
        <v>1214</v>
      </c>
      <c r="C4" s="14"/>
      <c r="D4" s="14"/>
      <c r="E4" s="14"/>
      <c r="F4" s="14"/>
      <c r="G4" s="14"/>
      <c r="H4" s="14"/>
      <c r="I4" s="14"/>
      <c r="J4" s="14"/>
    </row>
    <row r="5" spans="1:10" x14ac:dyDescent="0.25">
      <c r="A5" s="13" t="s">
        <v>1196</v>
      </c>
      <c r="B5" s="33" t="s">
        <v>1439</v>
      </c>
      <c r="C5" s="14"/>
      <c r="D5" s="14"/>
      <c r="E5" s="14"/>
      <c r="F5" s="14"/>
      <c r="G5" s="13" t="s">
        <v>1197</v>
      </c>
      <c r="H5" s="16">
        <f>H1*H2</f>
        <v>0</v>
      </c>
      <c r="I5" s="14"/>
      <c r="J5" s="14"/>
    </row>
    <row r="6" spans="1:10" x14ac:dyDescent="0.25">
      <c r="A6" s="13" t="s">
        <v>1198</v>
      </c>
      <c r="B6" s="14" t="s">
        <v>14</v>
      </c>
      <c r="C6" s="14"/>
      <c r="D6" s="14"/>
      <c r="E6" s="14"/>
      <c r="F6" s="14"/>
      <c r="G6" s="14"/>
      <c r="H6" s="14"/>
      <c r="I6" s="14"/>
      <c r="J6" s="14"/>
    </row>
    <row r="7" spans="1:10" x14ac:dyDescent="0.25">
      <c r="A7" s="13" t="s">
        <v>1199</v>
      </c>
      <c r="B7" s="14"/>
      <c r="C7" s="14"/>
      <c r="D7" s="14"/>
      <c r="E7" s="14"/>
      <c r="F7" s="14"/>
      <c r="G7" s="14"/>
      <c r="H7" s="14"/>
      <c r="I7" s="14"/>
      <c r="J7" s="14"/>
    </row>
    <row r="8" spans="1:10" x14ac:dyDescent="0.25">
      <c r="B8" s="14"/>
      <c r="C8" s="14"/>
      <c r="D8" s="14"/>
      <c r="E8" s="14"/>
      <c r="F8" s="14"/>
      <c r="G8" s="14"/>
      <c r="H8" s="14"/>
      <c r="I8" s="14"/>
      <c r="J8" s="14"/>
    </row>
    <row r="9" spans="1:10" x14ac:dyDescent="0.25">
      <c r="A9" s="14"/>
      <c r="B9" s="14"/>
      <c r="C9" s="14"/>
      <c r="D9" s="14"/>
      <c r="E9" s="14"/>
      <c r="F9" s="14"/>
      <c r="G9" s="14"/>
      <c r="H9" s="14"/>
      <c r="I9" s="14"/>
      <c r="J9" s="14"/>
    </row>
    <row r="10" spans="1:10" x14ac:dyDescent="0.25">
      <c r="A10" s="19" t="s">
        <v>15</v>
      </c>
      <c r="B10" s="14"/>
      <c r="C10" s="14"/>
      <c r="D10" s="14"/>
      <c r="E10" s="14"/>
      <c r="F10" s="14"/>
      <c r="G10" s="14"/>
      <c r="H10" s="14"/>
      <c r="I10" s="14"/>
      <c r="J10" s="14"/>
    </row>
    <row r="11" spans="1:10" x14ac:dyDescent="0.25">
      <c r="A11" s="20" t="s">
        <v>1180</v>
      </c>
      <c r="B11" s="20" t="s">
        <v>20</v>
      </c>
      <c r="C11" s="20" t="s">
        <v>1031</v>
      </c>
      <c r="D11" s="20" t="s">
        <v>1204</v>
      </c>
      <c r="E11" s="20" t="s">
        <v>1205</v>
      </c>
      <c r="F11" s="20" t="s">
        <v>1206</v>
      </c>
      <c r="G11" s="20" t="s">
        <v>1207</v>
      </c>
      <c r="H11" s="20" t="s">
        <v>1208</v>
      </c>
      <c r="I11" s="20" t="s">
        <v>1</v>
      </c>
      <c r="J11" s="20" t="s">
        <v>1203</v>
      </c>
    </row>
    <row r="12" spans="1:10" x14ac:dyDescent="0.25">
      <c r="A12" s="21"/>
      <c r="B12" s="21" t="str">
        <f>IF($A12&lt;&gt;"",VLOOKUP($A12,tblMaterials2013!$A$3:$L$10000,2,FALSE),"")</f>
        <v/>
      </c>
      <c r="C12" s="21"/>
      <c r="D12" s="21" t="str">
        <f>IF($A12&lt;&gt;"",VLOOKUP($A12,tblMaterials2013!$A$3:$L$1000,5,FALSE),"")</f>
        <v/>
      </c>
      <c r="E12" s="21"/>
      <c r="F12" s="21" t="str">
        <f>IF($A12&lt;&gt;"",IF(VLOOKUP($A12,tblMaterials2013!$A$3:$L$10000,6,FALSE)&lt;&gt;FALSE,VLOOKUP($A12,tblMaterials2013!$A$3:$L$10000,6,FALSE),""), "")</f>
        <v/>
      </c>
      <c r="G12" s="21"/>
      <c r="H12" s="21" t="str">
        <f>IF($A12&lt;&gt;"",IF(VLOOKUP($A12,tblMaterials2013!$A$3:$L$10000,7,FALSE)&lt;&gt;FALSE,VLOOKUP($A12,tblMaterials2013!$A$3:$L$10000,7,FALSE),""), "")</f>
        <v/>
      </c>
      <c r="I12" s="23"/>
      <c r="J12" s="22">
        <f t="shared" ref="J12:J17" si="0">IF($A12="",0,D12*I12)</f>
        <v>0</v>
      </c>
    </row>
    <row r="13" spans="1:10" x14ac:dyDescent="0.25">
      <c r="A13" s="21"/>
      <c r="B13" s="21" t="str">
        <f>IF($A13&lt;&gt;"",VLOOKUP($A13,tblMaterials2013!$A$3:$L$10000,2,FALSE),"")</f>
        <v/>
      </c>
      <c r="C13" s="21"/>
      <c r="D13" s="21" t="str">
        <f>IF($A13&lt;&gt;"",VLOOKUP($A13,tblMaterials2013!$A$3:$L$1000,5,FALSE),"")</f>
        <v/>
      </c>
      <c r="E13" s="21"/>
      <c r="F13" s="21" t="str">
        <f>IF($A13&lt;&gt;"",IF(VLOOKUP($A13,tblMaterials2013!$A$3:$L$10000,6,FALSE)&lt;&gt;FALSE,VLOOKUP($A13,tblMaterials2013!$A$3:$L$10000,6,FALSE),""), "")</f>
        <v/>
      </c>
      <c r="G13" s="21"/>
      <c r="H13" s="21" t="str">
        <f>IF($A13&lt;&gt;"",IF(VLOOKUP($A13,tblMaterials2013!$A$3:$L$10000,7,FALSE)&lt;&gt;FALSE,VLOOKUP($A13,tblMaterials2013!$A$3:$L$10000,7,FALSE),""), "")</f>
        <v/>
      </c>
      <c r="I13" s="23"/>
      <c r="J13" s="22">
        <f t="shared" si="0"/>
        <v>0</v>
      </c>
    </row>
    <row r="14" spans="1:10" x14ac:dyDescent="0.25">
      <c r="A14" s="21"/>
      <c r="B14" s="21" t="str">
        <f>IF($A14&lt;&gt;"",VLOOKUP($A14,tblMaterials2013!$A$3:$L$10000,2,FALSE),"")</f>
        <v/>
      </c>
      <c r="C14" s="21"/>
      <c r="D14" s="21" t="str">
        <f>IF($A14&lt;&gt;"",VLOOKUP($A14,tblMaterials2013!$A$3:$L$1000,5,FALSE),"")</f>
        <v/>
      </c>
      <c r="E14" s="21"/>
      <c r="F14" s="21" t="str">
        <f>IF($A14&lt;&gt;"",IF(VLOOKUP($A14,tblMaterials2013!$A$3:$L$10000,6,FALSE)&lt;&gt;FALSE,VLOOKUP($A14,tblMaterials2013!$A$3:$L$10000,6,FALSE),""), "")</f>
        <v/>
      </c>
      <c r="G14" s="21"/>
      <c r="H14" s="21" t="str">
        <f>IF($A14&lt;&gt;"",IF(VLOOKUP($A14,tblMaterials2013!$A$3:$L$10000,7,FALSE)&lt;&gt;FALSE,VLOOKUP($A14,tblMaterials2013!$A$3:$L$10000,7,FALSE),""), "")</f>
        <v/>
      </c>
      <c r="I14" s="23"/>
      <c r="J14" s="22">
        <f t="shared" si="0"/>
        <v>0</v>
      </c>
    </row>
    <row r="15" spans="1:10" x14ac:dyDescent="0.25">
      <c r="A15" s="21"/>
      <c r="B15" s="21" t="str">
        <f>IF($A15&lt;&gt;"",VLOOKUP($A15,tblMaterials2013!$A$3:$L$10000,2,FALSE),"")</f>
        <v/>
      </c>
      <c r="C15" s="21"/>
      <c r="D15" s="21" t="str">
        <f>IF($A15&lt;&gt;"",VLOOKUP($A15,tblMaterials2013!$A$3:$L$1000,5,FALSE),"")</f>
        <v/>
      </c>
      <c r="E15" s="21"/>
      <c r="F15" s="21" t="str">
        <f>IF($A15&lt;&gt;"",IF(VLOOKUP($A15,tblMaterials2013!$A$3:$L$10000,6,FALSE)&lt;&gt;FALSE,VLOOKUP($A15,tblMaterials2013!$A$3:$L$10000,6,FALSE),""), "")</f>
        <v/>
      </c>
      <c r="G15" s="21"/>
      <c r="H15" s="21" t="str">
        <f>IF($A15&lt;&gt;"",IF(VLOOKUP($A15,tblMaterials2013!$A$3:$L$10000,7,FALSE)&lt;&gt;FALSE,VLOOKUP($A15,tblMaterials2013!$A$3:$L$10000,7,FALSE),""), "")</f>
        <v/>
      </c>
      <c r="I15" s="23"/>
      <c r="J15" s="22">
        <f t="shared" si="0"/>
        <v>0</v>
      </c>
    </row>
    <row r="16" spans="1:10" x14ac:dyDescent="0.25">
      <c r="A16" s="21"/>
      <c r="B16" s="21" t="str">
        <f>IF($A16&lt;&gt;"",VLOOKUP($A16,tblMaterials2013!$A$3:$L$10000,2,FALSE),"")</f>
        <v/>
      </c>
      <c r="C16" s="21"/>
      <c r="D16" s="21" t="str">
        <f>IF($A16&lt;&gt;"",VLOOKUP($A16,tblMaterials2013!$A$3:$L$1000,5,FALSE),"")</f>
        <v/>
      </c>
      <c r="E16" s="21"/>
      <c r="F16" s="21" t="str">
        <f>IF($A16&lt;&gt;"",IF(VLOOKUP($A16,tblMaterials2013!$A$3:$L$10000,6,FALSE)&lt;&gt;FALSE,VLOOKUP($A16,tblMaterials2013!$A$3:$L$10000,6,FALSE),""), "")</f>
        <v/>
      </c>
      <c r="G16" s="21"/>
      <c r="H16" s="21" t="str">
        <f>IF($A16&lt;&gt;"",IF(VLOOKUP($A16,tblMaterials2013!$A$3:$L$10000,7,FALSE)&lt;&gt;FALSE,VLOOKUP($A16,tblMaterials2013!$A$3:$L$10000,7,FALSE),""), "")</f>
        <v/>
      </c>
      <c r="I16" s="23"/>
      <c r="J16" s="22">
        <f t="shared" si="0"/>
        <v>0</v>
      </c>
    </row>
    <row r="17" spans="1:10" x14ac:dyDescent="0.25">
      <c r="A17" s="21"/>
      <c r="B17" s="21" t="str">
        <f>IF($A17&lt;&gt;"",VLOOKUP($A17,tblMaterials2013!$A$3:$L$10000,2,FALSE),"")</f>
        <v/>
      </c>
      <c r="C17" s="21"/>
      <c r="D17" s="21" t="str">
        <f>IF($A17&lt;&gt;"",VLOOKUP($A17,tblMaterials2013!$A$3:$L$1000,5,FALSE),"")</f>
        <v/>
      </c>
      <c r="E17" s="21"/>
      <c r="F17" s="21" t="str">
        <f>IF($A17&lt;&gt;"",IF(VLOOKUP($A17,tblMaterials2013!$A$3:$L$10000,6,FALSE)&lt;&gt;FALSE,VLOOKUP($A17,tblMaterials2013!$A$3:$L$10000,6,FALSE),""), "")</f>
        <v/>
      </c>
      <c r="G17" s="21"/>
      <c r="H17" s="21" t="str">
        <f>IF($A17&lt;&gt;"",IF(VLOOKUP($A17,tblMaterials2013!$A$3:$L$10000,7,FALSE)&lt;&gt;FALSE,VLOOKUP($A17,tblMaterials2013!$A$3:$L$10000,7,FALSE),""), "")</f>
        <v/>
      </c>
      <c r="I17" s="23"/>
      <c r="J17" s="22">
        <f t="shared" si="0"/>
        <v>0</v>
      </c>
    </row>
    <row r="18" spans="1:10" x14ac:dyDescent="0.25">
      <c r="A18" s="19"/>
      <c r="B18" s="19"/>
      <c r="C18" s="19"/>
      <c r="D18" s="19"/>
      <c r="E18" s="19"/>
      <c r="F18" s="19"/>
      <c r="G18" s="19"/>
      <c r="H18" s="19"/>
      <c r="I18" s="24" t="s">
        <v>1203</v>
      </c>
      <c r="J18" s="20">
        <f>SUM(J12:J17)</f>
        <v>0</v>
      </c>
    </row>
    <row r="19" spans="1:10" x14ac:dyDescent="0.25">
      <c r="A19" s="14"/>
      <c r="B19" s="14"/>
      <c r="C19" s="14"/>
      <c r="D19" s="14"/>
      <c r="E19" s="14"/>
      <c r="F19" s="14"/>
      <c r="G19" s="14"/>
      <c r="H19" s="14"/>
      <c r="I19" s="14"/>
      <c r="J19" s="14"/>
    </row>
    <row r="20" spans="1:10" x14ac:dyDescent="0.25">
      <c r="A20" s="19" t="s">
        <v>17</v>
      </c>
      <c r="B20" s="14"/>
      <c r="C20" s="14"/>
      <c r="D20" s="14"/>
      <c r="E20" s="14"/>
      <c r="F20" s="14"/>
      <c r="G20" s="14"/>
      <c r="H20" s="14"/>
      <c r="I20" s="19"/>
      <c r="J20" s="19"/>
    </row>
    <row r="21" spans="1:10" x14ac:dyDescent="0.25">
      <c r="A21" s="20" t="s">
        <v>1180</v>
      </c>
      <c r="B21" s="20" t="s">
        <v>824</v>
      </c>
      <c r="C21" s="20" t="s">
        <v>1031</v>
      </c>
      <c r="D21" s="20" t="s">
        <v>1204</v>
      </c>
      <c r="E21" s="20" t="s">
        <v>166</v>
      </c>
      <c r="F21" s="20" t="s">
        <v>1</v>
      </c>
      <c r="G21" s="20" t="s">
        <v>1209</v>
      </c>
      <c r="H21" s="20" t="s">
        <v>1210</v>
      </c>
      <c r="I21" s="20" t="s">
        <v>1203</v>
      </c>
      <c r="J21" s="19"/>
    </row>
    <row r="22" spans="1:10" x14ac:dyDescent="0.25">
      <c r="A22" s="21"/>
      <c r="B22" s="21" t="str">
        <f>IF($A22&lt;&gt;"",VLOOKUP($A22,tblProcesses2013!$A$3:$J$9998,2,FALSE),"")</f>
        <v/>
      </c>
      <c r="C22" s="21"/>
      <c r="D22" s="21" t="str">
        <f>IF($A22&lt;&gt;"",VLOOKUP($A22,tblProcesses2013!$A$3:$J$9998,3,FALSE),"")</f>
        <v/>
      </c>
      <c r="E22" s="21" t="str">
        <f>IF($A22&lt;&gt;"",VLOOKUP($A22,tblProcesses2013!$A$3:$J$9998,4,FALSE),"")</f>
        <v/>
      </c>
      <c r="F22" s="21"/>
      <c r="G22" s="21" t="str">
        <f>IF($A22&lt;&gt;"",IF(ISBLANK(VLOOKUP($A22,tblProcesses2013!$A$3:$J$9998,8,FALSE)),"","?"),"")</f>
        <v/>
      </c>
      <c r="H22" s="21" t="str">
        <f>IF(AND($G22&lt;&gt;"",$G22&lt;&gt;"?"),VLOOKUP($G22,tblProcessMultipliers2013!$A$3:$E$10000,3,FALSE),"")</f>
        <v/>
      </c>
      <c r="I22" s="22">
        <f>IF($A22&lt;&gt;"",IF($H22&lt;&gt;"",$D22*$F22*$H22,$D22*$F22),0)</f>
        <v>0</v>
      </c>
      <c r="J22" s="14"/>
    </row>
    <row r="23" spans="1:10" x14ac:dyDescent="0.25">
      <c r="A23" s="21"/>
      <c r="B23" s="21" t="str">
        <f>IF($A23&lt;&gt;"",VLOOKUP($A23,tblProcesses2013!$A$3:$J$9998,2,FALSE),"")</f>
        <v/>
      </c>
      <c r="C23" s="21"/>
      <c r="D23" s="21" t="str">
        <f>IF($A23&lt;&gt;"",VLOOKUP($A23,tblProcesses2013!$A$3:$J$9998,3,FALSE),"")</f>
        <v/>
      </c>
      <c r="E23" s="21" t="str">
        <f>IF($A23&lt;&gt;"",VLOOKUP($A23,tblProcesses2013!$A$3:$J$9998,4,FALSE),"")</f>
        <v/>
      </c>
      <c r="F23" s="21"/>
      <c r="G23" s="21" t="str">
        <f>IF($A23&lt;&gt;"",IF(ISBLANK(VLOOKUP($A23,tblProcesses2013!$A$3:$J$9998,8,FALSE)),"","?"),"")</f>
        <v/>
      </c>
      <c r="H23" s="21" t="str">
        <f>IF(AND($G23&lt;&gt;"",$G23&lt;&gt;"?"),VLOOKUP($G23,tblProcessMultipliers2013!$A$3:$E$10000,3,FALSE),"")</f>
        <v/>
      </c>
      <c r="I23" s="22">
        <f t="shared" ref="I23:I34" si="1">IF($A23&lt;&gt;"",IF($H23&lt;&gt;"",$D23*$F23*$H23,$D23*$F23),0)</f>
        <v>0</v>
      </c>
      <c r="J23" s="14"/>
    </row>
    <row r="24" spans="1:10" x14ac:dyDescent="0.25">
      <c r="A24" s="21"/>
      <c r="B24" s="21" t="str">
        <f>IF($A24&lt;&gt;"",VLOOKUP($A24,tblProcesses2013!$A$3:$J$9998,2,FALSE),"")</f>
        <v/>
      </c>
      <c r="C24" s="21"/>
      <c r="D24" s="21" t="str">
        <f>IF($A24&lt;&gt;"",VLOOKUP($A24,tblProcesses2013!$A$3:$J$9998,3,FALSE),"")</f>
        <v/>
      </c>
      <c r="E24" s="21" t="str">
        <f>IF($A24&lt;&gt;"",VLOOKUP($A24,tblProcesses2013!$A$3:$J$9998,4,FALSE),"")</f>
        <v/>
      </c>
      <c r="F24" s="21"/>
      <c r="G24" s="21" t="str">
        <f>IF($A24&lt;&gt;"",IF(ISBLANK(VLOOKUP($A24,tblProcesses2013!$A$3:$J$9998,8,FALSE)),"","?"),"")</f>
        <v/>
      </c>
      <c r="H24" s="21" t="str">
        <f>IF(AND($G24&lt;&gt;"",$G24&lt;&gt;"?"),VLOOKUP($G24,tblProcessMultipliers2013!$A$3:$E$10000,3,FALSE),"")</f>
        <v/>
      </c>
      <c r="I24" s="22">
        <f t="shared" si="1"/>
        <v>0</v>
      </c>
      <c r="J24" s="14"/>
    </row>
    <row r="25" spans="1:10" x14ac:dyDescent="0.25">
      <c r="A25" s="21"/>
      <c r="B25" s="21" t="str">
        <f>IF($A25&lt;&gt;"",VLOOKUP($A25,tblProcesses2013!$A$3:$J$9998,2,FALSE),"")</f>
        <v/>
      </c>
      <c r="C25" s="21"/>
      <c r="D25" s="21" t="str">
        <f>IF($A25&lt;&gt;"",VLOOKUP($A25,tblProcesses2013!$A$3:$J$9998,3,FALSE),"")</f>
        <v/>
      </c>
      <c r="E25" s="21" t="str">
        <f>IF($A25&lt;&gt;"",VLOOKUP($A25,tblProcesses2013!$A$3:$J$9998,4,FALSE),"")</f>
        <v/>
      </c>
      <c r="F25" s="21"/>
      <c r="G25" s="21" t="str">
        <f>IF($A25&lt;&gt;"",IF(ISBLANK(VLOOKUP($A25,tblProcesses2013!$A$3:$J$9998,8,FALSE)),"","?"),"")</f>
        <v/>
      </c>
      <c r="H25" s="21" t="str">
        <f>IF(AND($G25&lt;&gt;"",$G25&lt;&gt;"?"),VLOOKUP($G25,tblProcessMultipliers2013!$A$3:$E$10000,3,FALSE),"")</f>
        <v/>
      </c>
      <c r="I25" s="22">
        <f t="shared" si="1"/>
        <v>0</v>
      </c>
      <c r="J25" s="14"/>
    </row>
    <row r="26" spans="1:10" x14ac:dyDescent="0.25">
      <c r="A26" s="21"/>
      <c r="B26" s="21" t="str">
        <f>IF($A26&lt;&gt;"",VLOOKUP($A26,tblProcesses2013!$A$3:$J$9998,2,FALSE),"")</f>
        <v/>
      </c>
      <c r="C26" s="21"/>
      <c r="D26" s="21" t="str">
        <f>IF($A26&lt;&gt;"",VLOOKUP($A26,tblProcesses2013!$A$3:$J$9998,3,FALSE),"")</f>
        <v/>
      </c>
      <c r="E26" s="21" t="str">
        <f>IF($A26&lt;&gt;"",VLOOKUP($A26,tblProcesses2013!$A$3:$J$9998,4,FALSE),"")</f>
        <v/>
      </c>
      <c r="F26" s="21"/>
      <c r="G26" s="21" t="str">
        <f>IF($A26&lt;&gt;"",IF(ISBLANK(VLOOKUP($A26,tblProcesses2013!$A$3:$J$9998,8,FALSE)),"","?"),"")</f>
        <v/>
      </c>
      <c r="H26" s="21" t="str">
        <f>IF(AND($G26&lt;&gt;"",$G26&lt;&gt;"?"),VLOOKUP($G26,tblProcessMultipliers2013!$A$3:$E$10000,3,FALSE),"")</f>
        <v/>
      </c>
      <c r="I26" s="22">
        <f t="shared" si="1"/>
        <v>0</v>
      </c>
      <c r="J26" s="14"/>
    </row>
    <row r="27" spans="1:10" x14ac:dyDescent="0.25">
      <c r="A27" s="21"/>
      <c r="B27" s="21" t="str">
        <f>IF($A27&lt;&gt;"",VLOOKUP($A27,tblProcesses2013!$A$3:$J$9998,2,FALSE),"")</f>
        <v/>
      </c>
      <c r="C27" s="21"/>
      <c r="D27" s="21" t="str">
        <f>IF($A27&lt;&gt;"",VLOOKUP($A27,tblProcesses2013!$A$3:$J$9998,3,FALSE),"")</f>
        <v/>
      </c>
      <c r="E27" s="21" t="str">
        <f>IF($A27&lt;&gt;"",VLOOKUP($A27,tblProcesses2013!$A$3:$J$9998,4,FALSE),"")</f>
        <v/>
      </c>
      <c r="F27" s="21"/>
      <c r="G27" s="21" t="str">
        <f>IF($A27&lt;&gt;"",IF(ISBLANK(VLOOKUP($A27,tblProcesses2013!$A$3:$J$9998,8,FALSE)),"","?"),"")</f>
        <v/>
      </c>
      <c r="H27" s="21" t="str">
        <f>IF(AND($G27&lt;&gt;"",$G27&lt;&gt;"?"),VLOOKUP($G27,tblProcessMultipliers2013!$A$3:$E$10000,3,FALSE),"")</f>
        <v/>
      </c>
      <c r="I27" s="22">
        <f t="shared" si="1"/>
        <v>0</v>
      </c>
      <c r="J27" s="14"/>
    </row>
    <row r="28" spans="1:10" x14ac:dyDescent="0.25">
      <c r="A28" s="21"/>
      <c r="B28" s="21" t="str">
        <f>IF($A28&lt;&gt;"",VLOOKUP($A28,tblProcesses2013!$A$3:$J$9998,2,FALSE),"")</f>
        <v/>
      </c>
      <c r="C28" s="21"/>
      <c r="D28" s="21" t="str">
        <f>IF($A28&lt;&gt;"",VLOOKUP($A28,tblProcesses2013!$A$3:$J$9998,3,FALSE),"")</f>
        <v/>
      </c>
      <c r="E28" s="21" t="str">
        <f>IF($A28&lt;&gt;"",VLOOKUP($A28,tblProcesses2013!$A$3:$J$9998,4,FALSE),"")</f>
        <v/>
      </c>
      <c r="F28" s="21"/>
      <c r="G28" s="21" t="str">
        <f>IF($A28&lt;&gt;"",IF(ISBLANK(VLOOKUP($A28,tblProcesses2013!$A$3:$J$9998,8,FALSE)),"","?"),"")</f>
        <v/>
      </c>
      <c r="H28" s="21" t="str">
        <f>IF(AND($G28&lt;&gt;"",$G28&lt;&gt;"?"),VLOOKUP($G28,tblProcessMultipliers2013!$A$3:$E$10000,3,FALSE),"")</f>
        <v/>
      </c>
      <c r="I28" s="22">
        <f t="shared" si="1"/>
        <v>0</v>
      </c>
      <c r="J28" s="14"/>
    </row>
    <row r="29" spans="1:10" x14ac:dyDescent="0.25">
      <c r="A29" s="21"/>
      <c r="B29" s="21" t="str">
        <f>IF($A29&lt;&gt;"",VLOOKUP($A29,tblProcesses2013!$A$3:$J$9998,2,FALSE),"")</f>
        <v/>
      </c>
      <c r="C29" s="21"/>
      <c r="D29" s="21" t="str">
        <f>IF($A29&lt;&gt;"",VLOOKUP($A29,tblProcesses2013!$A$3:$J$9998,3,FALSE),"")</f>
        <v/>
      </c>
      <c r="E29" s="21" t="str">
        <f>IF($A29&lt;&gt;"",VLOOKUP($A29,tblProcesses2013!$A$3:$J$9998,4,FALSE),"")</f>
        <v/>
      </c>
      <c r="F29" s="21"/>
      <c r="G29" s="21" t="str">
        <f>IF($A29&lt;&gt;"",IF(ISBLANK(VLOOKUP($A29,tblProcesses2013!$A$3:$J$9998,8,FALSE)),"","?"),"")</f>
        <v/>
      </c>
      <c r="H29" s="21" t="str">
        <f>IF(AND($G29&lt;&gt;"",$G29&lt;&gt;"?"),VLOOKUP($G29,tblProcessMultipliers2013!$A$3:$E$10000,3,FALSE),"")</f>
        <v/>
      </c>
      <c r="I29" s="22">
        <f t="shared" si="1"/>
        <v>0</v>
      </c>
      <c r="J29" s="14"/>
    </row>
    <row r="30" spans="1:10" x14ac:dyDescent="0.25">
      <c r="A30" s="21"/>
      <c r="B30" s="21" t="str">
        <f>IF($A30&lt;&gt;"",VLOOKUP($A30,tblProcesses2013!$A$3:$J$9998,2,FALSE),"")</f>
        <v/>
      </c>
      <c r="C30" s="21"/>
      <c r="D30" s="21" t="str">
        <f>IF($A30&lt;&gt;"",VLOOKUP($A30,tblProcesses2013!$A$3:$J$9998,3,FALSE),"")</f>
        <v/>
      </c>
      <c r="E30" s="21" t="str">
        <f>IF($A30&lt;&gt;"",VLOOKUP($A30,tblProcesses2013!$A$3:$J$9998,4,FALSE),"")</f>
        <v/>
      </c>
      <c r="F30" s="21"/>
      <c r="G30" s="21" t="str">
        <f>IF($A30&lt;&gt;"",IF(ISBLANK(VLOOKUP($A30,tblProcesses2013!$A$3:$J$9998,8,FALSE)),"","?"),"")</f>
        <v/>
      </c>
      <c r="H30" s="21" t="str">
        <f>IF(AND($G30&lt;&gt;"",$G30&lt;&gt;"?"),VLOOKUP($G30,tblProcessMultipliers2013!$A$3:$E$10000,3,FALSE),"")</f>
        <v/>
      </c>
      <c r="I30" s="22">
        <f t="shared" si="1"/>
        <v>0</v>
      </c>
      <c r="J30" s="14"/>
    </row>
    <row r="31" spans="1:10" x14ac:dyDescent="0.25">
      <c r="A31" s="21"/>
      <c r="B31" s="21" t="str">
        <f>IF($A31&lt;&gt;"",VLOOKUP($A31,tblProcesses2013!$A$3:$J$9998,2,FALSE),"")</f>
        <v/>
      </c>
      <c r="C31" s="21"/>
      <c r="D31" s="21" t="str">
        <f>IF($A31&lt;&gt;"",VLOOKUP($A31,tblProcesses2013!$A$3:$J$9998,3,FALSE),"")</f>
        <v/>
      </c>
      <c r="E31" s="21" t="str">
        <f>IF($A31&lt;&gt;"",VLOOKUP($A31,tblProcesses2013!$A$3:$J$9998,4,FALSE),"")</f>
        <v/>
      </c>
      <c r="F31" s="21"/>
      <c r="G31" s="21" t="str">
        <f>IF($A31&lt;&gt;"",IF(ISBLANK(VLOOKUP($A31,tblProcesses2013!$A$3:$J$9998,8,FALSE)),"","?"),"")</f>
        <v/>
      </c>
      <c r="H31" s="21" t="str">
        <f>IF(AND($G31&lt;&gt;"",$G31&lt;&gt;"?"),VLOOKUP($G31,tblProcessMultipliers2013!$A$3:$E$10000,3,FALSE),"")</f>
        <v/>
      </c>
      <c r="I31" s="22">
        <f t="shared" si="1"/>
        <v>0</v>
      </c>
      <c r="J31" s="14"/>
    </row>
    <row r="32" spans="1:10" x14ac:dyDescent="0.25">
      <c r="A32" s="21"/>
      <c r="B32" s="21" t="str">
        <f>IF($A32&lt;&gt;"",VLOOKUP($A32,tblProcesses2013!$A$3:$J$9998,2,FALSE),"")</f>
        <v/>
      </c>
      <c r="C32" s="21"/>
      <c r="D32" s="21" t="str">
        <f>IF($A32&lt;&gt;"",VLOOKUP($A32,tblProcesses2013!$A$3:$J$9998,3,FALSE),"")</f>
        <v/>
      </c>
      <c r="E32" s="21" t="str">
        <f>IF($A32&lt;&gt;"",VLOOKUP($A32,tblProcesses2013!$A$3:$J$9998,4,FALSE),"")</f>
        <v/>
      </c>
      <c r="F32" s="21"/>
      <c r="G32" s="21" t="str">
        <f>IF($A32&lt;&gt;"",IF(ISBLANK(VLOOKUP($A32,tblProcesses2013!$A$3:$J$9998,8,FALSE)),"","?"),"")</f>
        <v/>
      </c>
      <c r="H32" s="21" t="str">
        <f>IF(AND($G32&lt;&gt;"",$G32&lt;&gt;"?"),VLOOKUP($G32,tblProcessMultipliers2013!$A$3:$E$10000,3,FALSE),"")</f>
        <v/>
      </c>
      <c r="I32" s="22">
        <f t="shared" si="1"/>
        <v>0</v>
      </c>
      <c r="J32" s="14"/>
    </row>
    <row r="33" spans="1:10" x14ac:dyDescent="0.25">
      <c r="A33" s="21"/>
      <c r="B33" s="21" t="str">
        <f>IF($A33&lt;&gt;"",VLOOKUP($A33,tblProcesses2013!$A$3:$J$9998,2,FALSE),"")</f>
        <v/>
      </c>
      <c r="C33" s="21"/>
      <c r="D33" s="21" t="str">
        <f>IF($A33&lt;&gt;"",VLOOKUP($A33,tblProcesses2013!$A$3:$J$9998,3,FALSE),"")</f>
        <v/>
      </c>
      <c r="E33" s="21" t="str">
        <f>IF($A33&lt;&gt;"",VLOOKUP($A33,tblProcesses2013!$A$3:$J$9998,4,FALSE),"")</f>
        <v/>
      </c>
      <c r="F33" s="21"/>
      <c r="G33" s="21" t="str">
        <f>IF($A33&lt;&gt;"",IF(ISBLANK(VLOOKUP($A33,tblProcesses2013!$A$3:$J$9998,8,FALSE)),"","?"),"")</f>
        <v/>
      </c>
      <c r="H33" s="21" t="str">
        <f>IF(AND($G33&lt;&gt;"",$G33&lt;&gt;"?"),VLOOKUP($G33,tblProcessMultipliers2013!$A$3:$E$10000,3,FALSE),"")</f>
        <v/>
      </c>
      <c r="I33" s="22">
        <f t="shared" si="1"/>
        <v>0</v>
      </c>
      <c r="J33" s="19"/>
    </row>
    <row r="34" spans="1:10" x14ac:dyDescent="0.25">
      <c r="A34" s="21"/>
      <c r="B34" s="21" t="str">
        <f>IF($A34&lt;&gt;"",VLOOKUP($A34,tblProcesses2013!$A$3:$J$9998,2,FALSE),"")</f>
        <v/>
      </c>
      <c r="C34" s="21"/>
      <c r="D34" s="21" t="str">
        <f>IF($A34&lt;&gt;"",VLOOKUP($A34,tblProcesses2013!$A$3:$J$9998,3,FALSE),"")</f>
        <v/>
      </c>
      <c r="E34" s="21" t="str">
        <f>IF($A34&lt;&gt;"",VLOOKUP($A34,tblProcesses2013!$A$3:$J$9998,4,FALSE),"")</f>
        <v/>
      </c>
      <c r="F34" s="21"/>
      <c r="G34" s="21" t="str">
        <f>IF($A34&lt;&gt;"",IF(ISBLANK(VLOOKUP($A34,tblProcesses2013!$A$3:$J$9998,8,FALSE)),"","?"),"")</f>
        <v/>
      </c>
      <c r="H34" s="21" t="str">
        <f>IF(AND($G34&lt;&gt;"",$G34&lt;&gt;"?"),VLOOKUP($G34,tblProcessMultipliers2013!$A$3:$E$10000,3,FALSE),"")</f>
        <v/>
      </c>
      <c r="I34" s="22">
        <f t="shared" si="1"/>
        <v>0</v>
      </c>
      <c r="J34" s="19"/>
    </row>
    <row r="35" spans="1:10" x14ac:dyDescent="0.25">
      <c r="A35" s="19"/>
      <c r="B35" s="19"/>
      <c r="C35" s="19"/>
      <c r="D35" s="19"/>
      <c r="E35" s="19"/>
      <c r="F35" s="19"/>
      <c r="G35" s="19"/>
      <c r="H35" s="24" t="s">
        <v>1203</v>
      </c>
      <c r="I35" s="20">
        <f>SUM(I22:I34)</f>
        <v>0</v>
      </c>
      <c r="J35" s="14"/>
    </row>
    <row r="36" spans="1:10" x14ac:dyDescent="0.25">
      <c r="A36" s="19"/>
      <c r="B36" s="19"/>
      <c r="C36" s="19"/>
      <c r="D36" s="19"/>
      <c r="E36" s="19"/>
      <c r="F36" s="19"/>
      <c r="G36" s="19"/>
      <c r="H36" s="19"/>
      <c r="I36" s="19"/>
      <c r="J36" s="19"/>
    </row>
    <row r="37" spans="1:10" x14ac:dyDescent="0.25">
      <c r="A37" s="19" t="s">
        <v>16</v>
      </c>
      <c r="B37" s="14"/>
      <c r="C37" s="14"/>
      <c r="D37" s="14"/>
      <c r="E37" s="14"/>
      <c r="F37" s="14"/>
      <c r="G37" s="14"/>
      <c r="H37" s="14"/>
      <c r="I37" s="14"/>
      <c r="J37" s="14"/>
    </row>
    <row r="38" spans="1:10" x14ac:dyDescent="0.25">
      <c r="A38" s="20" t="s">
        <v>1180</v>
      </c>
      <c r="B38" s="20" t="s">
        <v>1066</v>
      </c>
      <c r="C38" s="20" t="s">
        <v>1031</v>
      </c>
      <c r="D38" s="20" t="s">
        <v>1204</v>
      </c>
      <c r="E38" s="20" t="s">
        <v>1205</v>
      </c>
      <c r="F38" s="20" t="s">
        <v>1206</v>
      </c>
      <c r="G38" s="20" t="s">
        <v>1207</v>
      </c>
      <c r="H38" s="20" t="s">
        <v>1208</v>
      </c>
      <c r="I38" s="20" t="s">
        <v>1</v>
      </c>
      <c r="J38" s="20" t="s">
        <v>1203</v>
      </c>
    </row>
    <row r="39" spans="1:10" x14ac:dyDescent="0.25">
      <c r="A39" s="21"/>
      <c r="B39" s="21" t="str">
        <f>IF($A39&lt;&gt;"",VLOOKUP($A39,tblFasteners2013!$A$4:$R$9999,2,FALSE),"")</f>
        <v/>
      </c>
      <c r="C39" s="21"/>
      <c r="D39" s="21" t="str">
        <f>IF($A39&lt;&gt;"",VLOOKUP($A39,tblFasteners2013!$A$4:$R$9999,11,FALSE),"")</f>
        <v/>
      </c>
      <c r="E39" s="21"/>
      <c r="F39" s="21" t="str">
        <f>IF($A39&lt;&gt;"",IF(VLOOKUP($A39,tblFasteners2013!$A$4:$R$9999,4,FALSE)&lt;&gt;FALSE,VLOOKUP($A39,tblFasteners2013!$A$4:$R$9999,4,FALSE),""),"")</f>
        <v/>
      </c>
      <c r="G39" s="21"/>
      <c r="H39" s="21" t="str">
        <f>IF($A39&lt;&gt;"",IF(VLOOKUP($A39,tblFasteners2013!$A$4:$R$9999,6,FALSE)&lt;&gt;FALSE,VLOOKUP($A39,tblFasteners2013!$A$4:$R$9999,6,FALSE),""),"")</f>
        <v/>
      </c>
      <c r="I39" s="22"/>
      <c r="J39" s="22">
        <f>IF($A39&lt;&gt;"",D39*I39,0)</f>
        <v>0</v>
      </c>
    </row>
    <row r="40" spans="1:10" x14ac:dyDescent="0.25">
      <c r="A40" s="21"/>
      <c r="B40" s="21" t="str">
        <f>IF($A40&lt;&gt;"",VLOOKUP($A40,tblFasteners2013!$A$4:$R$9999,2,FALSE),"")</f>
        <v/>
      </c>
      <c r="C40" s="21"/>
      <c r="D40" s="21" t="str">
        <f>IF($A40&lt;&gt;"",VLOOKUP($A40,tblFasteners2013!$A$4:$R$9999,11,FALSE),"")</f>
        <v/>
      </c>
      <c r="E40" s="21"/>
      <c r="F40" s="21" t="str">
        <f>IF($A40&lt;&gt;"",IF(VLOOKUP($A40,tblFasteners2013!$A$4:$R$9999,4,FALSE)&lt;&gt;FALSE,VLOOKUP($A40,tblFasteners2013!$A$4:$R$9999,4,FALSE),""),"")</f>
        <v/>
      </c>
      <c r="G40" s="21"/>
      <c r="H40" s="21" t="str">
        <f>IF($A40&lt;&gt;"",IF(VLOOKUP($A40,tblFasteners2013!$A$4:$R$9999,6,FALSE)&lt;&gt;FALSE,VLOOKUP($A40,tblFasteners2013!$A$4:$R$9999,6,FALSE),""),"")</f>
        <v/>
      </c>
      <c r="I40" s="22"/>
      <c r="J40" s="22">
        <f t="shared" ref="J40:J46" si="2">IF($A40&lt;&gt;"",D40*I40,0)</f>
        <v>0</v>
      </c>
    </row>
    <row r="41" spans="1:10" x14ac:dyDescent="0.25">
      <c r="A41" s="21"/>
      <c r="B41" s="21" t="str">
        <f>IF($A41&lt;&gt;"",VLOOKUP($A41,tblFasteners2013!$A$4:$R$9999,2,FALSE),"")</f>
        <v/>
      </c>
      <c r="C41" s="21"/>
      <c r="D41" s="21" t="str">
        <f>IF($A41&lt;&gt;"",VLOOKUP($A41,tblFasteners2013!$A$4:$R$9999,11,FALSE),"")</f>
        <v/>
      </c>
      <c r="E41" s="21"/>
      <c r="F41" s="21" t="str">
        <f>IF($A41&lt;&gt;"",IF(VLOOKUP($A41,tblFasteners2013!$A$4:$R$9999,4,FALSE)&lt;&gt;FALSE,VLOOKUP($A41,tblFasteners2013!$A$4:$R$9999,4,FALSE),""),"")</f>
        <v/>
      </c>
      <c r="G41" s="21"/>
      <c r="H41" s="21" t="str">
        <f>IF($A41&lt;&gt;"",IF(VLOOKUP($A41,tblFasteners2013!$A$4:$R$9999,6,FALSE)&lt;&gt;FALSE,VLOOKUP($A41,tblFasteners2013!$A$4:$R$9999,6,FALSE),""),"")</f>
        <v/>
      </c>
      <c r="I41" s="22"/>
      <c r="J41" s="22">
        <f t="shared" si="2"/>
        <v>0</v>
      </c>
    </row>
    <row r="42" spans="1:10" x14ac:dyDescent="0.25">
      <c r="A42" s="21"/>
      <c r="B42" s="21" t="str">
        <f>IF($A42&lt;&gt;"",VLOOKUP($A42,tblFasteners2013!$A$4:$R$9999,2,FALSE),"")</f>
        <v/>
      </c>
      <c r="C42" s="21"/>
      <c r="D42" s="21" t="str">
        <f>IF($A42&lt;&gt;"",VLOOKUP($A42,tblFasteners2013!$A$4:$R$9999,11,FALSE),"")</f>
        <v/>
      </c>
      <c r="E42" s="21"/>
      <c r="F42" s="21" t="str">
        <f>IF($A42&lt;&gt;"",IF(VLOOKUP($A42,tblFasteners2013!$A$4:$R$9999,4,FALSE)&lt;&gt;FALSE,VLOOKUP($A42,tblFasteners2013!$A$4:$R$9999,4,FALSE),""),"")</f>
        <v/>
      </c>
      <c r="G42" s="21"/>
      <c r="H42" s="21" t="str">
        <f>IF($A42&lt;&gt;"",IF(VLOOKUP($A42,tblFasteners2013!$A$4:$R$9999,6,FALSE)&lt;&gt;FALSE,VLOOKUP($A42,tblFasteners2013!$A$4:$R$9999,6,FALSE),""),"")</f>
        <v/>
      </c>
      <c r="I42" s="22"/>
      <c r="J42" s="22">
        <f t="shared" si="2"/>
        <v>0</v>
      </c>
    </row>
    <row r="43" spans="1:10" x14ac:dyDescent="0.25">
      <c r="A43" s="21"/>
      <c r="B43" s="21" t="str">
        <f>IF($A43&lt;&gt;"",VLOOKUP($A43,tblFasteners2013!$A$4:$R$9999,2,FALSE),"")</f>
        <v/>
      </c>
      <c r="C43" s="21"/>
      <c r="D43" s="21" t="str">
        <f>IF($A43&lt;&gt;"",VLOOKUP($A43,tblFasteners2013!$A$4:$R$9999,11,FALSE),"")</f>
        <v/>
      </c>
      <c r="E43" s="21"/>
      <c r="F43" s="21" t="str">
        <f>IF($A43&lt;&gt;"",IF(VLOOKUP($A43,tblFasteners2013!$A$4:$R$9999,4,FALSE)&lt;&gt;FALSE,VLOOKUP($A43,tblFasteners2013!$A$4:$R$9999,4,FALSE),""),"")</f>
        <v/>
      </c>
      <c r="G43" s="21"/>
      <c r="H43" s="21" t="str">
        <f>IF($A43&lt;&gt;"",IF(VLOOKUP($A43,tblFasteners2013!$A$4:$R$9999,6,FALSE)&lt;&gt;FALSE,VLOOKUP($A43,tblFasteners2013!$A$4:$R$9999,6,FALSE),""),"")</f>
        <v/>
      </c>
      <c r="I43" s="22"/>
      <c r="J43" s="22">
        <f t="shared" si="2"/>
        <v>0</v>
      </c>
    </row>
    <row r="44" spans="1:10" x14ac:dyDescent="0.25">
      <c r="A44" s="21"/>
      <c r="B44" s="21" t="str">
        <f>IF($A44&lt;&gt;"",VLOOKUP($A44,tblFasteners2013!$A$4:$R$9999,2,FALSE),"")</f>
        <v/>
      </c>
      <c r="C44" s="21"/>
      <c r="D44" s="21" t="str">
        <f>IF($A44&lt;&gt;"",VLOOKUP($A44,tblFasteners2013!$A$4:$R$9999,11,FALSE),"")</f>
        <v/>
      </c>
      <c r="E44" s="21"/>
      <c r="F44" s="21" t="str">
        <f>IF($A44&lt;&gt;"",IF(VLOOKUP($A44,tblFasteners2013!$A$4:$R$9999,4,FALSE)&lt;&gt;FALSE,VLOOKUP($A44,tblFasteners2013!$A$4:$R$9999,4,FALSE),""),"")</f>
        <v/>
      </c>
      <c r="G44" s="21"/>
      <c r="H44" s="21" t="str">
        <f>IF($A44&lt;&gt;"",IF(VLOOKUP($A44,tblFasteners2013!$A$4:$R$9999,6,FALSE)&lt;&gt;FALSE,VLOOKUP($A44,tblFasteners2013!$A$4:$R$9999,6,FALSE),""),"")</f>
        <v/>
      </c>
      <c r="I44" s="22"/>
      <c r="J44" s="22">
        <f t="shared" si="2"/>
        <v>0</v>
      </c>
    </row>
    <row r="45" spans="1:10" x14ac:dyDescent="0.25">
      <c r="A45" s="21"/>
      <c r="B45" s="21" t="str">
        <f>IF($A45&lt;&gt;"",VLOOKUP($A45,tblFasteners2013!$A$4:$R$9999,2,FALSE),"")</f>
        <v/>
      </c>
      <c r="C45" s="21"/>
      <c r="D45" s="21" t="str">
        <f>IF($A45&lt;&gt;"",VLOOKUP($A45,tblFasteners2013!$A$4:$R$9999,11,FALSE),"")</f>
        <v/>
      </c>
      <c r="E45" s="21"/>
      <c r="F45" s="21" t="str">
        <f>IF($A45&lt;&gt;"",IF(VLOOKUP($A45,tblFasteners2013!$A$4:$R$9999,4,FALSE)&lt;&gt;FALSE,VLOOKUP($A45,tblFasteners2013!$A$4:$R$9999,4,FALSE),""),"")</f>
        <v/>
      </c>
      <c r="G45" s="21"/>
      <c r="H45" s="21" t="str">
        <f>IF($A45&lt;&gt;"",IF(VLOOKUP($A45,tblFasteners2013!$A$4:$R$9999,6,FALSE)&lt;&gt;FALSE,VLOOKUP($A45,tblFasteners2013!$A$4:$R$9999,6,FALSE),""),"")</f>
        <v/>
      </c>
      <c r="I45" s="22"/>
      <c r="J45" s="22">
        <f t="shared" si="2"/>
        <v>0</v>
      </c>
    </row>
    <row r="46" spans="1:10" x14ac:dyDescent="0.25">
      <c r="A46" s="21"/>
      <c r="B46" s="21" t="str">
        <f>IF($A46&lt;&gt;"",VLOOKUP($A46,tblFasteners2013!$A$4:$R$9999,2,FALSE),"")</f>
        <v/>
      </c>
      <c r="C46" s="21"/>
      <c r="D46" s="21" t="str">
        <f>IF($A46&lt;&gt;"",VLOOKUP($A46,tblFasteners2013!$A$4:$R$9999,11,FALSE),"")</f>
        <v/>
      </c>
      <c r="E46" s="21"/>
      <c r="F46" s="21" t="str">
        <f>IF($A46&lt;&gt;"",IF(VLOOKUP($A46,tblFasteners2013!$A$4:$R$9999,4,FALSE)&lt;&gt;FALSE,VLOOKUP($A46,tblFasteners2013!$A$4:$R$9999,4,FALSE),""),"")</f>
        <v/>
      </c>
      <c r="G46" s="21"/>
      <c r="H46" s="21" t="str">
        <f>IF($A46&lt;&gt;"",IF(VLOOKUP($A46,tblFasteners2013!$A$4:$R$9999,6,FALSE)&lt;&gt;FALSE,VLOOKUP($A46,tblFasteners2013!$A$4:$R$9999,6,FALSE),""),"")</f>
        <v/>
      </c>
      <c r="I46" s="22"/>
      <c r="J46" s="22">
        <f t="shared" si="2"/>
        <v>0</v>
      </c>
    </row>
    <row r="47" spans="1:10" x14ac:dyDescent="0.25">
      <c r="A47" s="19"/>
      <c r="B47" s="19"/>
      <c r="C47" s="19"/>
      <c r="D47" s="19"/>
      <c r="E47" s="19"/>
      <c r="F47" s="19"/>
      <c r="G47" s="19"/>
      <c r="H47" s="19"/>
      <c r="I47" s="24" t="s">
        <v>1203</v>
      </c>
      <c r="J47" s="20">
        <f>SUM(J39:J46)</f>
        <v>0</v>
      </c>
    </row>
    <row r="48" spans="1:10" x14ac:dyDescent="0.25">
      <c r="A48" s="19"/>
      <c r="B48" s="19"/>
      <c r="C48" s="19"/>
      <c r="D48" s="19"/>
      <c r="E48" s="19"/>
      <c r="F48" s="19"/>
      <c r="G48" s="19"/>
      <c r="H48" s="19"/>
      <c r="I48" s="19"/>
      <c r="J48" s="19"/>
    </row>
    <row r="49" spans="1:10" x14ac:dyDescent="0.25">
      <c r="A49" s="19" t="s">
        <v>4</v>
      </c>
      <c r="B49" s="14"/>
      <c r="C49" s="14"/>
      <c r="D49" s="14"/>
      <c r="E49" s="14"/>
      <c r="F49" s="14"/>
      <c r="G49" s="14"/>
      <c r="H49" s="25"/>
      <c r="I49" s="14"/>
      <c r="J49" s="14"/>
    </row>
    <row r="50" spans="1:10" x14ac:dyDescent="0.25">
      <c r="A50" s="20" t="s">
        <v>1180</v>
      </c>
      <c r="B50" s="20" t="s">
        <v>4</v>
      </c>
      <c r="C50" s="20" t="s">
        <v>1031</v>
      </c>
      <c r="D50" s="20" t="s">
        <v>1204</v>
      </c>
      <c r="E50" s="20" t="s">
        <v>166</v>
      </c>
      <c r="F50" s="20" t="s">
        <v>1</v>
      </c>
      <c r="G50" s="26" t="s">
        <v>1211</v>
      </c>
      <c r="H50" s="27" t="s">
        <v>1212</v>
      </c>
      <c r="I50" s="20" t="s">
        <v>1203</v>
      </c>
      <c r="J50" s="14"/>
    </row>
    <row r="51" spans="1:10" x14ac:dyDescent="0.25">
      <c r="A51" s="21"/>
      <c r="B51" s="21" t="str">
        <f>IF($A51&lt;&gt;"",VLOOKUP($A51,tblToolings2013!$A$3:$F$10000,3,FALSE),"")</f>
        <v/>
      </c>
      <c r="C51" s="21"/>
      <c r="D51" s="21" t="str">
        <f>IF($A51&lt;&gt;"",VLOOKUP($A51,tblToolings2013!$A$3:$F$10000,4,FALSE),"")</f>
        <v/>
      </c>
      <c r="E51" s="21" t="str">
        <f>IF($A51&lt;&gt;"",VLOOKUP($A51,tblToolings2013!$A$3:$F$10000,5,FALSE),"")</f>
        <v/>
      </c>
      <c r="F51" s="21"/>
      <c r="G51" s="21">
        <v>3000</v>
      </c>
      <c r="H51" s="21"/>
      <c r="I51" s="22">
        <f>IF($A51&lt;&gt;"",D51*F51/G51,0)</f>
        <v>0</v>
      </c>
      <c r="J51" s="19"/>
    </row>
    <row r="52" spans="1:10" x14ac:dyDescent="0.25">
      <c r="A52" s="21"/>
      <c r="B52" s="21" t="str">
        <f>IF($A52&lt;&gt;"",VLOOKUP($A52,tblToolings2013!$A$3:$F$10000,3,FALSE),"")</f>
        <v/>
      </c>
      <c r="C52" s="21"/>
      <c r="D52" s="21" t="str">
        <f>IF($A52&lt;&gt;"",VLOOKUP($A52,tblToolings2013!$A$3:$F$10000,4,FALSE),"")</f>
        <v/>
      </c>
      <c r="E52" s="21" t="str">
        <f>IF($A52&lt;&gt;"",VLOOKUP($A52,tblToolings2013!$A$3:$F$10000,5,FALSE),"")</f>
        <v/>
      </c>
      <c r="F52" s="21"/>
      <c r="G52" s="21">
        <v>3000</v>
      </c>
      <c r="H52" s="21"/>
      <c r="I52" s="22">
        <f>IF($A52&lt;&gt;"",D52*F52/G52,0)</f>
        <v>0</v>
      </c>
      <c r="J52" s="14"/>
    </row>
    <row r="53" spans="1:10" x14ac:dyDescent="0.25">
      <c r="A53" s="19"/>
      <c r="B53" s="19"/>
      <c r="C53" s="19"/>
      <c r="D53" s="19"/>
      <c r="E53" s="19"/>
      <c r="F53" s="19"/>
      <c r="G53" s="19"/>
      <c r="H53" s="24" t="s">
        <v>1203</v>
      </c>
      <c r="I53" s="20">
        <f>SUM(I51:I52)</f>
        <v>0</v>
      </c>
      <c r="J53" s="14"/>
    </row>
    <row r="54" spans="1:10" x14ac:dyDescent="0.25">
      <c r="A54" s="14"/>
      <c r="B54" s="14"/>
      <c r="C54" s="14"/>
      <c r="D54" s="14"/>
      <c r="E54" s="14"/>
      <c r="F54" s="14"/>
      <c r="G54" s="14"/>
      <c r="H54" s="14"/>
      <c r="I54" s="14"/>
      <c r="J54" s="14"/>
    </row>
    <row r="55" spans="1:10" x14ac:dyDescent="0.25">
      <c r="A55" s="14"/>
      <c r="B55" s="14"/>
      <c r="C55" s="14"/>
      <c r="D55" s="14"/>
      <c r="E55" s="14"/>
      <c r="F55" s="14"/>
      <c r="G55" s="14"/>
      <c r="H55" s="14"/>
      <c r="I55" s="14"/>
      <c r="J55"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IV804"/>
  <sheetViews>
    <sheetView zoomScale="80" zoomScaleNormal="80" zoomScaleSheetLayoutView="40" workbookViewId="0">
      <pane ySplit="720" topLeftCell="A762" activePane="bottomLeft"/>
      <selection activeCell="A804" sqref="A804"/>
      <selection pane="bottomLeft" activeCell="A804" sqref="A804"/>
    </sheetView>
  </sheetViews>
  <sheetFormatPr baseColWidth="10" defaultColWidth="9.140625" defaultRowHeight="15" x14ac:dyDescent="0.25"/>
  <cols>
    <col min="1" max="1" width="10.28515625" style="72" customWidth="1"/>
    <col min="2" max="2" width="63.85546875" style="72" customWidth="1"/>
    <col min="3" max="3" width="20.42578125" style="72" customWidth="1"/>
    <col min="4" max="4" width="24.28515625" style="72" customWidth="1"/>
    <col min="5" max="5" width="26" style="72" customWidth="1"/>
    <col min="6" max="7" width="12.140625" style="72" customWidth="1"/>
    <col min="8" max="11" width="8.85546875" style="72" customWidth="1"/>
    <col min="12" max="12" width="11" style="72" customWidth="1"/>
    <col min="13" max="13" width="14.5703125" style="136" customWidth="1"/>
    <col min="14" max="14" width="255.7109375" style="72" customWidth="1"/>
    <col min="15" max="15" width="49.140625" style="72" customWidth="1"/>
    <col min="16" max="256" width="9.140625" style="72"/>
    <col min="257" max="257" width="10.28515625" style="72" customWidth="1"/>
    <col min="258" max="258" width="63.85546875" style="72" customWidth="1"/>
    <col min="259" max="259" width="20.42578125" style="72" customWidth="1"/>
    <col min="260" max="260" width="24.28515625" style="72" customWidth="1"/>
    <col min="261" max="261" width="26" style="72" customWidth="1"/>
    <col min="262" max="263" width="12.140625" style="72" customWidth="1"/>
    <col min="264" max="267" width="8.85546875" style="72" customWidth="1"/>
    <col min="268" max="268" width="11" style="72" customWidth="1"/>
    <col min="269" max="269" width="14.5703125" style="72" customWidth="1"/>
    <col min="270" max="270" width="255.7109375" style="72" customWidth="1"/>
    <col min="271" max="271" width="49.140625" style="72" customWidth="1"/>
    <col min="272" max="512" width="9.140625" style="72"/>
    <col min="513" max="513" width="10.28515625" style="72" customWidth="1"/>
    <col min="514" max="514" width="63.85546875" style="72" customWidth="1"/>
    <col min="515" max="515" width="20.42578125" style="72" customWidth="1"/>
    <col min="516" max="516" width="24.28515625" style="72" customWidth="1"/>
    <col min="517" max="517" width="26" style="72" customWidth="1"/>
    <col min="518" max="519" width="12.140625" style="72" customWidth="1"/>
    <col min="520" max="523" width="8.85546875" style="72" customWidth="1"/>
    <col min="524" max="524" width="11" style="72" customWidth="1"/>
    <col min="525" max="525" width="14.5703125" style="72" customWidth="1"/>
    <col min="526" max="526" width="255.7109375" style="72" customWidth="1"/>
    <col min="527" max="527" width="49.140625" style="72" customWidth="1"/>
    <col min="528" max="768" width="9.140625" style="72"/>
    <col min="769" max="769" width="10.28515625" style="72" customWidth="1"/>
    <col min="770" max="770" width="63.85546875" style="72" customWidth="1"/>
    <col min="771" max="771" width="20.42578125" style="72" customWidth="1"/>
    <col min="772" max="772" width="24.28515625" style="72" customWidth="1"/>
    <col min="773" max="773" width="26" style="72" customWidth="1"/>
    <col min="774" max="775" width="12.140625" style="72" customWidth="1"/>
    <col min="776" max="779" width="8.85546875" style="72" customWidth="1"/>
    <col min="780" max="780" width="11" style="72" customWidth="1"/>
    <col min="781" max="781" width="14.5703125" style="72" customWidth="1"/>
    <col min="782" max="782" width="255.7109375" style="72" customWidth="1"/>
    <col min="783" max="783" width="49.140625" style="72" customWidth="1"/>
    <col min="784" max="1024" width="9.140625" style="72"/>
    <col min="1025" max="1025" width="10.28515625" style="72" customWidth="1"/>
    <col min="1026" max="1026" width="63.85546875" style="72" customWidth="1"/>
    <col min="1027" max="1027" width="20.42578125" style="72" customWidth="1"/>
    <col min="1028" max="1028" width="24.28515625" style="72" customWidth="1"/>
    <col min="1029" max="1029" width="26" style="72" customWidth="1"/>
    <col min="1030" max="1031" width="12.140625" style="72" customWidth="1"/>
    <col min="1032" max="1035" width="8.85546875" style="72" customWidth="1"/>
    <col min="1036" max="1036" width="11" style="72" customWidth="1"/>
    <col min="1037" max="1037" width="14.5703125" style="72" customWidth="1"/>
    <col min="1038" max="1038" width="255.7109375" style="72" customWidth="1"/>
    <col min="1039" max="1039" width="49.140625" style="72" customWidth="1"/>
    <col min="1040" max="1280" width="9.140625" style="72"/>
    <col min="1281" max="1281" width="10.28515625" style="72" customWidth="1"/>
    <col min="1282" max="1282" width="63.85546875" style="72" customWidth="1"/>
    <col min="1283" max="1283" width="20.42578125" style="72" customWidth="1"/>
    <col min="1284" max="1284" width="24.28515625" style="72" customWidth="1"/>
    <col min="1285" max="1285" width="26" style="72" customWidth="1"/>
    <col min="1286" max="1287" width="12.140625" style="72" customWidth="1"/>
    <col min="1288" max="1291" width="8.85546875" style="72" customWidth="1"/>
    <col min="1292" max="1292" width="11" style="72" customWidth="1"/>
    <col min="1293" max="1293" width="14.5703125" style="72" customWidth="1"/>
    <col min="1294" max="1294" width="255.7109375" style="72" customWidth="1"/>
    <col min="1295" max="1295" width="49.140625" style="72" customWidth="1"/>
    <col min="1296" max="1536" width="9.140625" style="72"/>
    <col min="1537" max="1537" width="10.28515625" style="72" customWidth="1"/>
    <col min="1538" max="1538" width="63.85546875" style="72" customWidth="1"/>
    <col min="1539" max="1539" width="20.42578125" style="72" customWidth="1"/>
    <col min="1540" max="1540" width="24.28515625" style="72" customWidth="1"/>
    <col min="1541" max="1541" width="26" style="72" customWidth="1"/>
    <col min="1542" max="1543" width="12.140625" style="72" customWidth="1"/>
    <col min="1544" max="1547" width="8.85546875" style="72" customWidth="1"/>
    <col min="1548" max="1548" width="11" style="72" customWidth="1"/>
    <col min="1549" max="1549" width="14.5703125" style="72" customWidth="1"/>
    <col min="1550" max="1550" width="255.7109375" style="72" customWidth="1"/>
    <col min="1551" max="1551" width="49.140625" style="72" customWidth="1"/>
    <col min="1552" max="1792" width="9.140625" style="72"/>
    <col min="1793" max="1793" width="10.28515625" style="72" customWidth="1"/>
    <col min="1794" max="1794" width="63.85546875" style="72" customWidth="1"/>
    <col min="1795" max="1795" width="20.42578125" style="72" customWidth="1"/>
    <col min="1796" max="1796" width="24.28515625" style="72" customWidth="1"/>
    <col min="1797" max="1797" width="26" style="72" customWidth="1"/>
    <col min="1798" max="1799" width="12.140625" style="72" customWidth="1"/>
    <col min="1800" max="1803" width="8.85546875" style="72" customWidth="1"/>
    <col min="1804" max="1804" width="11" style="72" customWidth="1"/>
    <col min="1805" max="1805" width="14.5703125" style="72" customWidth="1"/>
    <col min="1806" max="1806" width="255.7109375" style="72" customWidth="1"/>
    <col min="1807" max="1807" width="49.140625" style="72" customWidth="1"/>
    <col min="1808" max="2048" width="9.140625" style="72"/>
    <col min="2049" max="2049" width="10.28515625" style="72" customWidth="1"/>
    <col min="2050" max="2050" width="63.85546875" style="72" customWidth="1"/>
    <col min="2051" max="2051" width="20.42578125" style="72" customWidth="1"/>
    <col min="2052" max="2052" width="24.28515625" style="72" customWidth="1"/>
    <col min="2053" max="2053" width="26" style="72" customWidth="1"/>
    <col min="2054" max="2055" width="12.140625" style="72" customWidth="1"/>
    <col min="2056" max="2059" width="8.85546875" style="72" customWidth="1"/>
    <col min="2060" max="2060" width="11" style="72" customWidth="1"/>
    <col min="2061" max="2061" width="14.5703125" style="72" customWidth="1"/>
    <col min="2062" max="2062" width="255.7109375" style="72" customWidth="1"/>
    <col min="2063" max="2063" width="49.140625" style="72" customWidth="1"/>
    <col min="2064" max="2304" width="9.140625" style="72"/>
    <col min="2305" max="2305" width="10.28515625" style="72" customWidth="1"/>
    <col min="2306" max="2306" width="63.85546875" style="72" customWidth="1"/>
    <col min="2307" max="2307" width="20.42578125" style="72" customWidth="1"/>
    <col min="2308" max="2308" width="24.28515625" style="72" customWidth="1"/>
    <col min="2309" max="2309" width="26" style="72" customWidth="1"/>
    <col min="2310" max="2311" width="12.140625" style="72" customWidth="1"/>
    <col min="2312" max="2315" width="8.85546875" style="72" customWidth="1"/>
    <col min="2316" max="2316" width="11" style="72" customWidth="1"/>
    <col min="2317" max="2317" width="14.5703125" style="72" customWidth="1"/>
    <col min="2318" max="2318" width="255.7109375" style="72" customWidth="1"/>
    <col min="2319" max="2319" width="49.140625" style="72" customWidth="1"/>
    <col min="2320" max="2560" width="9.140625" style="72"/>
    <col min="2561" max="2561" width="10.28515625" style="72" customWidth="1"/>
    <col min="2562" max="2562" width="63.85546875" style="72" customWidth="1"/>
    <col min="2563" max="2563" width="20.42578125" style="72" customWidth="1"/>
    <col min="2564" max="2564" width="24.28515625" style="72" customWidth="1"/>
    <col min="2565" max="2565" width="26" style="72" customWidth="1"/>
    <col min="2566" max="2567" width="12.140625" style="72" customWidth="1"/>
    <col min="2568" max="2571" width="8.85546875" style="72" customWidth="1"/>
    <col min="2572" max="2572" width="11" style="72" customWidth="1"/>
    <col min="2573" max="2573" width="14.5703125" style="72" customWidth="1"/>
    <col min="2574" max="2574" width="255.7109375" style="72" customWidth="1"/>
    <col min="2575" max="2575" width="49.140625" style="72" customWidth="1"/>
    <col min="2576" max="2816" width="9.140625" style="72"/>
    <col min="2817" max="2817" width="10.28515625" style="72" customWidth="1"/>
    <col min="2818" max="2818" width="63.85546875" style="72" customWidth="1"/>
    <col min="2819" max="2819" width="20.42578125" style="72" customWidth="1"/>
    <col min="2820" max="2820" width="24.28515625" style="72" customWidth="1"/>
    <col min="2821" max="2821" width="26" style="72" customWidth="1"/>
    <col min="2822" max="2823" width="12.140625" style="72" customWidth="1"/>
    <col min="2824" max="2827" width="8.85546875" style="72" customWidth="1"/>
    <col min="2828" max="2828" width="11" style="72" customWidth="1"/>
    <col min="2829" max="2829" width="14.5703125" style="72" customWidth="1"/>
    <col min="2830" max="2830" width="255.7109375" style="72" customWidth="1"/>
    <col min="2831" max="2831" width="49.140625" style="72" customWidth="1"/>
    <col min="2832" max="3072" width="9.140625" style="72"/>
    <col min="3073" max="3073" width="10.28515625" style="72" customWidth="1"/>
    <col min="3074" max="3074" width="63.85546875" style="72" customWidth="1"/>
    <col min="3075" max="3075" width="20.42578125" style="72" customWidth="1"/>
    <col min="3076" max="3076" width="24.28515625" style="72" customWidth="1"/>
    <col min="3077" max="3077" width="26" style="72" customWidth="1"/>
    <col min="3078" max="3079" width="12.140625" style="72" customWidth="1"/>
    <col min="3080" max="3083" width="8.85546875" style="72" customWidth="1"/>
    <col min="3084" max="3084" width="11" style="72" customWidth="1"/>
    <col min="3085" max="3085" width="14.5703125" style="72" customWidth="1"/>
    <col min="3086" max="3086" width="255.7109375" style="72" customWidth="1"/>
    <col min="3087" max="3087" width="49.140625" style="72" customWidth="1"/>
    <col min="3088" max="3328" width="9.140625" style="72"/>
    <col min="3329" max="3329" width="10.28515625" style="72" customWidth="1"/>
    <col min="3330" max="3330" width="63.85546875" style="72" customWidth="1"/>
    <col min="3331" max="3331" width="20.42578125" style="72" customWidth="1"/>
    <col min="3332" max="3332" width="24.28515625" style="72" customWidth="1"/>
    <col min="3333" max="3333" width="26" style="72" customWidth="1"/>
    <col min="3334" max="3335" width="12.140625" style="72" customWidth="1"/>
    <col min="3336" max="3339" width="8.85546875" style="72" customWidth="1"/>
    <col min="3340" max="3340" width="11" style="72" customWidth="1"/>
    <col min="3341" max="3341" width="14.5703125" style="72" customWidth="1"/>
    <col min="3342" max="3342" width="255.7109375" style="72" customWidth="1"/>
    <col min="3343" max="3343" width="49.140625" style="72" customWidth="1"/>
    <col min="3344" max="3584" width="9.140625" style="72"/>
    <col min="3585" max="3585" width="10.28515625" style="72" customWidth="1"/>
    <col min="3586" max="3586" width="63.85546875" style="72" customWidth="1"/>
    <col min="3587" max="3587" width="20.42578125" style="72" customWidth="1"/>
    <col min="3588" max="3588" width="24.28515625" style="72" customWidth="1"/>
    <col min="3589" max="3589" width="26" style="72" customWidth="1"/>
    <col min="3590" max="3591" width="12.140625" style="72" customWidth="1"/>
    <col min="3592" max="3595" width="8.85546875" style="72" customWidth="1"/>
    <col min="3596" max="3596" width="11" style="72" customWidth="1"/>
    <col min="3597" max="3597" width="14.5703125" style="72" customWidth="1"/>
    <col min="3598" max="3598" width="255.7109375" style="72" customWidth="1"/>
    <col min="3599" max="3599" width="49.140625" style="72" customWidth="1"/>
    <col min="3600" max="3840" width="9.140625" style="72"/>
    <col min="3841" max="3841" width="10.28515625" style="72" customWidth="1"/>
    <col min="3842" max="3842" width="63.85546875" style="72" customWidth="1"/>
    <col min="3843" max="3843" width="20.42578125" style="72" customWidth="1"/>
    <col min="3844" max="3844" width="24.28515625" style="72" customWidth="1"/>
    <col min="3845" max="3845" width="26" style="72" customWidth="1"/>
    <col min="3846" max="3847" width="12.140625" style="72" customWidth="1"/>
    <col min="3848" max="3851" width="8.85546875" style="72" customWidth="1"/>
    <col min="3852" max="3852" width="11" style="72" customWidth="1"/>
    <col min="3853" max="3853" width="14.5703125" style="72" customWidth="1"/>
    <col min="3854" max="3854" width="255.7109375" style="72" customWidth="1"/>
    <col min="3855" max="3855" width="49.140625" style="72" customWidth="1"/>
    <col min="3856" max="4096" width="9.140625" style="72"/>
    <col min="4097" max="4097" width="10.28515625" style="72" customWidth="1"/>
    <col min="4098" max="4098" width="63.85546875" style="72" customWidth="1"/>
    <col min="4099" max="4099" width="20.42578125" style="72" customWidth="1"/>
    <col min="4100" max="4100" width="24.28515625" style="72" customWidth="1"/>
    <col min="4101" max="4101" width="26" style="72" customWidth="1"/>
    <col min="4102" max="4103" width="12.140625" style="72" customWidth="1"/>
    <col min="4104" max="4107" width="8.85546875" style="72" customWidth="1"/>
    <col min="4108" max="4108" width="11" style="72" customWidth="1"/>
    <col min="4109" max="4109" width="14.5703125" style="72" customWidth="1"/>
    <col min="4110" max="4110" width="255.7109375" style="72" customWidth="1"/>
    <col min="4111" max="4111" width="49.140625" style="72" customWidth="1"/>
    <col min="4112" max="4352" width="9.140625" style="72"/>
    <col min="4353" max="4353" width="10.28515625" style="72" customWidth="1"/>
    <col min="4354" max="4354" width="63.85546875" style="72" customWidth="1"/>
    <col min="4355" max="4355" width="20.42578125" style="72" customWidth="1"/>
    <col min="4356" max="4356" width="24.28515625" style="72" customWidth="1"/>
    <col min="4357" max="4357" width="26" style="72" customWidth="1"/>
    <col min="4358" max="4359" width="12.140625" style="72" customWidth="1"/>
    <col min="4360" max="4363" width="8.85546875" style="72" customWidth="1"/>
    <col min="4364" max="4364" width="11" style="72" customWidth="1"/>
    <col min="4365" max="4365" width="14.5703125" style="72" customWidth="1"/>
    <col min="4366" max="4366" width="255.7109375" style="72" customWidth="1"/>
    <col min="4367" max="4367" width="49.140625" style="72" customWidth="1"/>
    <col min="4368" max="4608" width="9.140625" style="72"/>
    <col min="4609" max="4609" width="10.28515625" style="72" customWidth="1"/>
    <col min="4610" max="4610" width="63.85546875" style="72" customWidth="1"/>
    <col min="4611" max="4611" width="20.42578125" style="72" customWidth="1"/>
    <col min="4612" max="4612" width="24.28515625" style="72" customWidth="1"/>
    <col min="4613" max="4613" width="26" style="72" customWidth="1"/>
    <col min="4614" max="4615" width="12.140625" style="72" customWidth="1"/>
    <col min="4616" max="4619" width="8.85546875" style="72" customWidth="1"/>
    <col min="4620" max="4620" width="11" style="72" customWidth="1"/>
    <col min="4621" max="4621" width="14.5703125" style="72" customWidth="1"/>
    <col min="4622" max="4622" width="255.7109375" style="72" customWidth="1"/>
    <col min="4623" max="4623" width="49.140625" style="72" customWidth="1"/>
    <col min="4624" max="4864" width="9.140625" style="72"/>
    <col min="4865" max="4865" width="10.28515625" style="72" customWidth="1"/>
    <col min="4866" max="4866" width="63.85546875" style="72" customWidth="1"/>
    <col min="4867" max="4867" width="20.42578125" style="72" customWidth="1"/>
    <col min="4868" max="4868" width="24.28515625" style="72" customWidth="1"/>
    <col min="4869" max="4869" width="26" style="72" customWidth="1"/>
    <col min="4870" max="4871" width="12.140625" style="72" customWidth="1"/>
    <col min="4872" max="4875" width="8.85546875" style="72" customWidth="1"/>
    <col min="4876" max="4876" width="11" style="72" customWidth="1"/>
    <col min="4877" max="4877" width="14.5703125" style="72" customWidth="1"/>
    <col min="4878" max="4878" width="255.7109375" style="72" customWidth="1"/>
    <col min="4879" max="4879" width="49.140625" style="72" customWidth="1"/>
    <col min="4880" max="5120" width="9.140625" style="72"/>
    <col min="5121" max="5121" width="10.28515625" style="72" customWidth="1"/>
    <col min="5122" max="5122" width="63.85546875" style="72" customWidth="1"/>
    <col min="5123" max="5123" width="20.42578125" style="72" customWidth="1"/>
    <col min="5124" max="5124" width="24.28515625" style="72" customWidth="1"/>
    <col min="5125" max="5125" width="26" style="72" customWidth="1"/>
    <col min="5126" max="5127" width="12.140625" style="72" customWidth="1"/>
    <col min="5128" max="5131" width="8.85546875" style="72" customWidth="1"/>
    <col min="5132" max="5132" width="11" style="72" customWidth="1"/>
    <col min="5133" max="5133" width="14.5703125" style="72" customWidth="1"/>
    <col min="5134" max="5134" width="255.7109375" style="72" customWidth="1"/>
    <col min="5135" max="5135" width="49.140625" style="72" customWidth="1"/>
    <col min="5136" max="5376" width="9.140625" style="72"/>
    <col min="5377" max="5377" width="10.28515625" style="72" customWidth="1"/>
    <col min="5378" max="5378" width="63.85546875" style="72" customWidth="1"/>
    <col min="5379" max="5379" width="20.42578125" style="72" customWidth="1"/>
    <col min="5380" max="5380" width="24.28515625" style="72" customWidth="1"/>
    <col min="5381" max="5381" width="26" style="72" customWidth="1"/>
    <col min="5382" max="5383" width="12.140625" style="72" customWidth="1"/>
    <col min="5384" max="5387" width="8.85546875" style="72" customWidth="1"/>
    <col min="5388" max="5388" width="11" style="72" customWidth="1"/>
    <col min="5389" max="5389" width="14.5703125" style="72" customWidth="1"/>
    <col min="5390" max="5390" width="255.7109375" style="72" customWidth="1"/>
    <col min="5391" max="5391" width="49.140625" style="72" customWidth="1"/>
    <col min="5392" max="5632" width="9.140625" style="72"/>
    <col min="5633" max="5633" width="10.28515625" style="72" customWidth="1"/>
    <col min="5634" max="5634" width="63.85546875" style="72" customWidth="1"/>
    <col min="5635" max="5635" width="20.42578125" style="72" customWidth="1"/>
    <col min="5636" max="5636" width="24.28515625" style="72" customWidth="1"/>
    <col min="5637" max="5637" width="26" style="72" customWidth="1"/>
    <col min="5638" max="5639" width="12.140625" style="72" customWidth="1"/>
    <col min="5640" max="5643" width="8.85546875" style="72" customWidth="1"/>
    <col min="5644" max="5644" width="11" style="72" customWidth="1"/>
    <col min="5645" max="5645" width="14.5703125" style="72" customWidth="1"/>
    <col min="5646" max="5646" width="255.7109375" style="72" customWidth="1"/>
    <col min="5647" max="5647" width="49.140625" style="72" customWidth="1"/>
    <col min="5648" max="5888" width="9.140625" style="72"/>
    <col min="5889" max="5889" width="10.28515625" style="72" customWidth="1"/>
    <col min="5890" max="5890" width="63.85546875" style="72" customWidth="1"/>
    <col min="5891" max="5891" width="20.42578125" style="72" customWidth="1"/>
    <col min="5892" max="5892" width="24.28515625" style="72" customWidth="1"/>
    <col min="5893" max="5893" width="26" style="72" customWidth="1"/>
    <col min="5894" max="5895" width="12.140625" style="72" customWidth="1"/>
    <col min="5896" max="5899" width="8.85546875" style="72" customWidth="1"/>
    <col min="5900" max="5900" width="11" style="72" customWidth="1"/>
    <col min="5901" max="5901" width="14.5703125" style="72" customWidth="1"/>
    <col min="5902" max="5902" width="255.7109375" style="72" customWidth="1"/>
    <col min="5903" max="5903" width="49.140625" style="72" customWidth="1"/>
    <col min="5904" max="6144" width="9.140625" style="72"/>
    <col min="6145" max="6145" width="10.28515625" style="72" customWidth="1"/>
    <col min="6146" max="6146" width="63.85546875" style="72" customWidth="1"/>
    <col min="6147" max="6147" width="20.42578125" style="72" customWidth="1"/>
    <col min="6148" max="6148" width="24.28515625" style="72" customWidth="1"/>
    <col min="6149" max="6149" width="26" style="72" customWidth="1"/>
    <col min="6150" max="6151" width="12.140625" style="72" customWidth="1"/>
    <col min="6152" max="6155" width="8.85546875" style="72" customWidth="1"/>
    <col min="6156" max="6156" width="11" style="72" customWidth="1"/>
    <col min="6157" max="6157" width="14.5703125" style="72" customWidth="1"/>
    <col min="6158" max="6158" width="255.7109375" style="72" customWidth="1"/>
    <col min="6159" max="6159" width="49.140625" style="72" customWidth="1"/>
    <col min="6160" max="6400" width="9.140625" style="72"/>
    <col min="6401" max="6401" width="10.28515625" style="72" customWidth="1"/>
    <col min="6402" max="6402" width="63.85546875" style="72" customWidth="1"/>
    <col min="6403" max="6403" width="20.42578125" style="72" customWidth="1"/>
    <col min="6404" max="6404" width="24.28515625" style="72" customWidth="1"/>
    <col min="6405" max="6405" width="26" style="72" customWidth="1"/>
    <col min="6406" max="6407" width="12.140625" style="72" customWidth="1"/>
    <col min="6408" max="6411" width="8.85546875" style="72" customWidth="1"/>
    <col min="6412" max="6412" width="11" style="72" customWidth="1"/>
    <col min="6413" max="6413" width="14.5703125" style="72" customWidth="1"/>
    <col min="6414" max="6414" width="255.7109375" style="72" customWidth="1"/>
    <col min="6415" max="6415" width="49.140625" style="72" customWidth="1"/>
    <col min="6416" max="6656" width="9.140625" style="72"/>
    <col min="6657" max="6657" width="10.28515625" style="72" customWidth="1"/>
    <col min="6658" max="6658" width="63.85546875" style="72" customWidth="1"/>
    <col min="6659" max="6659" width="20.42578125" style="72" customWidth="1"/>
    <col min="6660" max="6660" width="24.28515625" style="72" customWidth="1"/>
    <col min="6661" max="6661" width="26" style="72" customWidth="1"/>
    <col min="6662" max="6663" width="12.140625" style="72" customWidth="1"/>
    <col min="6664" max="6667" width="8.85546875" style="72" customWidth="1"/>
    <col min="6668" max="6668" width="11" style="72" customWidth="1"/>
    <col min="6669" max="6669" width="14.5703125" style="72" customWidth="1"/>
    <col min="6670" max="6670" width="255.7109375" style="72" customWidth="1"/>
    <col min="6671" max="6671" width="49.140625" style="72" customWidth="1"/>
    <col min="6672" max="6912" width="9.140625" style="72"/>
    <col min="6913" max="6913" width="10.28515625" style="72" customWidth="1"/>
    <col min="6914" max="6914" width="63.85546875" style="72" customWidth="1"/>
    <col min="6915" max="6915" width="20.42578125" style="72" customWidth="1"/>
    <col min="6916" max="6916" width="24.28515625" style="72" customWidth="1"/>
    <col min="6917" max="6917" width="26" style="72" customWidth="1"/>
    <col min="6918" max="6919" width="12.140625" style="72" customWidth="1"/>
    <col min="6920" max="6923" width="8.85546875" style="72" customWidth="1"/>
    <col min="6924" max="6924" width="11" style="72" customWidth="1"/>
    <col min="6925" max="6925" width="14.5703125" style="72" customWidth="1"/>
    <col min="6926" max="6926" width="255.7109375" style="72" customWidth="1"/>
    <col min="6927" max="6927" width="49.140625" style="72" customWidth="1"/>
    <col min="6928" max="7168" width="9.140625" style="72"/>
    <col min="7169" max="7169" width="10.28515625" style="72" customWidth="1"/>
    <col min="7170" max="7170" width="63.85546875" style="72" customWidth="1"/>
    <col min="7171" max="7171" width="20.42578125" style="72" customWidth="1"/>
    <col min="7172" max="7172" width="24.28515625" style="72" customWidth="1"/>
    <col min="7173" max="7173" width="26" style="72" customWidth="1"/>
    <col min="7174" max="7175" width="12.140625" style="72" customWidth="1"/>
    <col min="7176" max="7179" width="8.85546875" style="72" customWidth="1"/>
    <col min="7180" max="7180" width="11" style="72" customWidth="1"/>
    <col min="7181" max="7181" width="14.5703125" style="72" customWidth="1"/>
    <col min="7182" max="7182" width="255.7109375" style="72" customWidth="1"/>
    <col min="7183" max="7183" width="49.140625" style="72" customWidth="1"/>
    <col min="7184" max="7424" width="9.140625" style="72"/>
    <col min="7425" max="7425" width="10.28515625" style="72" customWidth="1"/>
    <col min="7426" max="7426" width="63.85546875" style="72" customWidth="1"/>
    <col min="7427" max="7427" width="20.42578125" style="72" customWidth="1"/>
    <col min="7428" max="7428" width="24.28515625" style="72" customWidth="1"/>
    <col min="7429" max="7429" width="26" style="72" customWidth="1"/>
    <col min="7430" max="7431" width="12.140625" style="72" customWidth="1"/>
    <col min="7432" max="7435" width="8.85546875" style="72" customWidth="1"/>
    <col min="7436" max="7436" width="11" style="72" customWidth="1"/>
    <col min="7437" max="7437" width="14.5703125" style="72" customWidth="1"/>
    <col min="7438" max="7438" width="255.7109375" style="72" customWidth="1"/>
    <col min="7439" max="7439" width="49.140625" style="72" customWidth="1"/>
    <col min="7440" max="7680" width="9.140625" style="72"/>
    <col min="7681" max="7681" width="10.28515625" style="72" customWidth="1"/>
    <col min="7682" max="7682" width="63.85546875" style="72" customWidth="1"/>
    <col min="7683" max="7683" width="20.42578125" style="72" customWidth="1"/>
    <col min="7684" max="7684" width="24.28515625" style="72" customWidth="1"/>
    <col min="7685" max="7685" width="26" style="72" customWidth="1"/>
    <col min="7686" max="7687" width="12.140625" style="72" customWidth="1"/>
    <col min="7688" max="7691" width="8.85546875" style="72" customWidth="1"/>
    <col min="7692" max="7692" width="11" style="72" customWidth="1"/>
    <col min="7693" max="7693" width="14.5703125" style="72" customWidth="1"/>
    <col min="7694" max="7694" width="255.7109375" style="72" customWidth="1"/>
    <col min="7695" max="7695" width="49.140625" style="72" customWidth="1"/>
    <col min="7696" max="7936" width="9.140625" style="72"/>
    <col min="7937" max="7937" width="10.28515625" style="72" customWidth="1"/>
    <col min="7938" max="7938" width="63.85546875" style="72" customWidth="1"/>
    <col min="7939" max="7939" width="20.42578125" style="72" customWidth="1"/>
    <col min="7940" max="7940" width="24.28515625" style="72" customWidth="1"/>
    <col min="7941" max="7941" width="26" style="72" customWidth="1"/>
    <col min="7942" max="7943" width="12.140625" style="72" customWidth="1"/>
    <col min="7944" max="7947" width="8.85546875" style="72" customWidth="1"/>
    <col min="7948" max="7948" width="11" style="72" customWidth="1"/>
    <col min="7949" max="7949" width="14.5703125" style="72" customWidth="1"/>
    <col min="7950" max="7950" width="255.7109375" style="72" customWidth="1"/>
    <col min="7951" max="7951" width="49.140625" style="72" customWidth="1"/>
    <col min="7952" max="8192" width="9.140625" style="72"/>
    <col min="8193" max="8193" width="10.28515625" style="72" customWidth="1"/>
    <col min="8194" max="8194" width="63.85546875" style="72" customWidth="1"/>
    <col min="8195" max="8195" width="20.42578125" style="72" customWidth="1"/>
    <col min="8196" max="8196" width="24.28515625" style="72" customWidth="1"/>
    <col min="8197" max="8197" width="26" style="72" customWidth="1"/>
    <col min="8198" max="8199" width="12.140625" style="72" customWidth="1"/>
    <col min="8200" max="8203" width="8.85546875" style="72" customWidth="1"/>
    <col min="8204" max="8204" width="11" style="72" customWidth="1"/>
    <col min="8205" max="8205" width="14.5703125" style="72" customWidth="1"/>
    <col min="8206" max="8206" width="255.7109375" style="72" customWidth="1"/>
    <col min="8207" max="8207" width="49.140625" style="72" customWidth="1"/>
    <col min="8208" max="8448" width="9.140625" style="72"/>
    <col min="8449" max="8449" width="10.28515625" style="72" customWidth="1"/>
    <col min="8450" max="8450" width="63.85546875" style="72" customWidth="1"/>
    <col min="8451" max="8451" width="20.42578125" style="72" customWidth="1"/>
    <col min="8452" max="8452" width="24.28515625" style="72" customWidth="1"/>
    <col min="8453" max="8453" width="26" style="72" customWidth="1"/>
    <col min="8454" max="8455" width="12.140625" style="72" customWidth="1"/>
    <col min="8456" max="8459" width="8.85546875" style="72" customWidth="1"/>
    <col min="8460" max="8460" width="11" style="72" customWidth="1"/>
    <col min="8461" max="8461" width="14.5703125" style="72" customWidth="1"/>
    <col min="8462" max="8462" width="255.7109375" style="72" customWidth="1"/>
    <col min="8463" max="8463" width="49.140625" style="72" customWidth="1"/>
    <col min="8464" max="8704" width="9.140625" style="72"/>
    <col min="8705" max="8705" width="10.28515625" style="72" customWidth="1"/>
    <col min="8706" max="8706" width="63.85546875" style="72" customWidth="1"/>
    <col min="8707" max="8707" width="20.42578125" style="72" customWidth="1"/>
    <col min="8708" max="8708" width="24.28515625" style="72" customWidth="1"/>
    <col min="8709" max="8709" width="26" style="72" customWidth="1"/>
    <col min="8710" max="8711" width="12.140625" style="72" customWidth="1"/>
    <col min="8712" max="8715" width="8.85546875" style="72" customWidth="1"/>
    <col min="8716" max="8716" width="11" style="72" customWidth="1"/>
    <col min="8717" max="8717" width="14.5703125" style="72" customWidth="1"/>
    <col min="8718" max="8718" width="255.7109375" style="72" customWidth="1"/>
    <col min="8719" max="8719" width="49.140625" style="72" customWidth="1"/>
    <col min="8720" max="8960" width="9.140625" style="72"/>
    <col min="8961" max="8961" width="10.28515625" style="72" customWidth="1"/>
    <col min="8962" max="8962" width="63.85546875" style="72" customWidth="1"/>
    <col min="8963" max="8963" width="20.42578125" style="72" customWidth="1"/>
    <col min="8964" max="8964" width="24.28515625" style="72" customWidth="1"/>
    <col min="8965" max="8965" width="26" style="72" customWidth="1"/>
    <col min="8966" max="8967" width="12.140625" style="72" customWidth="1"/>
    <col min="8968" max="8971" width="8.85546875" style="72" customWidth="1"/>
    <col min="8972" max="8972" width="11" style="72" customWidth="1"/>
    <col min="8973" max="8973" width="14.5703125" style="72" customWidth="1"/>
    <col min="8974" max="8974" width="255.7109375" style="72" customWidth="1"/>
    <col min="8975" max="8975" width="49.140625" style="72" customWidth="1"/>
    <col min="8976" max="9216" width="9.140625" style="72"/>
    <col min="9217" max="9217" width="10.28515625" style="72" customWidth="1"/>
    <col min="9218" max="9218" width="63.85546875" style="72" customWidth="1"/>
    <col min="9219" max="9219" width="20.42578125" style="72" customWidth="1"/>
    <col min="9220" max="9220" width="24.28515625" style="72" customWidth="1"/>
    <col min="9221" max="9221" width="26" style="72" customWidth="1"/>
    <col min="9222" max="9223" width="12.140625" style="72" customWidth="1"/>
    <col min="9224" max="9227" width="8.85546875" style="72" customWidth="1"/>
    <col min="9228" max="9228" width="11" style="72" customWidth="1"/>
    <col min="9229" max="9229" width="14.5703125" style="72" customWidth="1"/>
    <col min="9230" max="9230" width="255.7109375" style="72" customWidth="1"/>
    <col min="9231" max="9231" width="49.140625" style="72" customWidth="1"/>
    <col min="9232" max="9472" width="9.140625" style="72"/>
    <col min="9473" max="9473" width="10.28515625" style="72" customWidth="1"/>
    <col min="9474" max="9474" width="63.85546875" style="72" customWidth="1"/>
    <col min="9475" max="9475" width="20.42578125" style="72" customWidth="1"/>
    <col min="9476" max="9476" width="24.28515625" style="72" customWidth="1"/>
    <col min="9477" max="9477" width="26" style="72" customWidth="1"/>
    <col min="9478" max="9479" width="12.140625" style="72" customWidth="1"/>
    <col min="9480" max="9483" width="8.85546875" style="72" customWidth="1"/>
    <col min="9484" max="9484" width="11" style="72" customWidth="1"/>
    <col min="9485" max="9485" width="14.5703125" style="72" customWidth="1"/>
    <col min="9486" max="9486" width="255.7109375" style="72" customWidth="1"/>
    <col min="9487" max="9487" width="49.140625" style="72" customWidth="1"/>
    <col min="9488" max="9728" width="9.140625" style="72"/>
    <col min="9729" max="9729" width="10.28515625" style="72" customWidth="1"/>
    <col min="9730" max="9730" width="63.85546875" style="72" customWidth="1"/>
    <col min="9731" max="9731" width="20.42578125" style="72" customWidth="1"/>
    <col min="9732" max="9732" width="24.28515625" style="72" customWidth="1"/>
    <col min="9733" max="9733" width="26" style="72" customWidth="1"/>
    <col min="9734" max="9735" width="12.140625" style="72" customWidth="1"/>
    <col min="9736" max="9739" width="8.85546875" style="72" customWidth="1"/>
    <col min="9740" max="9740" width="11" style="72" customWidth="1"/>
    <col min="9741" max="9741" width="14.5703125" style="72" customWidth="1"/>
    <col min="9742" max="9742" width="255.7109375" style="72" customWidth="1"/>
    <col min="9743" max="9743" width="49.140625" style="72" customWidth="1"/>
    <col min="9744" max="9984" width="9.140625" style="72"/>
    <col min="9985" max="9985" width="10.28515625" style="72" customWidth="1"/>
    <col min="9986" max="9986" width="63.85546875" style="72" customWidth="1"/>
    <col min="9987" max="9987" width="20.42578125" style="72" customWidth="1"/>
    <col min="9988" max="9988" width="24.28515625" style="72" customWidth="1"/>
    <col min="9989" max="9989" width="26" style="72" customWidth="1"/>
    <col min="9990" max="9991" width="12.140625" style="72" customWidth="1"/>
    <col min="9992" max="9995" width="8.85546875" style="72" customWidth="1"/>
    <col min="9996" max="9996" width="11" style="72" customWidth="1"/>
    <col min="9997" max="9997" width="14.5703125" style="72" customWidth="1"/>
    <col min="9998" max="9998" width="255.7109375" style="72" customWidth="1"/>
    <col min="9999" max="9999" width="49.140625" style="72" customWidth="1"/>
    <col min="10000" max="10240" width="9.140625" style="72"/>
    <col min="10241" max="10241" width="10.28515625" style="72" customWidth="1"/>
    <col min="10242" max="10242" width="63.85546875" style="72" customWidth="1"/>
    <col min="10243" max="10243" width="20.42578125" style="72" customWidth="1"/>
    <col min="10244" max="10244" width="24.28515625" style="72" customWidth="1"/>
    <col min="10245" max="10245" width="26" style="72" customWidth="1"/>
    <col min="10246" max="10247" width="12.140625" style="72" customWidth="1"/>
    <col min="10248" max="10251" width="8.85546875" style="72" customWidth="1"/>
    <col min="10252" max="10252" width="11" style="72" customWidth="1"/>
    <col min="10253" max="10253" width="14.5703125" style="72" customWidth="1"/>
    <col min="10254" max="10254" width="255.7109375" style="72" customWidth="1"/>
    <col min="10255" max="10255" width="49.140625" style="72" customWidth="1"/>
    <col min="10256" max="10496" width="9.140625" style="72"/>
    <col min="10497" max="10497" width="10.28515625" style="72" customWidth="1"/>
    <col min="10498" max="10498" width="63.85546875" style="72" customWidth="1"/>
    <col min="10499" max="10499" width="20.42578125" style="72" customWidth="1"/>
    <col min="10500" max="10500" width="24.28515625" style="72" customWidth="1"/>
    <col min="10501" max="10501" width="26" style="72" customWidth="1"/>
    <col min="10502" max="10503" width="12.140625" style="72" customWidth="1"/>
    <col min="10504" max="10507" width="8.85546875" style="72" customWidth="1"/>
    <col min="10508" max="10508" width="11" style="72" customWidth="1"/>
    <col min="10509" max="10509" width="14.5703125" style="72" customWidth="1"/>
    <col min="10510" max="10510" width="255.7109375" style="72" customWidth="1"/>
    <col min="10511" max="10511" width="49.140625" style="72" customWidth="1"/>
    <col min="10512" max="10752" width="9.140625" style="72"/>
    <col min="10753" max="10753" width="10.28515625" style="72" customWidth="1"/>
    <col min="10754" max="10754" width="63.85546875" style="72" customWidth="1"/>
    <col min="10755" max="10755" width="20.42578125" style="72" customWidth="1"/>
    <col min="10756" max="10756" width="24.28515625" style="72" customWidth="1"/>
    <col min="10757" max="10757" width="26" style="72" customWidth="1"/>
    <col min="10758" max="10759" width="12.140625" style="72" customWidth="1"/>
    <col min="10760" max="10763" width="8.85546875" style="72" customWidth="1"/>
    <col min="10764" max="10764" width="11" style="72" customWidth="1"/>
    <col min="10765" max="10765" width="14.5703125" style="72" customWidth="1"/>
    <col min="10766" max="10766" width="255.7109375" style="72" customWidth="1"/>
    <col min="10767" max="10767" width="49.140625" style="72" customWidth="1"/>
    <col min="10768" max="11008" width="9.140625" style="72"/>
    <col min="11009" max="11009" width="10.28515625" style="72" customWidth="1"/>
    <col min="11010" max="11010" width="63.85546875" style="72" customWidth="1"/>
    <col min="11011" max="11011" width="20.42578125" style="72" customWidth="1"/>
    <col min="11012" max="11012" width="24.28515625" style="72" customWidth="1"/>
    <col min="11013" max="11013" width="26" style="72" customWidth="1"/>
    <col min="11014" max="11015" width="12.140625" style="72" customWidth="1"/>
    <col min="11016" max="11019" width="8.85546875" style="72" customWidth="1"/>
    <col min="11020" max="11020" width="11" style="72" customWidth="1"/>
    <col min="11021" max="11021" width="14.5703125" style="72" customWidth="1"/>
    <col min="11022" max="11022" width="255.7109375" style="72" customWidth="1"/>
    <col min="11023" max="11023" width="49.140625" style="72" customWidth="1"/>
    <col min="11024" max="11264" width="9.140625" style="72"/>
    <col min="11265" max="11265" width="10.28515625" style="72" customWidth="1"/>
    <col min="11266" max="11266" width="63.85546875" style="72" customWidth="1"/>
    <col min="11267" max="11267" width="20.42578125" style="72" customWidth="1"/>
    <col min="11268" max="11268" width="24.28515625" style="72" customWidth="1"/>
    <col min="11269" max="11269" width="26" style="72" customWidth="1"/>
    <col min="11270" max="11271" width="12.140625" style="72" customWidth="1"/>
    <col min="11272" max="11275" width="8.85546875" style="72" customWidth="1"/>
    <col min="11276" max="11276" width="11" style="72" customWidth="1"/>
    <col min="11277" max="11277" width="14.5703125" style="72" customWidth="1"/>
    <col min="11278" max="11278" width="255.7109375" style="72" customWidth="1"/>
    <col min="11279" max="11279" width="49.140625" style="72" customWidth="1"/>
    <col min="11280" max="11520" width="9.140625" style="72"/>
    <col min="11521" max="11521" width="10.28515625" style="72" customWidth="1"/>
    <col min="11522" max="11522" width="63.85546875" style="72" customWidth="1"/>
    <col min="11523" max="11523" width="20.42578125" style="72" customWidth="1"/>
    <col min="11524" max="11524" width="24.28515625" style="72" customWidth="1"/>
    <col min="11525" max="11525" width="26" style="72" customWidth="1"/>
    <col min="11526" max="11527" width="12.140625" style="72" customWidth="1"/>
    <col min="11528" max="11531" width="8.85546875" style="72" customWidth="1"/>
    <col min="11532" max="11532" width="11" style="72" customWidth="1"/>
    <col min="11533" max="11533" width="14.5703125" style="72" customWidth="1"/>
    <col min="11534" max="11534" width="255.7109375" style="72" customWidth="1"/>
    <col min="11535" max="11535" width="49.140625" style="72" customWidth="1"/>
    <col min="11536" max="11776" width="9.140625" style="72"/>
    <col min="11777" max="11777" width="10.28515625" style="72" customWidth="1"/>
    <col min="11778" max="11778" width="63.85546875" style="72" customWidth="1"/>
    <col min="11779" max="11779" width="20.42578125" style="72" customWidth="1"/>
    <col min="11780" max="11780" width="24.28515625" style="72" customWidth="1"/>
    <col min="11781" max="11781" width="26" style="72" customWidth="1"/>
    <col min="11782" max="11783" width="12.140625" style="72" customWidth="1"/>
    <col min="11784" max="11787" width="8.85546875" style="72" customWidth="1"/>
    <col min="11788" max="11788" width="11" style="72" customWidth="1"/>
    <col min="11789" max="11789" width="14.5703125" style="72" customWidth="1"/>
    <col min="11790" max="11790" width="255.7109375" style="72" customWidth="1"/>
    <col min="11791" max="11791" width="49.140625" style="72" customWidth="1"/>
    <col min="11792" max="12032" width="9.140625" style="72"/>
    <col min="12033" max="12033" width="10.28515625" style="72" customWidth="1"/>
    <col min="12034" max="12034" width="63.85546875" style="72" customWidth="1"/>
    <col min="12035" max="12035" width="20.42578125" style="72" customWidth="1"/>
    <col min="12036" max="12036" width="24.28515625" style="72" customWidth="1"/>
    <col min="12037" max="12037" width="26" style="72" customWidth="1"/>
    <col min="12038" max="12039" width="12.140625" style="72" customWidth="1"/>
    <col min="12040" max="12043" width="8.85546875" style="72" customWidth="1"/>
    <col min="12044" max="12044" width="11" style="72" customWidth="1"/>
    <col min="12045" max="12045" width="14.5703125" style="72" customWidth="1"/>
    <col min="12046" max="12046" width="255.7109375" style="72" customWidth="1"/>
    <col min="12047" max="12047" width="49.140625" style="72" customWidth="1"/>
    <col min="12048" max="12288" width="9.140625" style="72"/>
    <col min="12289" max="12289" width="10.28515625" style="72" customWidth="1"/>
    <col min="12290" max="12290" width="63.85546875" style="72" customWidth="1"/>
    <col min="12291" max="12291" width="20.42578125" style="72" customWidth="1"/>
    <col min="12292" max="12292" width="24.28515625" style="72" customWidth="1"/>
    <col min="12293" max="12293" width="26" style="72" customWidth="1"/>
    <col min="12294" max="12295" width="12.140625" style="72" customWidth="1"/>
    <col min="12296" max="12299" width="8.85546875" style="72" customWidth="1"/>
    <col min="12300" max="12300" width="11" style="72" customWidth="1"/>
    <col min="12301" max="12301" width="14.5703125" style="72" customWidth="1"/>
    <col min="12302" max="12302" width="255.7109375" style="72" customWidth="1"/>
    <col min="12303" max="12303" width="49.140625" style="72" customWidth="1"/>
    <col min="12304" max="12544" width="9.140625" style="72"/>
    <col min="12545" max="12545" width="10.28515625" style="72" customWidth="1"/>
    <col min="12546" max="12546" width="63.85546875" style="72" customWidth="1"/>
    <col min="12547" max="12547" width="20.42578125" style="72" customWidth="1"/>
    <col min="12548" max="12548" width="24.28515625" style="72" customWidth="1"/>
    <col min="12549" max="12549" width="26" style="72" customWidth="1"/>
    <col min="12550" max="12551" width="12.140625" style="72" customWidth="1"/>
    <col min="12552" max="12555" width="8.85546875" style="72" customWidth="1"/>
    <col min="12556" max="12556" width="11" style="72" customWidth="1"/>
    <col min="12557" max="12557" width="14.5703125" style="72" customWidth="1"/>
    <col min="12558" max="12558" width="255.7109375" style="72" customWidth="1"/>
    <col min="12559" max="12559" width="49.140625" style="72" customWidth="1"/>
    <col min="12560" max="12800" width="9.140625" style="72"/>
    <col min="12801" max="12801" width="10.28515625" style="72" customWidth="1"/>
    <col min="12802" max="12802" width="63.85546875" style="72" customWidth="1"/>
    <col min="12803" max="12803" width="20.42578125" style="72" customWidth="1"/>
    <col min="12804" max="12804" width="24.28515625" style="72" customWidth="1"/>
    <col min="12805" max="12805" width="26" style="72" customWidth="1"/>
    <col min="12806" max="12807" width="12.140625" style="72" customWidth="1"/>
    <col min="12808" max="12811" width="8.85546875" style="72" customWidth="1"/>
    <col min="12812" max="12812" width="11" style="72" customWidth="1"/>
    <col min="12813" max="12813" width="14.5703125" style="72" customWidth="1"/>
    <col min="12814" max="12814" width="255.7109375" style="72" customWidth="1"/>
    <col min="12815" max="12815" width="49.140625" style="72" customWidth="1"/>
    <col min="12816" max="13056" width="9.140625" style="72"/>
    <col min="13057" max="13057" width="10.28515625" style="72" customWidth="1"/>
    <col min="13058" max="13058" width="63.85546875" style="72" customWidth="1"/>
    <col min="13059" max="13059" width="20.42578125" style="72" customWidth="1"/>
    <col min="13060" max="13060" width="24.28515625" style="72" customWidth="1"/>
    <col min="13061" max="13061" width="26" style="72" customWidth="1"/>
    <col min="13062" max="13063" width="12.140625" style="72" customWidth="1"/>
    <col min="13064" max="13067" width="8.85546875" style="72" customWidth="1"/>
    <col min="13068" max="13068" width="11" style="72" customWidth="1"/>
    <col min="13069" max="13069" width="14.5703125" style="72" customWidth="1"/>
    <col min="13070" max="13070" width="255.7109375" style="72" customWidth="1"/>
    <col min="13071" max="13071" width="49.140625" style="72" customWidth="1"/>
    <col min="13072" max="13312" width="9.140625" style="72"/>
    <col min="13313" max="13313" width="10.28515625" style="72" customWidth="1"/>
    <col min="13314" max="13314" width="63.85546875" style="72" customWidth="1"/>
    <col min="13315" max="13315" width="20.42578125" style="72" customWidth="1"/>
    <col min="13316" max="13316" width="24.28515625" style="72" customWidth="1"/>
    <col min="13317" max="13317" width="26" style="72" customWidth="1"/>
    <col min="13318" max="13319" width="12.140625" style="72" customWidth="1"/>
    <col min="13320" max="13323" width="8.85546875" style="72" customWidth="1"/>
    <col min="13324" max="13324" width="11" style="72" customWidth="1"/>
    <col min="13325" max="13325" width="14.5703125" style="72" customWidth="1"/>
    <col min="13326" max="13326" width="255.7109375" style="72" customWidth="1"/>
    <col min="13327" max="13327" width="49.140625" style="72" customWidth="1"/>
    <col min="13328" max="13568" width="9.140625" style="72"/>
    <col min="13569" max="13569" width="10.28515625" style="72" customWidth="1"/>
    <col min="13570" max="13570" width="63.85546875" style="72" customWidth="1"/>
    <col min="13571" max="13571" width="20.42578125" style="72" customWidth="1"/>
    <col min="13572" max="13572" width="24.28515625" style="72" customWidth="1"/>
    <col min="13573" max="13573" width="26" style="72" customWidth="1"/>
    <col min="13574" max="13575" width="12.140625" style="72" customWidth="1"/>
    <col min="13576" max="13579" width="8.85546875" style="72" customWidth="1"/>
    <col min="13580" max="13580" width="11" style="72" customWidth="1"/>
    <col min="13581" max="13581" width="14.5703125" style="72" customWidth="1"/>
    <col min="13582" max="13582" width="255.7109375" style="72" customWidth="1"/>
    <col min="13583" max="13583" width="49.140625" style="72" customWidth="1"/>
    <col min="13584" max="13824" width="9.140625" style="72"/>
    <col min="13825" max="13825" width="10.28515625" style="72" customWidth="1"/>
    <col min="13826" max="13826" width="63.85546875" style="72" customWidth="1"/>
    <col min="13827" max="13827" width="20.42578125" style="72" customWidth="1"/>
    <col min="13828" max="13828" width="24.28515625" style="72" customWidth="1"/>
    <col min="13829" max="13829" width="26" style="72" customWidth="1"/>
    <col min="13830" max="13831" width="12.140625" style="72" customWidth="1"/>
    <col min="13832" max="13835" width="8.85546875" style="72" customWidth="1"/>
    <col min="13836" max="13836" width="11" style="72" customWidth="1"/>
    <col min="13837" max="13837" width="14.5703125" style="72" customWidth="1"/>
    <col min="13838" max="13838" width="255.7109375" style="72" customWidth="1"/>
    <col min="13839" max="13839" width="49.140625" style="72" customWidth="1"/>
    <col min="13840" max="14080" width="9.140625" style="72"/>
    <col min="14081" max="14081" width="10.28515625" style="72" customWidth="1"/>
    <col min="14082" max="14082" width="63.85546875" style="72" customWidth="1"/>
    <col min="14083" max="14083" width="20.42578125" style="72" customWidth="1"/>
    <col min="14084" max="14084" width="24.28515625" style="72" customWidth="1"/>
    <col min="14085" max="14085" width="26" style="72" customWidth="1"/>
    <col min="14086" max="14087" width="12.140625" style="72" customWidth="1"/>
    <col min="14088" max="14091" width="8.85546875" style="72" customWidth="1"/>
    <col min="14092" max="14092" width="11" style="72" customWidth="1"/>
    <col min="14093" max="14093" width="14.5703125" style="72" customWidth="1"/>
    <col min="14094" max="14094" width="255.7109375" style="72" customWidth="1"/>
    <col min="14095" max="14095" width="49.140625" style="72" customWidth="1"/>
    <col min="14096" max="14336" width="9.140625" style="72"/>
    <col min="14337" max="14337" width="10.28515625" style="72" customWidth="1"/>
    <col min="14338" max="14338" width="63.85546875" style="72" customWidth="1"/>
    <col min="14339" max="14339" width="20.42578125" style="72" customWidth="1"/>
    <col min="14340" max="14340" width="24.28515625" style="72" customWidth="1"/>
    <col min="14341" max="14341" width="26" style="72" customWidth="1"/>
    <col min="14342" max="14343" width="12.140625" style="72" customWidth="1"/>
    <col min="14344" max="14347" width="8.85546875" style="72" customWidth="1"/>
    <col min="14348" max="14348" width="11" style="72" customWidth="1"/>
    <col min="14349" max="14349" width="14.5703125" style="72" customWidth="1"/>
    <col min="14350" max="14350" width="255.7109375" style="72" customWidth="1"/>
    <col min="14351" max="14351" width="49.140625" style="72" customWidth="1"/>
    <col min="14352" max="14592" width="9.140625" style="72"/>
    <col min="14593" max="14593" width="10.28515625" style="72" customWidth="1"/>
    <col min="14594" max="14594" width="63.85546875" style="72" customWidth="1"/>
    <col min="14595" max="14595" width="20.42578125" style="72" customWidth="1"/>
    <col min="14596" max="14596" width="24.28515625" style="72" customWidth="1"/>
    <col min="14597" max="14597" width="26" style="72" customWidth="1"/>
    <col min="14598" max="14599" width="12.140625" style="72" customWidth="1"/>
    <col min="14600" max="14603" width="8.85546875" style="72" customWidth="1"/>
    <col min="14604" max="14604" width="11" style="72" customWidth="1"/>
    <col min="14605" max="14605" width="14.5703125" style="72" customWidth="1"/>
    <col min="14606" max="14606" width="255.7109375" style="72" customWidth="1"/>
    <col min="14607" max="14607" width="49.140625" style="72" customWidth="1"/>
    <col min="14608" max="14848" width="9.140625" style="72"/>
    <col min="14849" max="14849" width="10.28515625" style="72" customWidth="1"/>
    <col min="14850" max="14850" width="63.85546875" style="72" customWidth="1"/>
    <col min="14851" max="14851" width="20.42578125" style="72" customWidth="1"/>
    <col min="14852" max="14852" width="24.28515625" style="72" customWidth="1"/>
    <col min="14853" max="14853" width="26" style="72" customWidth="1"/>
    <col min="14854" max="14855" width="12.140625" style="72" customWidth="1"/>
    <col min="14856" max="14859" width="8.85546875" style="72" customWidth="1"/>
    <col min="14860" max="14860" width="11" style="72" customWidth="1"/>
    <col min="14861" max="14861" width="14.5703125" style="72" customWidth="1"/>
    <col min="14862" max="14862" width="255.7109375" style="72" customWidth="1"/>
    <col min="14863" max="14863" width="49.140625" style="72" customWidth="1"/>
    <col min="14864" max="15104" width="9.140625" style="72"/>
    <col min="15105" max="15105" width="10.28515625" style="72" customWidth="1"/>
    <col min="15106" max="15106" width="63.85546875" style="72" customWidth="1"/>
    <col min="15107" max="15107" width="20.42578125" style="72" customWidth="1"/>
    <col min="15108" max="15108" width="24.28515625" style="72" customWidth="1"/>
    <col min="15109" max="15109" width="26" style="72" customWidth="1"/>
    <col min="15110" max="15111" width="12.140625" style="72" customWidth="1"/>
    <col min="15112" max="15115" width="8.85546875" style="72" customWidth="1"/>
    <col min="15116" max="15116" width="11" style="72" customWidth="1"/>
    <col min="15117" max="15117" width="14.5703125" style="72" customWidth="1"/>
    <col min="15118" max="15118" width="255.7109375" style="72" customWidth="1"/>
    <col min="15119" max="15119" width="49.140625" style="72" customWidth="1"/>
    <col min="15120" max="15360" width="9.140625" style="72"/>
    <col min="15361" max="15361" width="10.28515625" style="72" customWidth="1"/>
    <col min="15362" max="15362" width="63.85546875" style="72" customWidth="1"/>
    <col min="15363" max="15363" width="20.42578125" style="72" customWidth="1"/>
    <col min="15364" max="15364" width="24.28515625" style="72" customWidth="1"/>
    <col min="15365" max="15365" width="26" style="72" customWidth="1"/>
    <col min="15366" max="15367" width="12.140625" style="72" customWidth="1"/>
    <col min="15368" max="15371" width="8.85546875" style="72" customWidth="1"/>
    <col min="15372" max="15372" width="11" style="72" customWidth="1"/>
    <col min="15373" max="15373" width="14.5703125" style="72" customWidth="1"/>
    <col min="15374" max="15374" width="255.7109375" style="72" customWidth="1"/>
    <col min="15375" max="15375" width="49.140625" style="72" customWidth="1"/>
    <col min="15376" max="15616" width="9.140625" style="72"/>
    <col min="15617" max="15617" width="10.28515625" style="72" customWidth="1"/>
    <col min="15618" max="15618" width="63.85546875" style="72" customWidth="1"/>
    <col min="15619" max="15619" width="20.42578125" style="72" customWidth="1"/>
    <col min="15620" max="15620" width="24.28515625" style="72" customWidth="1"/>
    <col min="15621" max="15621" width="26" style="72" customWidth="1"/>
    <col min="15622" max="15623" width="12.140625" style="72" customWidth="1"/>
    <col min="15624" max="15627" width="8.85546875" style="72" customWidth="1"/>
    <col min="15628" max="15628" width="11" style="72" customWidth="1"/>
    <col min="15629" max="15629" width="14.5703125" style="72" customWidth="1"/>
    <col min="15630" max="15630" width="255.7109375" style="72" customWidth="1"/>
    <col min="15631" max="15631" width="49.140625" style="72" customWidth="1"/>
    <col min="15632" max="15872" width="9.140625" style="72"/>
    <col min="15873" max="15873" width="10.28515625" style="72" customWidth="1"/>
    <col min="15874" max="15874" width="63.85546875" style="72" customWidth="1"/>
    <col min="15875" max="15875" width="20.42578125" style="72" customWidth="1"/>
    <col min="15876" max="15876" width="24.28515625" style="72" customWidth="1"/>
    <col min="15877" max="15877" width="26" style="72" customWidth="1"/>
    <col min="15878" max="15879" width="12.140625" style="72" customWidth="1"/>
    <col min="15880" max="15883" width="8.85546875" style="72" customWidth="1"/>
    <col min="15884" max="15884" width="11" style="72" customWidth="1"/>
    <col min="15885" max="15885" width="14.5703125" style="72" customWidth="1"/>
    <col min="15886" max="15886" width="255.7109375" style="72" customWidth="1"/>
    <col min="15887" max="15887" width="49.140625" style="72" customWidth="1"/>
    <col min="15888" max="16128" width="9.140625" style="72"/>
    <col min="16129" max="16129" width="10.28515625" style="72" customWidth="1"/>
    <col min="16130" max="16130" width="63.85546875" style="72" customWidth="1"/>
    <col min="16131" max="16131" width="20.42578125" style="72" customWidth="1"/>
    <col min="16132" max="16132" width="24.28515625" style="72" customWidth="1"/>
    <col min="16133" max="16133" width="26" style="72" customWidth="1"/>
    <col min="16134" max="16135" width="12.140625" style="72" customWidth="1"/>
    <col min="16136" max="16139" width="8.85546875" style="72" customWidth="1"/>
    <col min="16140" max="16140" width="11" style="72" customWidth="1"/>
    <col min="16141" max="16141" width="14.5703125" style="72" customWidth="1"/>
    <col min="16142" max="16142" width="255.7109375" style="72" customWidth="1"/>
    <col min="16143" max="16143" width="49.140625" style="72" customWidth="1"/>
    <col min="16144" max="16384" width="9.140625" style="72"/>
  </cols>
  <sheetData>
    <row r="1" spans="1:256" x14ac:dyDescent="0.25">
      <c r="A1" s="72" t="s">
        <v>1579</v>
      </c>
      <c r="B1" s="73"/>
      <c r="C1" s="74"/>
      <c r="D1" s="73"/>
      <c r="E1" s="73"/>
      <c r="F1" s="73"/>
      <c r="G1" s="73"/>
      <c r="H1" s="73"/>
      <c r="I1" s="73"/>
      <c r="J1" s="74" t="s">
        <v>1576</v>
      </c>
      <c r="K1" s="73"/>
      <c r="L1" s="73"/>
      <c r="M1" s="75"/>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c r="CV1" s="73"/>
      <c r="CW1" s="73"/>
      <c r="CX1" s="73"/>
      <c r="CY1" s="73"/>
      <c r="CZ1" s="73"/>
      <c r="DA1" s="73"/>
      <c r="DB1" s="73"/>
      <c r="DC1" s="73"/>
      <c r="DD1" s="73"/>
      <c r="DE1" s="73"/>
      <c r="DF1" s="73"/>
      <c r="DG1" s="73"/>
      <c r="DH1" s="73"/>
      <c r="DI1" s="73"/>
      <c r="DJ1" s="73"/>
      <c r="DK1" s="73"/>
      <c r="DL1" s="73"/>
      <c r="DM1" s="73"/>
      <c r="DN1" s="73"/>
      <c r="DO1" s="73"/>
      <c r="DP1" s="73"/>
      <c r="DQ1" s="73"/>
      <c r="DR1" s="73"/>
      <c r="DS1" s="73"/>
      <c r="DT1" s="73"/>
      <c r="DU1" s="73"/>
      <c r="DV1" s="73"/>
      <c r="DW1" s="73"/>
      <c r="DX1" s="73"/>
      <c r="DY1" s="73"/>
      <c r="DZ1" s="73"/>
      <c r="EA1" s="73"/>
      <c r="EB1" s="73"/>
      <c r="EC1" s="73"/>
      <c r="ED1" s="73"/>
      <c r="EE1" s="73"/>
      <c r="EF1" s="73"/>
      <c r="EG1" s="73"/>
      <c r="EH1" s="73"/>
      <c r="EI1" s="73"/>
      <c r="EJ1" s="73"/>
      <c r="EK1" s="73"/>
      <c r="EL1" s="73"/>
      <c r="EM1" s="73"/>
      <c r="EN1" s="73"/>
      <c r="EO1" s="73"/>
      <c r="EP1" s="73"/>
      <c r="EQ1" s="73"/>
      <c r="ER1" s="73"/>
      <c r="ES1" s="73"/>
      <c r="ET1" s="73"/>
      <c r="EU1" s="73"/>
      <c r="EV1" s="73"/>
      <c r="EW1" s="73"/>
      <c r="EX1" s="73"/>
      <c r="EY1" s="73"/>
      <c r="EZ1" s="73"/>
      <c r="FA1" s="73"/>
      <c r="FB1" s="73"/>
      <c r="FC1" s="73"/>
      <c r="FD1" s="73"/>
      <c r="FE1" s="73"/>
      <c r="FF1" s="73"/>
      <c r="FG1" s="73"/>
      <c r="FH1" s="73"/>
      <c r="FI1" s="73"/>
      <c r="FJ1" s="73"/>
      <c r="FK1" s="73"/>
      <c r="FL1" s="73"/>
      <c r="FM1" s="73"/>
      <c r="FN1" s="73"/>
      <c r="FO1" s="73"/>
      <c r="FP1" s="73"/>
      <c r="FQ1" s="73"/>
      <c r="FR1" s="73"/>
      <c r="FS1" s="73"/>
      <c r="FT1" s="73"/>
      <c r="FU1" s="73"/>
      <c r="FV1" s="73"/>
      <c r="FW1" s="73"/>
      <c r="FX1" s="73"/>
      <c r="FY1" s="73"/>
      <c r="FZ1" s="73"/>
      <c r="GA1" s="73"/>
      <c r="GB1" s="73"/>
      <c r="GC1" s="73"/>
      <c r="GD1" s="73"/>
      <c r="GE1" s="73"/>
      <c r="GF1" s="73"/>
      <c r="GG1" s="73"/>
      <c r="GH1" s="73"/>
      <c r="GI1" s="73"/>
      <c r="GJ1" s="73"/>
      <c r="GK1" s="73"/>
      <c r="GL1" s="73"/>
      <c r="GM1" s="73"/>
      <c r="GN1" s="73"/>
      <c r="GO1" s="73"/>
      <c r="GP1" s="73"/>
      <c r="GQ1" s="73"/>
      <c r="GR1" s="73"/>
      <c r="GS1" s="73"/>
      <c r="GT1" s="73"/>
      <c r="GU1" s="73"/>
      <c r="GV1" s="73"/>
      <c r="GW1" s="73"/>
      <c r="GX1" s="73"/>
      <c r="GY1" s="73"/>
      <c r="GZ1" s="73"/>
      <c r="HA1" s="73"/>
      <c r="HB1" s="73"/>
      <c r="HC1" s="73"/>
      <c r="HD1" s="73"/>
      <c r="HE1" s="73"/>
      <c r="HF1" s="73"/>
      <c r="HG1" s="73"/>
      <c r="HH1" s="73"/>
      <c r="HI1" s="73"/>
      <c r="HJ1" s="73"/>
      <c r="HK1" s="73"/>
      <c r="HL1" s="73"/>
      <c r="HM1" s="73"/>
      <c r="HN1" s="73"/>
      <c r="HO1" s="73"/>
      <c r="HP1" s="73"/>
      <c r="HQ1" s="73"/>
      <c r="HR1" s="73"/>
      <c r="HS1" s="73"/>
      <c r="HT1" s="73"/>
      <c r="HU1" s="73"/>
      <c r="HV1" s="73"/>
      <c r="HW1" s="73"/>
      <c r="HX1" s="73"/>
      <c r="HY1" s="73"/>
      <c r="HZ1" s="73"/>
      <c r="IA1" s="73"/>
      <c r="IB1" s="73"/>
      <c r="IC1" s="73"/>
      <c r="ID1" s="73"/>
      <c r="IE1" s="73"/>
      <c r="IF1" s="73"/>
      <c r="IG1" s="73"/>
      <c r="IH1" s="73"/>
      <c r="II1" s="73"/>
      <c r="IJ1" s="73"/>
      <c r="IK1" s="73"/>
      <c r="IL1" s="73"/>
      <c r="IM1" s="73"/>
      <c r="IN1" s="73"/>
      <c r="IO1" s="73"/>
      <c r="IP1" s="73"/>
      <c r="IQ1" s="73"/>
      <c r="IR1" s="73"/>
      <c r="IS1" s="73"/>
      <c r="IT1" s="73"/>
      <c r="IU1" s="73"/>
      <c r="IV1" s="73"/>
    </row>
    <row r="2" spans="1:256" x14ac:dyDescent="0.25">
      <c r="A2" s="76" t="s">
        <v>19</v>
      </c>
      <c r="B2" s="76" t="s">
        <v>20</v>
      </c>
      <c r="C2" s="76" t="s">
        <v>21</v>
      </c>
      <c r="D2" s="76" t="s">
        <v>22</v>
      </c>
      <c r="E2" s="76" t="s">
        <v>23</v>
      </c>
      <c r="F2" s="76" t="s">
        <v>24</v>
      </c>
      <c r="G2" s="76" t="s">
        <v>25</v>
      </c>
      <c r="H2" s="76" t="s">
        <v>26</v>
      </c>
      <c r="I2" s="76" t="s">
        <v>27</v>
      </c>
      <c r="J2" s="77" t="s">
        <v>1205</v>
      </c>
      <c r="K2" s="77" t="s">
        <v>1207</v>
      </c>
      <c r="L2" s="77" t="s">
        <v>1575</v>
      </c>
      <c r="M2" s="78" t="s">
        <v>28</v>
      </c>
      <c r="N2" s="76" t="s">
        <v>29</v>
      </c>
    </row>
    <row r="3" spans="1:256" x14ac:dyDescent="0.25">
      <c r="A3">
        <v>1</v>
      </c>
      <c r="B3" s="79" t="s">
        <v>1216</v>
      </c>
      <c r="C3" s="79" t="s">
        <v>30</v>
      </c>
      <c r="D3" s="79" t="s">
        <v>31</v>
      </c>
      <c r="E3" s="80" t="s">
        <v>374</v>
      </c>
      <c r="F3" s="79" t="s">
        <v>36</v>
      </c>
      <c r="G3" s="79"/>
      <c r="H3" s="79">
        <v>3.0000000000000001E-3</v>
      </c>
      <c r="I3" s="79">
        <v>0.05</v>
      </c>
      <c r="J3" s="79">
        <v>0</v>
      </c>
      <c r="K3" s="81"/>
      <c r="L3" s="79">
        <f>H3*J3+I3</f>
        <v>0.05</v>
      </c>
      <c r="M3" s="82">
        <v>39938</v>
      </c>
      <c r="N3" s="83" t="s">
        <v>1574</v>
      </c>
    </row>
    <row r="4" spans="1:256" s="84" customFormat="1" ht="45" x14ac:dyDescent="0.25">
      <c r="A4">
        <v>2</v>
      </c>
      <c r="B4" s="85" t="s">
        <v>34</v>
      </c>
      <c r="C4" s="85" t="s">
        <v>30</v>
      </c>
      <c r="D4" s="85" t="s">
        <v>31</v>
      </c>
      <c r="E4" s="86" t="s">
        <v>35</v>
      </c>
      <c r="F4" s="85" t="s">
        <v>36</v>
      </c>
      <c r="G4" s="85" t="s">
        <v>36</v>
      </c>
      <c r="H4" s="85">
        <v>0.1</v>
      </c>
      <c r="I4" s="85">
        <v>0.5</v>
      </c>
      <c r="J4" s="85">
        <v>0</v>
      </c>
      <c r="K4" s="85">
        <v>0</v>
      </c>
      <c r="L4" s="86">
        <f>H4*((J4^2*K4))^(I4)</f>
        <v>0</v>
      </c>
      <c r="M4" s="87">
        <v>39867</v>
      </c>
      <c r="N4" s="85" t="s">
        <v>37</v>
      </c>
    </row>
    <row r="5" spans="1:256" s="84" customFormat="1" ht="45" x14ac:dyDescent="0.25">
      <c r="A5">
        <v>3</v>
      </c>
      <c r="B5" s="85" t="s">
        <v>38</v>
      </c>
      <c r="C5" s="85" t="s">
        <v>30</v>
      </c>
      <c r="D5" s="85" t="s">
        <v>31</v>
      </c>
      <c r="E5" s="86" t="s">
        <v>35</v>
      </c>
      <c r="F5" s="85" t="s">
        <v>36</v>
      </c>
      <c r="G5" s="85" t="s">
        <v>36</v>
      </c>
      <c r="H5" s="85">
        <v>0.1</v>
      </c>
      <c r="I5" s="85">
        <v>0.5</v>
      </c>
      <c r="J5" s="85">
        <v>0</v>
      </c>
      <c r="K5" s="85">
        <v>0</v>
      </c>
      <c r="L5" s="86">
        <f>H5*((J5^2*K5))^(I5)</f>
        <v>0</v>
      </c>
      <c r="M5" s="87">
        <v>39867</v>
      </c>
      <c r="N5" s="85" t="s">
        <v>37</v>
      </c>
    </row>
    <row r="6" spans="1:256" s="84" customFormat="1" ht="45" x14ac:dyDescent="0.25">
      <c r="A6">
        <v>4</v>
      </c>
      <c r="B6" s="85" t="s">
        <v>39</v>
      </c>
      <c r="C6" s="85" t="s">
        <v>30</v>
      </c>
      <c r="D6" s="85" t="s">
        <v>31</v>
      </c>
      <c r="E6" s="86" t="s">
        <v>35</v>
      </c>
      <c r="F6" s="85" t="s">
        <v>36</v>
      </c>
      <c r="G6" s="85" t="s">
        <v>36</v>
      </c>
      <c r="H6" s="85">
        <v>0.1</v>
      </c>
      <c r="I6" s="85">
        <v>0.5</v>
      </c>
      <c r="J6" s="85">
        <v>0</v>
      </c>
      <c r="K6" s="85">
        <v>0</v>
      </c>
      <c r="L6" s="86">
        <f>H6*((J6^2*K6))^(I6)</f>
        <v>0</v>
      </c>
      <c r="M6" s="87">
        <v>39867</v>
      </c>
      <c r="N6" s="85" t="s">
        <v>37</v>
      </c>
    </row>
    <row r="7" spans="1:256" s="84" customFormat="1" x14ac:dyDescent="0.25">
      <c r="A7">
        <v>5</v>
      </c>
      <c r="B7" s="85" t="s">
        <v>40</v>
      </c>
      <c r="C7" s="85" t="s">
        <v>30</v>
      </c>
      <c r="D7" s="85" t="s">
        <v>31</v>
      </c>
      <c r="E7" s="88" t="s">
        <v>41</v>
      </c>
      <c r="F7" s="85" t="s">
        <v>36</v>
      </c>
      <c r="G7" s="85" t="s">
        <v>36</v>
      </c>
      <c r="H7" s="85">
        <v>4.4999999999999997E-3</v>
      </c>
      <c r="I7" s="85">
        <v>3.6</v>
      </c>
      <c r="J7" s="85">
        <v>0</v>
      </c>
      <c r="K7" s="85">
        <v>0</v>
      </c>
      <c r="L7" s="88">
        <f>H7*J7*K7+I7</f>
        <v>3.6</v>
      </c>
      <c r="M7" s="87">
        <v>39867</v>
      </c>
      <c r="N7" s="85" t="s">
        <v>42</v>
      </c>
    </row>
    <row r="8" spans="1:256" s="84" customFormat="1" ht="45" x14ac:dyDescent="0.25">
      <c r="A8">
        <v>6</v>
      </c>
      <c r="B8" s="85" t="s">
        <v>43</v>
      </c>
      <c r="C8" s="85" t="s">
        <v>30</v>
      </c>
      <c r="D8" s="85" t="s">
        <v>31</v>
      </c>
      <c r="E8" s="86" t="s">
        <v>35</v>
      </c>
      <c r="F8" s="85" t="s">
        <v>36</v>
      </c>
      <c r="G8" s="85" t="s">
        <v>36</v>
      </c>
      <c r="H8" s="85">
        <v>0.1</v>
      </c>
      <c r="I8" s="85">
        <v>0.5</v>
      </c>
      <c r="J8" s="85">
        <v>0</v>
      </c>
      <c r="K8" s="85">
        <v>0</v>
      </c>
      <c r="L8" s="86">
        <f>H8*((J8^2*K8))^(I8)</f>
        <v>0</v>
      </c>
      <c r="M8" s="87">
        <v>39867</v>
      </c>
      <c r="N8" s="85" t="s">
        <v>37</v>
      </c>
    </row>
    <row r="9" spans="1:256" s="84" customFormat="1" ht="45" x14ac:dyDescent="0.25">
      <c r="A9">
        <v>7</v>
      </c>
      <c r="B9" s="85" t="s">
        <v>44</v>
      </c>
      <c r="C9" s="85" t="s">
        <v>30</v>
      </c>
      <c r="D9" s="85" t="s">
        <v>31</v>
      </c>
      <c r="E9" s="86" t="s">
        <v>35</v>
      </c>
      <c r="F9" s="85" t="s">
        <v>36</v>
      </c>
      <c r="G9" s="85" t="s">
        <v>36</v>
      </c>
      <c r="H9" s="85">
        <v>0.1</v>
      </c>
      <c r="I9" s="85">
        <v>0.5</v>
      </c>
      <c r="J9" s="85">
        <v>0</v>
      </c>
      <c r="K9" s="85">
        <v>0</v>
      </c>
      <c r="L9" s="86">
        <f>H9*((J9^2*K9))^(I9)</f>
        <v>0</v>
      </c>
      <c r="M9" s="87">
        <v>39867</v>
      </c>
      <c r="N9" s="85" t="s">
        <v>37</v>
      </c>
    </row>
    <row r="10" spans="1:256" s="84" customFormat="1" ht="45" x14ac:dyDescent="0.25">
      <c r="A10">
        <v>8</v>
      </c>
      <c r="B10" s="85" t="s">
        <v>45</v>
      </c>
      <c r="C10" s="85" t="s">
        <v>30</v>
      </c>
      <c r="D10" s="85" t="s">
        <v>31</v>
      </c>
      <c r="E10" s="86" t="s">
        <v>35</v>
      </c>
      <c r="F10" s="85" t="s">
        <v>36</v>
      </c>
      <c r="G10" s="85" t="s">
        <v>36</v>
      </c>
      <c r="H10" s="85">
        <v>0.1</v>
      </c>
      <c r="I10" s="85">
        <v>0.5</v>
      </c>
      <c r="J10" s="85">
        <v>0</v>
      </c>
      <c r="K10" s="85">
        <v>0</v>
      </c>
      <c r="L10" s="86">
        <f>H10*((J10^2*K10))^(I10)</f>
        <v>0</v>
      </c>
      <c r="M10" s="87">
        <v>39867</v>
      </c>
      <c r="N10" s="85" t="s">
        <v>37</v>
      </c>
    </row>
    <row r="11" spans="1:256" s="84" customFormat="1" x14ac:dyDescent="0.25">
      <c r="A11">
        <v>9</v>
      </c>
      <c r="B11" s="85" t="s">
        <v>46</v>
      </c>
      <c r="C11" s="85" t="s">
        <v>30</v>
      </c>
      <c r="D11" s="85" t="s">
        <v>31</v>
      </c>
      <c r="E11" s="86" t="s">
        <v>47</v>
      </c>
      <c r="F11" s="85" t="s">
        <v>36</v>
      </c>
      <c r="G11" s="85" t="s">
        <v>36</v>
      </c>
      <c r="H11" s="89">
        <v>1E-4</v>
      </c>
      <c r="I11" s="85">
        <v>7.38</v>
      </c>
      <c r="J11" s="85">
        <v>0</v>
      </c>
      <c r="K11" s="85">
        <v>0</v>
      </c>
      <c r="L11" s="86">
        <f>H11*J11^2*K11+I11</f>
        <v>7.38</v>
      </c>
      <c r="M11" s="87">
        <v>39882</v>
      </c>
      <c r="N11" s="85" t="s">
        <v>48</v>
      </c>
    </row>
    <row r="12" spans="1:256" s="84" customFormat="1" x14ac:dyDescent="0.25">
      <c r="A12">
        <v>10</v>
      </c>
      <c r="B12" s="85" t="s">
        <v>49</v>
      </c>
      <c r="C12" s="85" t="s">
        <v>30</v>
      </c>
      <c r="D12" s="85" t="s">
        <v>31</v>
      </c>
      <c r="E12" s="86" t="s">
        <v>47</v>
      </c>
      <c r="F12" s="85" t="s">
        <v>36</v>
      </c>
      <c r="G12" s="85" t="s">
        <v>36</v>
      </c>
      <c r="H12" s="89">
        <v>1.2E-4</v>
      </c>
      <c r="I12" s="85">
        <v>13.1</v>
      </c>
      <c r="J12" s="85">
        <v>0</v>
      </c>
      <c r="K12" s="85">
        <v>0</v>
      </c>
      <c r="L12" s="86">
        <f>H12*J12^2*K12+I12</f>
        <v>13.1</v>
      </c>
      <c r="M12" s="87">
        <v>39882</v>
      </c>
      <c r="N12" s="85" t="s">
        <v>50</v>
      </c>
    </row>
    <row r="13" spans="1:256" s="84" customFormat="1" x14ac:dyDescent="0.25">
      <c r="A13">
        <v>11</v>
      </c>
      <c r="B13" s="85" t="s">
        <v>51</v>
      </c>
      <c r="C13" s="85" t="s">
        <v>30</v>
      </c>
      <c r="D13" s="85" t="s">
        <v>31</v>
      </c>
      <c r="E13" s="88" t="s">
        <v>41</v>
      </c>
      <c r="F13" s="85" t="s">
        <v>36</v>
      </c>
      <c r="G13" s="85" t="s">
        <v>36</v>
      </c>
      <c r="H13" s="85">
        <v>4.4999999999999997E-3</v>
      </c>
      <c r="I13" s="85">
        <v>3.6</v>
      </c>
      <c r="J13" s="85">
        <v>0</v>
      </c>
      <c r="K13" s="85">
        <v>0</v>
      </c>
      <c r="L13" s="88">
        <f>H13*J13*K13+I13</f>
        <v>3.6</v>
      </c>
      <c r="M13" s="87">
        <v>39867</v>
      </c>
      <c r="N13" s="85" t="s">
        <v>52</v>
      </c>
    </row>
    <row r="14" spans="1:256" s="84" customFormat="1" x14ac:dyDescent="0.25">
      <c r="A14">
        <v>12</v>
      </c>
      <c r="B14" s="85" t="s">
        <v>53</v>
      </c>
      <c r="C14" s="85" t="s">
        <v>30</v>
      </c>
      <c r="D14" s="85" t="s">
        <v>31</v>
      </c>
      <c r="E14" s="88" t="s">
        <v>54</v>
      </c>
      <c r="F14" s="85" t="s">
        <v>36</v>
      </c>
      <c r="G14" s="85"/>
      <c r="H14" s="90">
        <v>0.03</v>
      </c>
      <c r="I14" s="90">
        <v>5</v>
      </c>
      <c r="J14" s="85">
        <v>0</v>
      </c>
      <c r="K14" s="91"/>
      <c r="L14" s="88">
        <f>H14*J14^2+I14</f>
        <v>5</v>
      </c>
      <c r="M14" s="87"/>
      <c r="N14" s="85" t="s">
        <v>55</v>
      </c>
    </row>
    <row r="15" spans="1:256" s="84" customFormat="1" x14ac:dyDescent="0.25">
      <c r="A15">
        <v>13</v>
      </c>
      <c r="B15" s="85" t="s">
        <v>56</v>
      </c>
      <c r="C15" s="92" t="s">
        <v>30</v>
      </c>
      <c r="D15" s="85" t="s">
        <v>31</v>
      </c>
      <c r="E15" s="86" t="s">
        <v>41</v>
      </c>
      <c r="F15" s="85" t="s">
        <v>36</v>
      </c>
      <c r="G15" s="85" t="s">
        <v>36</v>
      </c>
      <c r="H15" s="85">
        <v>4.4999999999999997E-3</v>
      </c>
      <c r="I15" s="85">
        <v>10.45</v>
      </c>
      <c r="J15" s="85">
        <v>0</v>
      </c>
      <c r="K15" s="85">
        <v>0</v>
      </c>
      <c r="L15" s="88">
        <f>H15*J15*K15+I15</f>
        <v>10.45</v>
      </c>
      <c r="M15" s="87">
        <v>39867</v>
      </c>
      <c r="N15" s="85" t="s">
        <v>57</v>
      </c>
    </row>
    <row r="16" spans="1:256" s="84" customFormat="1" x14ac:dyDescent="0.25">
      <c r="A16">
        <v>14</v>
      </c>
      <c r="B16" s="85" t="s">
        <v>58</v>
      </c>
      <c r="C16" s="92" t="s">
        <v>30</v>
      </c>
      <c r="D16" s="85" t="s">
        <v>31</v>
      </c>
      <c r="E16" s="86" t="s">
        <v>41</v>
      </c>
      <c r="F16" s="85" t="s">
        <v>36</v>
      </c>
      <c r="G16" s="85" t="s">
        <v>36</v>
      </c>
      <c r="H16" s="85">
        <v>4.4999999999999997E-3</v>
      </c>
      <c r="I16" s="85">
        <v>10.45</v>
      </c>
      <c r="J16" s="85">
        <v>0</v>
      </c>
      <c r="K16" s="85">
        <v>0</v>
      </c>
      <c r="L16" s="88">
        <f>H16*J16*K16+I16</f>
        <v>10.45</v>
      </c>
      <c r="M16" s="87">
        <v>39867</v>
      </c>
      <c r="N16" s="85" t="s">
        <v>57</v>
      </c>
    </row>
    <row r="17" spans="1:14" s="84" customFormat="1" x14ac:dyDescent="0.25">
      <c r="A17">
        <v>15</v>
      </c>
      <c r="B17" s="85" t="s">
        <v>59</v>
      </c>
      <c r="C17" s="85" t="s">
        <v>30</v>
      </c>
      <c r="D17" s="85" t="s">
        <v>31</v>
      </c>
      <c r="E17" s="86" t="s">
        <v>41</v>
      </c>
      <c r="F17" s="85" t="s">
        <v>36</v>
      </c>
      <c r="G17" s="85" t="s">
        <v>36</v>
      </c>
      <c r="H17" s="85">
        <v>0.02</v>
      </c>
      <c r="I17" s="85">
        <v>0.15</v>
      </c>
      <c r="J17" s="85">
        <v>0</v>
      </c>
      <c r="K17" s="85">
        <v>0</v>
      </c>
      <c r="L17" s="88">
        <f>H17*J17*K17+I17</f>
        <v>0.15</v>
      </c>
      <c r="M17" s="87">
        <v>39867</v>
      </c>
      <c r="N17" s="85" t="s">
        <v>60</v>
      </c>
    </row>
    <row r="18" spans="1:14" s="84" customFormat="1" x14ac:dyDescent="0.25">
      <c r="A18">
        <v>16</v>
      </c>
      <c r="B18" s="85" t="s">
        <v>61</v>
      </c>
      <c r="C18" s="85" t="s">
        <v>30</v>
      </c>
      <c r="D18" s="85" t="s">
        <v>31</v>
      </c>
      <c r="E18" s="86" t="s">
        <v>47</v>
      </c>
      <c r="F18" s="85" t="s">
        <v>36</v>
      </c>
      <c r="G18" s="85" t="s">
        <v>36</v>
      </c>
      <c r="H18" s="85">
        <v>2.9999999999999997E-4</v>
      </c>
      <c r="I18" s="85">
        <v>0.13</v>
      </c>
      <c r="J18" s="85">
        <v>0</v>
      </c>
      <c r="K18" s="85">
        <v>0</v>
      </c>
      <c r="L18" s="86">
        <f>H18*J18^2*K18+I18</f>
        <v>0.13</v>
      </c>
      <c r="M18" s="87">
        <v>39867</v>
      </c>
      <c r="N18" s="85" t="s">
        <v>62</v>
      </c>
    </row>
    <row r="19" spans="1:14" s="84" customFormat="1" x14ac:dyDescent="0.25">
      <c r="A19">
        <v>17</v>
      </c>
      <c r="B19" s="85" t="s">
        <v>63</v>
      </c>
      <c r="C19" s="85" t="s">
        <v>64</v>
      </c>
      <c r="D19" s="85" t="s">
        <v>31</v>
      </c>
      <c r="E19" s="86">
        <v>0</v>
      </c>
      <c r="F19" s="85" t="s">
        <v>33</v>
      </c>
      <c r="G19" s="85"/>
      <c r="H19" s="85"/>
      <c r="I19" s="85"/>
      <c r="J19" s="91"/>
      <c r="K19" s="91"/>
      <c r="L19" s="91"/>
      <c r="M19" s="87"/>
      <c r="N19" s="85" t="s">
        <v>65</v>
      </c>
    </row>
    <row r="20" spans="1:14" s="84" customFormat="1" x14ac:dyDescent="0.25">
      <c r="A20">
        <v>18</v>
      </c>
      <c r="B20" s="85" t="s">
        <v>66</v>
      </c>
      <c r="C20" s="85" t="s">
        <v>30</v>
      </c>
      <c r="D20" s="85" t="s">
        <v>31</v>
      </c>
      <c r="E20" s="88" t="s">
        <v>54</v>
      </c>
      <c r="F20" s="85" t="s">
        <v>36</v>
      </c>
      <c r="G20" s="85"/>
      <c r="H20" s="90">
        <v>0.05</v>
      </c>
      <c r="I20" s="90">
        <v>3.8</v>
      </c>
      <c r="J20" s="85">
        <v>0</v>
      </c>
      <c r="K20" s="91"/>
      <c r="L20" s="88">
        <f>H20*J20^2+I20</f>
        <v>3.8</v>
      </c>
      <c r="M20" s="87"/>
      <c r="N20" s="85" t="s">
        <v>67</v>
      </c>
    </row>
    <row r="21" spans="1:14" s="84" customFormat="1" x14ac:dyDescent="0.25">
      <c r="A21">
        <v>19</v>
      </c>
      <c r="B21" s="85" t="s">
        <v>68</v>
      </c>
      <c r="C21" s="85" t="s">
        <v>30</v>
      </c>
      <c r="D21" s="85" t="s">
        <v>31</v>
      </c>
      <c r="E21" s="88" t="s">
        <v>54</v>
      </c>
      <c r="F21" s="85" t="s">
        <v>36</v>
      </c>
      <c r="G21" s="85"/>
      <c r="H21" s="90">
        <v>0.02</v>
      </c>
      <c r="I21" s="90">
        <v>1.216</v>
      </c>
      <c r="J21" s="85">
        <v>0</v>
      </c>
      <c r="K21" s="91"/>
      <c r="L21" s="88">
        <f>H21*J21^2+I21</f>
        <v>1.216</v>
      </c>
      <c r="M21" s="87"/>
      <c r="N21" s="85" t="s">
        <v>67</v>
      </c>
    </row>
    <row r="22" spans="1:14" s="84" customFormat="1" x14ac:dyDescent="0.25">
      <c r="A22">
        <v>20</v>
      </c>
      <c r="B22" s="85" t="s">
        <v>69</v>
      </c>
      <c r="C22" s="85" t="s">
        <v>30</v>
      </c>
      <c r="D22" s="85" t="s">
        <v>31</v>
      </c>
      <c r="E22" s="88" t="s">
        <v>54</v>
      </c>
      <c r="F22" s="85" t="s">
        <v>36</v>
      </c>
      <c r="G22" s="85"/>
      <c r="H22" s="90">
        <v>0.05</v>
      </c>
      <c r="I22" s="90">
        <v>5</v>
      </c>
      <c r="J22" s="85">
        <v>0</v>
      </c>
      <c r="K22" s="91"/>
      <c r="L22" s="88">
        <f>H22*J22^2+I22</f>
        <v>5</v>
      </c>
      <c r="M22" s="87"/>
      <c r="N22" s="85" t="s">
        <v>67</v>
      </c>
    </row>
    <row r="23" spans="1:14" s="84" customFormat="1" ht="45" x14ac:dyDescent="0.25">
      <c r="A23">
        <v>21</v>
      </c>
      <c r="B23" s="85" t="s">
        <v>70</v>
      </c>
      <c r="C23" s="85" t="s">
        <v>30</v>
      </c>
      <c r="D23" s="85" t="s">
        <v>31</v>
      </c>
      <c r="E23" s="86" t="s">
        <v>35</v>
      </c>
      <c r="F23" s="85" t="s">
        <v>36</v>
      </c>
      <c r="G23" s="85" t="s">
        <v>36</v>
      </c>
      <c r="H23" s="85">
        <v>0.4</v>
      </c>
      <c r="I23" s="85">
        <v>0.5</v>
      </c>
      <c r="J23" s="85">
        <v>0</v>
      </c>
      <c r="K23" s="85">
        <v>0</v>
      </c>
      <c r="L23" s="86">
        <f t="shared" ref="L23:L28" si="0">H23*((J23^2*K23))^(I23)</f>
        <v>0</v>
      </c>
      <c r="M23" s="87">
        <v>39867</v>
      </c>
      <c r="N23" s="85" t="s">
        <v>71</v>
      </c>
    </row>
    <row r="24" spans="1:14" s="84" customFormat="1" ht="45" x14ac:dyDescent="0.25">
      <c r="A24">
        <v>22</v>
      </c>
      <c r="B24" s="85" t="s">
        <v>72</v>
      </c>
      <c r="C24" s="85" t="s">
        <v>30</v>
      </c>
      <c r="D24" s="85" t="s">
        <v>31</v>
      </c>
      <c r="E24" s="86" t="s">
        <v>35</v>
      </c>
      <c r="F24" s="85" t="s">
        <v>36</v>
      </c>
      <c r="G24" s="85" t="s">
        <v>36</v>
      </c>
      <c r="H24" s="85">
        <v>0.4</v>
      </c>
      <c r="I24" s="85">
        <v>0.5</v>
      </c>
      <c r="J24" s="85">
        <v>0</v>
      </c>
      <c r="K24" s="85">
        <v>0</v>
      </c>
      <c r="L24" s="86">
        <f t="shared" si="0"/>
        <v>0</v>
      </c>
      <c r="M24" s="87">
        <v>39867</v>
      </c>
      <c r="N24" s="85" t="s">
        <v>71</v>
      </c>
    </row>
    <row r="25" spans="1:14" s="84" customFormat="1" ht="45" x14ac:dyDescent="0.25">
      <c r="A25">
        <v>23</v>
      </c>
      <c r="B25" s="85" t="s">
        <v>73</v>
      </c>
      <c r="C25" s="85" t="s">
        <v>30</v>
      </c>
      <c r="D25" s="85" t="s">
        <v>31</v>
      </c>
      <c r="E25" s="86" t="s">
        <v>35</v>
      </c>
      <c r="F25" s="85" t="s">
        <v>36</v>
      </c>
      <c r="G25" s="85" t="s">
        <v>36</v>
      </c>
      <c r="H25" s="85">
        <v>0.4</v>
      </c>
      <c r="I25" s="85">
        <v>0.5</v>
      </c>
      <c r="J25" s="85">
        <v>95</v>
      </c>
      <c r="K25" s="85">
        <v>20</v>
      </c>
      <c r="L25" s="86">
        <f t="shared" si="0"/>
        <v>169.94116628998404</v>
      </c>
      <c r="M25" s="87">
        <v>39867</v>
      </c>
      <c r="N25" s="85" t="s">
        <v>71</v>
      </c>
    </row>
    <row r="26" spans="1:14" s="84" customFormat="1" ht="45" x14ac:dyDescent="0.25">
      <c r="A26">
        <v>24</v>
      </c>
      <c r="B26" s="85" t="s">
        <v>74</v>
      </c>
      <c r="C26" s="85" t="s">
        <v>30</v>
      </c>
      <c r="D26" s="85" t="s">
        <v>31</v>
      </c>
      <c r="E26" s="86" t="s">
        <v>35</v>
      </c>
      <c r="F26" s="85" t="s">
        <v>36</v>
      </c>
      <c r="G26" s="85" t="s">
        <v>36</v>
      </c>
      <c r="H26" s="85">
        <v>0.4</v>
      </c>
      <c r="I26" s="85">
        <v>0.5</v>
      </c>
      <c r="J26" s="85">
        <v>0</v>
      </c>
      <c r="K26" s="85">
        <v>0</v>
      </c>
      <c r="L26" s="86">
        <f t="shared" si="0"/>
        <v>0</v>
      </c>
      <c r="M26" s="87">
        <v>39867</v>
      </c>
      <c r="N26" s="85" t="s">
        <v>71</v>
      </c>
    </row>
    <row r="27" spans="1:14" s="84" customFormat="1" ht="45" x14ac:dyDescent="0.25">
      <c r="A27">
        <v>25</v>
      </c>
      <c r="B27" s="85" t="s">
        <v>75</v>
      </c>
      <c r="C27" s="85" t="s">
        <v>30</v>
      </c>
      <c r="D27" s="85" t="s">
        <v>31</v>
      </c>
      <c r="E27" s="86" t="s">
        <v>35</v>
      </c>
      <c r="F27" s="85" t="s">
        <v>36</v>
      </c>
      <c r="G27" s="85" t="s">
        <v>36</v>
      </c>
      <c r="H27" s="85">
        <v>0.4</v>
      </c>
      <c r="I27" s="85">
        <v>0.5</v>
      </c>
      <c r="J27" s="85">
        <v>0</v>
      </c>
      <c r="K27" s="85">
        <v>0</v>
      </c>
      <c r="L27" s="86">
        <f t="shared" si="0"/>
        <v>0</v>
      </c>
      <c r="M27" s="87">
        <v>39867</v>
      </c>
      <c r="N27" s="85" t="s">
        <v>71</v>
      </c>
    </row>
    <row r="28" spans="1:14" s="84" customFormat="1" ht="45" x14ac:dyDescent="0.25">
      <c r="A28">
        <v>26</v>
      </c>
      <c r="B28" s="85" t="s">
        <v>76</v>
      </c>
      <c r="C28" s="85" t="s">
        <v>30</v>
      </c>
      <c r="D28" s="85" t="s">
        <v>31</v>
      </c>
      <c r="E28" s="86" t="s">
        <v>35</v>
      </c>
      <c r="F28" s="85" t="s">
        <v>36</v>
      </c>
      <c r="G28" s="85" t="s">
        <v>36</v>
      </c>
      <c r="H28" s="85">
        <v>0.4</v>
      </c>
      <c r="I28" s="85">
        <v>0.5</v>
      </c>
      <c r="J28" s="85">
        <v>0</v>
      </c>
      <c r="K28" s="85">
        <v>0</v>
      </c>
      <c r="L28" s="86">
        <f t="shared" si="0"/>
        <v>0</v>
      </c>
      <c r="M28" s="87">
        <v>39867</v>
      </c>
      <c r="N28" s="85" t="s">
        <v>71</v>
      </c>
    </row>
    <row r="29" spans="1:14" s="84" customFormat="1" x14ac:dyDescent="0.25">
      <c r="A29">
        <v>27</v>
      </c>
      <c r="B29" s="85" t="s">
        <v>77</v>
      </c>
      <c r="C29" s="85" t="s">
        <v>30</v>
      </c>
      <c r="D29" s="85" t="s">
        <v>31</v>
      </c>
      <c r="E29" s="86" t="s">
        <v>41</v>
      </c>
      <c r="F29" s="85" t="s">
        <v>36</v>
      </c>
      <c r="G29" s="85" t="s">
        <v>36</v>
      </c>
      <c r="H29" s="85">
        <v>8.9999999999999993E-3</v>
      </c>
      <c r="I29" s="85">
        <v>20.9</v>
      </c>
      <c r="J29" s="85">
        <v>0</v>
      </c>
      <c r="K29" s="85">
        <v>0</v>
      </c>
      <c r="L29" s="88">
        <f>H29*J29*K29+I29</f>
        <v>20.9</v>
      </c>
      <c r="M29" s="87">
        <v>39867</v>
      </c>
      <c r="N29" s="85" t="s">
        <v>71</v>
      </c>
    </row>
    <row r="30" spans="1:14" s="84" customFormat="1" x14ac:dyDescent="0.25">
      <c r="A30">
        <v>28</v>
      </c>
      <c r="B30" s="85" t="s">
        <v>78</v>
      </c>
      <c r="C30" s="85" t="s">
        <v>30</v>
      </c>
      <c r="D30" s="85" t="s">
        <v>31</v>
      </c>
      <c r="E30" s="86" t="s">
        <v>41</v>
      </c>
      <c r="F30" s="85" t="s">
        <v>36</v>
      </c>
      <c r="G30" s="85" t="s">
        <v>36</v>
      </c>
      <c r="H30" s="85">
        <v>8.9999999999999993E-3</v>
      </c>
      <c r="I30" s="85">
        <v>20.9</v>
      </c>
      <c r="J30" s="85">
        <v>0</v>
      </c>
      <c r="K30" s="85">
        <v>0</v>
      </c>
      <c r="L30" s="88">
        <f>H30*J30*K30+I30</f>
        <v>20.9</v>
      </c>
      <c r="M30" s="87">
        <v>39867</v>
      </c>
      <c r="N30" s="85" t="s">
        <v>71</v>
      </c>
    </row>
    <row r="31" spans="1:14" s="84" customFormat="1" x14ac:dyDescent="0.25">
      <c r="A31">
        <v>29</v>
      </c>
      <c r="B31" s="85" t="s">
        <v>79</v>
      </c>
      <c r="C31" s="85" t="s">
        <v>80</v>
      </c>
      <c r="D31" s="85" t="s">
        <v>6</v>
      </c>
      <c r="E31" s="93">
        <v>45</v>
      </c>
      <c r="F31" s="85" t="s">
        <v>33</v>
      </c>
      <c r="G31" s="85"/>
      <c r="H31" s="85"/>
      <c r="I31" s="85"/>
      <c r="J31" s="91"/>
      <c r="K31" s="91"/>
      <c r="L31" s="91"/>
      <c r="M31" s="87"/>
      <c r="N31" s="92"/>
    </row>
    <row r="32" spans="1:14" s="84" customFormat="1" x14ac:dyDescent="0.25">
      <c r="A32">
        <v>30</v>
      </c>
      <c r="B32" s="85" t="s">
        <v>81</v>
      </c>
      <c r="C32" s="85" t="s">
        <v>80</v>
      </c>
      <c r="D32" s="85" t="s">
        <v>6</v>
      </c>
      <c r="E32" s="93">
        <v>47.5</v>
      </c>
      <c r="F32" s="85" t="s">
        <v>33</v>
      </c>
      <c r="G32" s="85"/>
      <c r="H32" s="85"/>
      <c r="I32" s="85"/>
      <c r="J32" s="91"/>
      <c r="K32" s="91"/>
      <c r="L32" s="91"/>
      <c r="M32" s="87">
        <v>39886</v>
      </c>
      <c r="N32" s="92"/>
    </row>
    <row r="33" spans="1:14" s="84" customFormat="1" x14ac:dyDescent="0.25">
      <c r="A33">
        <v>31</v>
      </c>
      <c r="B33" s="85" t="s">
        <v>82</v>
      </c>
      <c r="C33" s="85" t="s">
        <v>80</v>
      </c>
      <c r="D33" s="85" t="s">
        <v>6</v>
      </c>
      <c r="E33" s="93">
        <v>50</v>
      </c>
      <c r="F33" s="85" t="s">
        <v>33</v>
      </c>
      <c r="G33" s="85"/>
      <c r="H33" s="85"/>
      <c r="I33" s="85"/>
      <c r="J33" s="91"/>
      <c r="K33" s="91"/>
      <c r="L33" s="91"/>
      <c r="M33" s="87">
        <v>39886</v>
      </c>
      <c r="N33" s="92"/>
    </row>
    <row r="34" spans="1:14" s="84" customFormat="1" x14ac:dyDescent="0.25">
      <c r="A34">
        <v>32</v>
      </c>
      <c r="B34" s="85" t="s">
        <v>1217</v>
      </c>
      <c r="C34" s="85" t="s">
        <v>248</v>
      </c>
      <c r="D34" s="85" t="s">
        <v>6</v>
      </c>
      <c r="E34" s="93">
        <v>3534</v>
      </c>
      <c r="F34" s="85" t="s">
        <v>33</v>
      </c>
      <c r="G34" s="85"/>
      <c r="H34" s="85"/>
      <c r="I34" s="85"/>
      <c r="J34" s="91"/>
      <c r="K34" s="91"/>
      <c r="L34" s="91"/>
      <c r="M34" s="87">
        <v>40286</v>
      </c>
      <c r="N34" s="92"/>
    </row>
    <row r="35" spans="1:14" s="84" customFormat="1" x14ac:dyDescent="0.25">
      <c r="A35">
        <v>33</v>
      </c>
      <c r="B35" s="85" t="s">
        <v>1218</v>
      </c>
      <c r="C35" s="85" t="s">
        <v>248</v>
      </c>
      <c r="D35" s="85" t="s">
        <v>6</v>
      </c>
      <c r="E35" s="93">
        <v>4158</v>
      </c>
      <c r="F35" s="85" t="s">
        <v>33</v>
      </c>
      <c r="G35" s="85"/>
      <c r="H35" s="85"/>
      <c r="I35" s="85"/>
      <c r="J35" s="91"/>
      <c r="K35" s="91"/>
      <c r="L35" s="91"/>
      <c r="M35" s="87">
        <v>40286</v>
      </c>
      <c r="N35" s="92"/>
    </row>
    <row r="36" spans="1:14" s="84" customFormat="1" x14ac:dyDescent="0.25">
      <c r="A36">
        <v>34</v>
      </c>
      <c r="B36" s="85" t="s">
        <v>83</v>
      </c>
      <c r="C36" s="92" t="s">
        <v>84</v>
      </c>
      <c r="D36" s="92" t="s">
        <v>6</v>
      </c>
      <c r="E36" s="94">
        <v>270</v>
      </c>
      <c r="F36" s="92" t="s">
        <v>33</v>
      </c>
      <c r="G36" s="92"/>
      <c r="H36" s="92"/>
      <c r="I36" s="92"/>
      <c r="J36" s="91"/>
      <c r="K36" s="91"/>
      <c r="L36" s="91"/>
      <c r="M36" s="95"/>
      <c r="N36" s="92"/>
    </row>
    <row r="37" spans="1:14" s="84" customFormat="1" x14ac:dyDescent="0.25">
      <c r="A37">
        <v>35</v>
      </c>
      <c r="B37" s="85" t="s">
        <v>1219</v>
      </c>
      <c r="C37" s="92" t="s">
        <v>84</v>
      </c>
      <c r="D37" s="92" t="s">
        <v>6</v>
      </c>
      <c r="E37" s="94">
        <v>300</v>
      </c>
      <c r="F37" s="92" t="s">
        <v>33</v>
      </c>
      <c r="G37" s="92"/>
      <c r="H37" s="92"/>
      <c r="I37" s="92"/>
      <c r="J37" s="91"/>
      <c r="K37" s="91"/>
      <c r="L37" s="91"/>
      <c r="M37" s="95">
        <v>39972</v>
      </c>
      <c r="N37" s="92"/>
    </row>
    <row r="38" spans="1:14" s="84" customFormat="1" x14ac:dyDescent="0.25">
      <c r="A38">
        <v>36</v>
      </c>
      <c r="B38" s="85" t="s">
        <v>85</v>
      </c>
      <c r="C38" s="92" t="s">
        <v>64</v>
      </c>
      <c r="D38" s="92" t="s">
        <v>6</v>
      </c>
      <c r="E38" s="94">
        <v>0</v>
      </c>
      <c r="F38" s="92" t="s">
        <v>33</v>
      </c>
      <c r="G38" s="92"/>
      <c r="H38" s="92"/>
      <c r="I38" s="92"/>
      <c r="J38" s="91"/>
      <c r="K38" s="91"/>
      <c r="L38" s="91"/>
      <c r="M38" s="95"/>
      <c r="N38" s="92"/>
    </row>
    <row r="39" spans="1:14" s="84" customFormat="1" x14ac:dyDescent="0.25">
      <c r="A39">
        <v>37</v>
      </c>
      <c r="B39" s="85" t="s">
        <v>1220</v>
      </c>
      <c r="C39" s="92" t="s">
        <v>1221</v>
      </c>
      <c r="D39" s="92" t="s">
        <v>6</v>
      </c>
      <c r="E39" s="94">
        <v>65</v>
      </c>
      <c r="F39" s="92" t="s">
        <v>33</v>
      </c>
      <c r="G39" s="92"/>
      <c r="H39" s="92"/>
      <c r="I39" s="92"/>
      <c r="J39" s="91"/>
      <c r="K39" s="91"/>
      <c r="L39" s="91"/>
      <c r="M39" s="95">
        <v>40321</v>
      </c>
      <c r="N39" s="92"/>
    </row>
    <row r="40" spans="1:14" s="84" customFormat="1" x14ac:dyDescent="0.25">
      <c r="A40">
        <v>38</v>
      </c>
      <c r="B40" s="85" t="s">
        <v>1222</v>
      </c>
      <c r="C40" s="92" t="s">
        <v>1221</v>
      </c>
      <c r="D40" s="92" t="s">
        <v>6</v>
      </c>
      <c r="E40" s="94">
        <v>73</v>
      </c>
      <c r="F40" s="92" t="s">
        <v>33</v>
      </c>
      <c r="G40" s="92"/>
      <c r="H40" s="92"/>
      <c r="I40" s="92"/>
      <c r="J40" s="91"/>
      <c r="K40" s="91"/>
      <c r="L40" s="91"/>
      <c r="M40" s="95">
        <v>40321</v>
      </c>
      <c r="N40" s="92"/>
    </row>
    <row r="41" spans="1:14" s="84" customFormat="1" x14ac:dyDescent="0.25">
      <c r="A41">
        <v>39</v>
      </c>
      <c r="B41" s="85" t="s">
        <v>86</v>
      </c>
      <c r="C41" s="92" t="s">
        <v>87</v>
      </c>
      <c r="D41" s="92" t="s">
        <v>6</v>
      </c>
      <c r="E41" s="94">
        <v>28.4</v>
      </c>
      <c r="F41" s="92" t="s">
        <v>33</v>
      </c>
      <c r="G41" s="92"/>
      <c r="H41" s="92"/>
      <c r="I41" s="92"/>
      <c r="J41" s="91"/>
      <c r="K41" s="91"/>
      <c r="L41" s="91"/>
      <c r="M41" s="95">
        <v>39936</v>
      </c>
      <c r="N41" s="92"/>
    </row>
    <row r="42" spans="1:14" s="84" customFormat="1" x14ac:dyDescent="0.25">
      <c r="A42">
        <v>40</v>
      </c>
      <c r="B42" s="85" t="s">
        <v>88</v>
      </c>
      <c r="C42" s="85" t="s">
        <v>80</v>
      </c>
      <c r="D42" s="85" t="s">
        <v>6</v>
      </c>
      <c r="E42" s="94">
        <v>30</v>
      </c>
      <c r="F42" s="85" t="s">
        <v>33</v>
      </c>
      <c r="G42" s="85"/>
      <c r="H42" s="85"/>
      <c r="I42" s="85"/>
      <c r="J42" s="91"/>
      <c r="K42" s="91"/>
      <c r="L42" s="91"/>
      <c r="M42" s="87"/>
      <c r="N42" s="85"/>
    </row>
    <row r="43" spans="1:14" s="84" customFormat="1" x14ac:dyDescent="0.25">
      <c r="A43">
        <v>41</v>
      </c>
      <c r="B43" s="85" t="s">
        <v>89</v>
      </c>
      <c r="C43" s="85" t="s">
        <v>80</v>
      </c>
      <c r="D43" s="85" t="s">
        <v>6</v>
      </c>
      <c r="E43" s="94">
        <v>30</v>
      </c>
      <c r="F43" s="85" t="s">
        <v>33</v>
      </c>
      <c r="G43" s="85"/>
      <c r="H43" s="85"/>
      <c r="I43" s="85"/>
      <c r="J43" s="91"/>
      <c r="K43" s="91"/>
      <c r="L43" s="91"/>
      <c r="M43" s="87"/>
      <c r="N43" s="85"/>
    </row>
    <row r="44" spans="1:14" s="84" customFormat="1" x14ac:dyDescent="0.25">
      <c r="A44">
        <v>42</v>
      </c>
      <c r="B44" s="85" t="s">
        <v>90</v>
      </c>
      <c r="C44" s="85" t="s">
        <v>80</v>
      </c>
      <c r="D44" s="85" t="s">
        <v>6</v>
      </c>
      <c r="E44" s="94">
        <v>312.5</v>
      </c>
      <c r="F44" s="85" t="s">
        <v>33</v>
      </c>
      <c r="G44" s="85"/>
      <c r="H44" s="85"/>
      <c r="I44" s="85"/>
      <c r="J44" s="91"/>
      <c r="K44" s="91"/>
      <c r="L44" s="91"/>
      <c r="M44" s="87"/>
      <c r="N44" s="85"/>
    </row>
    <row r="45" spans="1:14" s="84" customFormat="1" x14ac:dyDescent="0.25">
      <c r="A45">
        <v>43</v>
      </c>
      <c r="B45" s="85" t="s">
        <v>91</v>
      </c>
      <c r="C45" s="85" t="s">
        <v>80</v>
      </c>
      <c r="D45" s="85" t="s">
        <v>6</v>
      </c>
      <c r="E45" s="94">
        <v>325</v>
      </c>
      <c r="F45" s="85" t="s">
        <v>33</v>
      </c>
      <c r="G45" s="85"/>
      <c r="H45" s="85"/>
      <c r="I45" s="85"/>
      <c r="J45" s="91"/>
      <c r="K45" s="91"/>
      <c r="L45" s="91"/>
      <c r="M45" s="87"/>
      <c r="N45" s="85"/>
    </row>
    <row r="46" spans="1:14" s="84" customFormat="1" x14ac:dyDescent="0.25">
      <c r="A46">
        <v>44</v>
      </c>
      <c r="B46" s="85" t="s">
        <v>92</v>
      </c>
      <c r="C46" s="85" t="s">
        <v>30</v>
      </c>
      <c r="D46" s="85" t="s">
        <v>6</v>
      </c>
      <c r="E46" s="86">
        <v>32</v>
      </c>
      <c r="F46" s="85" t="s">
        <v>33</v>
      </c>
      <c r="G46" s="85"/>
      <c r="H46" s="85"/>
      <c r="I46" s="85"/>
      <c r="J46" s="91"/>
      <c r="K46" s="91"/>
      <c r="L46" s="91"/>
      <c r="M46" s="87">
        <v>39887</v>
      </c>
      <c r="N46" s="92"/>
    </row>
    <row r="47" spans="1:14" s="84" customFormat="1" x14ac:dyDescent="0.25">
      <c r="A47">
        <v>45</v>
      </c>
      <c r="B47" s="85" t="s">
        <v>1223</v>
      </c>
      <c r="C47" s="85" t="s">
        <v>84</v>
      </c>
      <c r="D47" s="85" t="s">
        <v>502</v>
      </c>
      <c r="E47" s="96">
        <v>80</v>
      </c>
      <c r="F47" s="85"/>
      <c r="G47" s="85"/>
      <c r="H47" s="85"/>
      <c r="I47" s="85"/>
      <c r="J47" s="91"/>
      <c r="K47" s="91"/>
      <c r="L47" s="91"/>
      <c r="M47" s="87">
        <v>39922</v>
      </c>
      <c r="N47" s="92"/>
    </row>
    <row r="48" spans="1:14" s="84" customFormat="1" ht="30" x14ac:dyDescent="0.25">
      <c r="A48">
        <v>46</v>
      </c>
      <c r="B48" s="85" t="s">
        <v>1224</v>
      </c>
      <c r="C48" s="85" t="s">
        <v>505</v>
      </c>
      <c r="D48" s="85" t="s">
        <v>502</v>
      </c>
      <c r="E48" s="96">
        <v>22</v>
      </c>
      <c r="F48" s="85" t="s">
        <v>33</v>
      </c>
      <c r="G48" s="85"/>
      <c r="H48" s="85"/>
      <c r="I48" s="85"/>
      <c r="J48" s="91"/>
      <c r="K48" s="91"/>
      <c r="L48" s="91"/>
      <c r="M48" s="87">
        <v>39925</v>
      </c>
      <c r="N48" s="92"/>
    </row>
    <row r="49" spans="1:14" s="84" customFormat="1" x14ac:dyDescent="0.25">
      <c r="A49">
        <v>47</v>
      </c>
      <c r="B49" s="85" t="s">
        <v>1225</v>
      </c>
      <c r="C49" s="85" t="s">
        <v>84</v>
      </c>
      <c r="D49" s="85" t="s">
        <v>6</v>
      </c>
      <c r="E49" s="94">
        <v>103</v>
      </c>
      <c r="F49" s="85" t="s">
        <v>33</v>
      </c>
      <c r="G49" s="85"/>
      <c r="H49" s="85"/>
      <c r="I49" s="85"/>
      <c r="J49" s="91"/>
      <c r="K49" s="91"/>
      <c r="L49" s="91"/>
      <c r="M49" s="87">
        <v>40286</v>
      </c>
      <c r="N49" s="92"/>
    </row>
    <row r="50" spans="1:14" s="84" customFormat="1" x14ac:dyDescent="0.25">
      <c r="A50">
        <v>48</v>
      </c>
      <c r="B50" s="85" t="s">
        <v>1226</v>
      </c>
      <c r="C50" s="85" t="s">
        <v>1221</v>
      </c>
      <c r="D50" s="85" t="s">
        <v>6</v>
      </c>
      <c r="E50" s="94">
        <v>73</v>
      </c>
      <c r="F50" s="85" t="s">
        <v>33</v>
      </c>
      <c r="G50" s="85"/>
      <c r="H50" s="85"/>
      <c r="I50" s="85"/>
      <c r="J50" s="91"/>
      <c r="K50" s="91"/>
      <c r="L50" s="91"/>
      <c r="M50" s="87">
        <v>40321</v>
      </c>
      <c r="N50" s="92"/>
    </row>
    <row r="51" spans="1:14" s="84" customFormat="1" x14ac:dyDescent="0.25">
      <c r="A51">
        <v>49</v>
      </c>
      <c r="B51" s="85" t="s">
        <v>93</v>
      </c>
      <c r="C51" s="92" t="s">
        <v>64</v>
      </c>
      <c r="D51" s="92" t="s">
        <v>6</v>
      </c>
      <c r="E51" s="93">
        <v>5</v>
      </c>
      <c r="F51" s="92" t="s">
        <v>33</v>
      </c>
      <c r="G51" s="92"/>
      <c r="H51" s="92"/>
      <c r="I51" s="92"/>
      <c r="J51" s="91"/>
      <c r="K51" s="91"/>
      <c r="L51" s="91"/>
      <c r="M51" s="95"/>
      <c r="N51" s="92"/>
    </row>
    <row r="52" spans="1:14" s="84" customFormat="1" x14ac:dyDescent="0.25">
      <c r="A52">
        <v>50</v>
      </c>
      <c r="B52" s="85" t="s">
        <v>94</v>
      </c>
      <c r="C52" s="92" t="s">
        <v>84</v>
      </c>
      <c r="D52" s="92" t="s">
        <v>6</v>
      </c>
      <c r="E52" s="93">
        <v>125</v>
      </c>
      <c r="F52" s="92" t="s">
        <v>33</v>
      </c>
      <c r="G52" s="92"/>
      <c r="H52" s="92"/>
      <c r="I52" s="92"/>
      <c r="J52" s="91"/>
      <c r="K52" s="91"/>
      <c r="L52" s="91"/>
      <c r="M52" s="95"/>
      <c r="N52" s="92"/>
    </row>
    <row r="53" spans="1:14" s="84" customFormat="1" x14ac:dyDescent="0.25">
      <c r="A53">
        <v>51</v>
      </c>
      <c r="B53" s="85" t="s">
        <v>95</v>
      </c>
      <c r="C53" s="92" t="s">
        <v>84</v>
      </c>
      <c r="D53" s="92" t="s">
        <v>6</v>
      </c>
      <c r="E53" s="93">
        <v>77.5</v>
      </c>
      <c r="F53" s="92" t="s">
        <v>33</v>
      </c>
      <c r="G53" s="92"/>
      <c r="H53" s="92"/>
      <c r="I53" s="92"/>
      <c r="J53" s="91"/>
      <c r="K53" s="91"/>
      <c r="L53" s="91"/>
      <c r="M53" s="95"/>
      <c r="N53" s="92"/>
    </row>
    <row r="54" spans="1:14" s="84" customFormat="1" x14ac:dyDescent="0.25">
      <c r="A54">
        <v>52</v>
      </c>
      <c r="B54" s="85" t="s">
        <v>96</v>
      </c>
      <c r="C54" s="92" t="s">
        <v>84</v>
      </c>
      <c r="D54" s="92" t="s">
        <v>6</v>
      </c>
      <c r="E54" s="93">
        <v>112.5</v>
      </c>
      <c r="F54" s="92" t="s">
        <v>33</v>
      </c>
      <c r="G54" s="92"/>
      <c r="H54" s="92"/>
      <c r="I54" s="92"/>
      <c r="J54" s="91"/>
      <c r="K54" s="91"/>
      <c r="L54" s="91"/>
      <c r="M54" s="95"/>
      <c r="N54" s="92"/>
    </row>
    <row r="55" spans="1:14" s="84" customFormat="1" x14ac:dyDescent="0.25">
      <c r="A55">
        <v>53</v>
      </c>
      <c r="B55" s="85" t="s">
        <v>97</v>
      </c>
      <c r="C55" s="92" t="s">
        <v>84</v>
      </c>
      <c r="D55" s="92" t="s">
        <v>6</v>
      </c>
      <c r="E55" s="93">
        <v>200</v>
      </c>
      <c r="F55" s="92" t="s">
        <v>33</v>
      </c>
      <c r="G55" s="92"/>
      <c r="H55" s="92"/>
      <c r="I55" s="92"/>
      <c r="J55" s="91"/>
      <c r="K55" s="91"/>
      <c r="L55" s="91"/>
      <c r="M55" s="95"/>
      <c r="N55" s="92"/>
    </row>
    <row r="56" spans="1:14" s="84" customFormat="1" x14ac:dyDescent="0.25">
      <c r="A56">
        <v>54</v>
      </c>
      <c r="B56" s="85" t="s">
        <v>98</v>
      </c>
      <c r="C56" s="92" t="s">
        <v>84</v>
      </c>
      <c r="D56" s="92" t="s">
        <v>6</v>
      </c>
      <c r="E56" s="93">
        <v>490</v>
      </c>
      <c r="F56" s="92" t="s">
        <v>33</v>
      </c>
      <c r="G56" s="92"/>
      <c r="H56" s="92"/>
      <c r="I56" s="92"/>
      <c r="J56" s="91"/>
      <c r="K56" s="91"/>
      <c r="L56" s="91"/>
      <c r="M56" s="95"/>
      <c r="N56" s="92"/>
    </row>
    <row r="57" spans="1:14" s="84" customFormat="1" x14ac:dyDescent="0.25">
      <c r="A57">
        <v>55</v>
      </c>
      <c r="B57" s="85" t="s">
        <v>99</v>
      </c>
      <c r="C57" s="92" t="s">
        <v>84</v>
      </c>
      <c r="D57" s="92" t="s">
        <v>6</v>
      </c>
      <c r="E57" s="93">
        <v>100</v>
      </c>
      <c r="F57" s="92" t="s">
        <v>33</v>
      </c>
      <c r="G57" s="92"/>
      <c r="H57" s="92"/>
      <c r="I57" s="92"/>
      <c r="J57" s="91"/>
      <c r="K57" s="91"/>
      <c r="L57" s="91"/>
      <c r="M57" s="95"/>
      <c r="N57" s="92"/>
    </row>
    <row r="58" spans="1:14" s="84" customFormat="1" x14ac:dyDescent="0.25">
      <c r="A58">
        <v>56</v>
      </c>
      <c r="B58" s="85" t="s">
        <v>1227</v>
      </c>
      <c r="C58" s="92" t="s">
        <v>84</v>
      </c>
      <c r="D58" s="92" t="s">
        <v>6</v>
      </c>
      <c r="E58" s="93">
        <v>340.5</v>
      </c>
      <c r="F58" s="92" t="s">
        <v>33</v>
      </c>
      <c r="G58" s="92"/>
      <c r="H58" s="92"/>
      <c r="I58" s="92"/>
      <c r="J58" s="91"/>
      <c r="K58" s="91"/>
      <c r="L58" s="91"/>
      <c r="M58" s="95">
        <v>40321</v>
      </c>
      <c r="N58" s="92"/>
    </row>
    <row r="59" spans="1:14" s="84" customFormat="1" x14ac:dyDescent="0.25">
      <c r="A59">
        <v>57</v>
      </c>
      <c r="B59" s="85" t="s">
        <v>1573</v>
      </c>
      <c r="C59" s="92" t="s">
        <v>1570</v>
      </c>
      <c r="D59" s="92" t="s">
        <v>6</v>
      </c>
      <c r="E59" s="93">
        <v>110</v>
      </c>
      <c r="F59" s="92" t="s">
        <v>33</v>
      </c>
      <c r="G59" s="92"/>
      <c r="H59" s="92"/>
      <c r="I59" s="92"/>
      <c r="J59" s="91"/>
      <c r="K59" s="91"/>
      <c r="L59" s="91"/>
      <c r="M59" s="95">
        <v>40670</v>
      </c>
      <c r="N59" s="92"/>
    </row>
    <row r="60" spans="1:14" s="84" customFormat="1" x14ac:dyDescent="0.25">
      <c r="A60">
        <v>58</v>
      </c>
      <c r="B60" s="85" t="s">
        <v>1572</v>
      </c>
      <c r="C60" s="92" t="s">
        <v>1570</v>
      </c>
      <c r="D60" s="92" t="s">
        <v>6</v>
      </c>
      <c r="E60" s="93">
        <v>110</v>
      </c>
      <c r="F60" s="92" t="s">
        <v>33</v>
      </c>
      <c r="G60" s="92"/>
      <c r="H60" s="92"/>
      <c r="I60" s="92"/>
      <c r="J60" s="91"/>
      <c r="K60" s="91"/>
      <c r="L60" s="91"/>
      <c r="M60" s="95">
        <v>40670</v>
      </c>
      <c r="N60" s="92"/>
    </row>
    <row r="61" spans="1:14" s="84" customFormat="1" x14ac:dyDescent="0.25">
      <c r="A61">
        <v>59</v>
      </c>
      <c r="B61" s="85" t="s">
        <v>1571</v>
      </c>
      <c r="C61" s="92" t="s">
        <v>1570</v>
      </c>
      <c r="D61" s="92" t="s">
        <v>6</v>
      </c>
      <c r="E61" s="93">
        <v>83</v>
      </c>
      <c r="F61" s="92" t="s">
        <v>33</v>
      </c>
      <c r="G61" s="92"/>
      <c r="H61" s="92"/>
      <c r="I61" s="92"/>
      <c r="J61" s="91"/>
      <c r="K61" s="91"/>
      <c r="L61" s="91"/>
      <c r="M61" s="95">
        <v>40670</v>
      </c>
      <c r="N61" s="92"/>
    </row>
    <row r="62" spans="1:14" s="84" customFormat="1" x14ac:dyDescent="0.25">
      <c r="A62">
        <v>60</v>
      </c>
      <c r="B62" s="85" t="s">
        <v>101</v>
      </c>
      <c r="C62" s="92" t="s">
        <v>102</v>
      </c>
      <c r="D62" s="92" t="s">
        <v>6</v>
      </c>
      <c r="E62" s="93">
        <v>50</v>
      </c>
      <c r="F62" s="92" t="s">
        <v>33</v>
      </c>
      <c r="G62" s="92"/>
      <c r="H62" s="92"/>
      <c r="I62" s="92"/>
      <c r="J62" s="91"/>
      <c r="K62" s="91"/>
      <c r="L62" s="91"/>
      <c r="M62" s="95"/>
      <c r="N62" s="92"/>
    </row>
    <row r="63" spans="1:14" s="84" customFormat="1" x14ac:dyDescent="0.25">
      <c r="A63">
        <v>61</v>
      </c>
      <c r="B63" s="85" t="s">
        <v>103</v>
      </c>
      <c r="C63" s="92" t="s">
        <v>102</v>
      </c>
      <c r="D63" s="92" t="s">
        <v>6</v>
      </c>
      <c r="E63" s="93">
        <v>450</v>
      </c>
      <c r="F63" s="92" t="s">
        <v>33</v>
      </c>
      <c r="G63" s="92"/>
      <c r="H63" s="92"/>
      <c r="I63" s="92"/>
      <c r="J63" s="91"/>
      <c r="K63" s="91"/>
      <c r="L63" s="91"/>
      <c r="M63" s="95"/>
      <c r="N63" s="92"/>
    </row>
    <row r="64" spans="1:14" s="84" customFormat="1" x14ac:dyDescent="0.25">
      <c r="A64">
        <v>62</v>
      </c>
      <c r="B64" s="85" t="s">
        <v>104</v>
      </c>
      <c r="C64" s="85" t="s">
        <v>102</v>
      </c>
      <c r="D64" s="85" t="s">
        <v>6</v>
      </c>
      <c r="E64" s="94">
        <v>70</v>
      </c>
      <c r="F64" s="85" t="s">
        <v>33</v>
      </c>
      <c r="G64" s="85"/>
      <c r="H64" s="85"/>
      <c r="I64" s="85"/>
      <c r="J64" s="91"/>
      <c r="K64" s="91"/>
      <c r="L64" s="91"/>
      <c r="M64" s="87">
        <v>39867</v>
      </c>
      <c r="N64" s="92"/>
    </row>
    <row r="65" spans="1:256" s="84" customFormat="1" x14ac:dyDescent="0.25">
      <c r="A65">
        <v>63</v>
      </c>
      <c r="B65" s="85" t="s">
        <v>105</v>
      </c>
      <c r="C65" s="85" t="s">
        <v>102</v>
      </c>
      <c r="D65" s="85" t="s">
        <v>6</v>
      </c>
      <c r="E65" s="94">
        <v>70</v>
      </c>
      <c r="F65" s="85" t="s">
        <v>33</v>
      </c>
      <c r="G65" s="85"/>
      <c r="H65" s="85"/>
      <c r="I65" s="85"/>
      <c r="J65" s="91"/>
      <c r="K65" s="91"/>
      <c r="L65" s="91"/>
      <c r="M65" s="87">
        <v>39909</v>
      </c>
      <c r="N65" s="92"/>
    </row>
    <row r="66" spans="1:256" s="84" customFormat="1" x14ac:dyDescent="0.25">
      <c r="A66">
        <v>64</v>
      </c>
      <c r="B66" s="85" t="s">
        <v>106</v>
      </c>
      <c r="C66" s="92" t="s">
        <v>102</v>
      </c>
      <c r="D66" s="92" t="s">
        <v>6</v>
      </c>
      <c r="E66" s="93">
        <v>70</v>
      </c>
      <c r="F66" s="92" t="s">
        <v>33</v>
      </c>
      <c r="G66" s="92"/>
      <c r="H66" s="92"/>
      <c r="I66" s="92"/>
      <c r="J66" s="91"/>
      <c r="K66" s="91"/>
      <c r="L66" s="91"/>
      <c r="M66" s="95"/>
      <c r="N66" s="92"/>
    </row>
    <row r="67" spans="1:256" s="84" customFormat="1" x14ac:dyDescent="0.25">
      <c r="A67">
        <v>65</v>
      </c>
      <c r="B67" s="85" t="s">
        <v>107</v>
      </c>
      <c r="C67" s="92" t="s">
        <v>102</v>
      </c>
      <c r="D67" s="92" t="s">
        <v>6</v>
      </c>
      <c r="E67" s="93">
        <v>70</v>
      </c>
      <c r="F67" s="92" t="s">
        <v>33</v>
      </c>
      <c r="G67" s="92"/>
      <c r="H67" s="85"/>
      <c r="I67" s="85"/>
      <c r="J67" s="91"/>
      <c r="K67" s="91"/>
      <c r="L67" s="91"/>
      <c r="M67" s="87">
        <v>39868</v>
      </c>
      <c r="N67" s="92"/>
    </row>
    <row r="68" spans="1:256" s="84" customFormat="1" x14ac:dyDescent="0.25">
      <c r="A68">
        <v>66</v>
      </c>
      <c r="B68" s="85" t="s">
        <v>108</v>
      </c>
      <c r="C68" s="92" t="s">
        <v>102</v>
      </c>
      <c r="D68" s="92" t="s">
        <v>6</v>
      </c>
      <c r="E68" s="93">
        <v>70</v>
      </c>
      <c r="F68" s="92" t="s">
        <v>33</v>
      </c>
      <c r="G68" s="92"/>
      <c r="H68" s="92"/>
      <c r="I68" s="92"/>
      <c r="J68" s="91"/>
      <c r="K68" s="91"/>
      <c r="L68" s="91"/>
      <c r="M68" s="95"/>
      <c r="N68" s="92"/>
    </row>
    <row r="69" spans="1:256" s="84" customFormat="1" x14ac:dyDescent="0.25">
      <c r="A69">
        <v>67</v>
      </c>
      <c r="B69" s="85" t="s">
        <v>109</v>
      </c>
      <c r="C69" s="92" t="s">
        <v>110</v>
      </c>
      <c r="D69" s="92" t="s">
        <v>6</v>
      </c>
      <c r="E69" s="93">
        <v>162</v>
      </c>
      <c r="F69" s="92" t="s">
        <v>33</v>
      </c>
      <c r="G69" s="92"/>
      <c r="H69" s="92"/>
      <c r="I69" s="92"/>
      <c r="J69" s="91"/>
      <c r="K69" s="91"/>
      <c r="L69" s="91"/>
      <c r="M69" s="95">
        <v>39899</v>
      </c>
      <c r="N69" s="92"/>
    </row>
    <row r="70" spans="1:256" s="84" customFormat="1" x14ac:dyDescent="0.25">
      <c r="A70">
        <v>68</v>
      </c>
      <c r="B70" s="85" t="s">
        <v>111</v>
      </c>
      <c r="C70" s="92" t="s">
        <v>110</v>
      </c>
      <c r="D70" s="92" t="s">
        <v>6</v>
      </c>
      <c r="E70" s="93">
        <v>94</v>
      </c>
      <c r="F70" s="92" t="s">
        <v>33</v>
      </c>
      <c r="G70" s="92"/>
      <c r="H70" s="92"/>
      <c r="I70" s="92"/>
      <c r="J70" s="91"/>
      <c r="K70" s="91"/>
      <c r="L70" s="91"/>
      <c r="M70" s="95">
        <v>39899</v>
      </c>
      <c r="N70" s="92"/>
    </row>
    <row r="71" spans="1:256" s="84" customFormat="1" x14ac:dyDescent="0.25">
      <c r="A71">
        <v>69</v>
      </c>
      <c r="B71" s="85" t="s">
        <v>112</v>
      </c>
      <c r="C71" s="92" t="s">
        <v>110</v>
      </c>
      <c r="D71" s="92" t="s">
        <v>6</v>
      </c>
      <c r="E71" s="93">
        <v>94</v>
      </c>
      <c r="F71" s="92" t="s">
        <v>33</v>
      </c>
      <c r="G71" s="92"/>
      <c r="H71" s="92"/>
      <c r="I71" s="92"/>
      <c r="J71" s="91"/>
      <c r="K71" s="91"/>
      <c r="L71" s="91"/>
      <c r="M71" s="95">
        <v>39899</v>
      </c>
      <c r="N71" s="92"/>
    </row>
    <row r="72" spans="1:256" s="84" customFormat="1" x14ac:dyDescent="0.25">
      <c r="A72">
        <v>70</v>
      </c>
      <c r="B72" s="85" t="s">
        <v>113</v>
      </c>
      <c r="C72" s="92" t="s">
        <v>114</v>
      </c>
      <c r="D72" s="92" t="s">
        <v>6</v>
      </c>
      <c r="E72" s="93">
        <v>55</v>
      </c>
      <c r="F72" s="92" t="s">
        <v>33</v>
      </c>
      <c r="G72" s="92"/>
      <c r="H72" s="92"/>
      <c r="I72" s="92"/>
      <c r="J72" s="91"/>
      <c r="K72" s="91"/>
      <c r="L72" s="91"/>
      <c r="M72" s="95"/>
      <c r="N72" s="92"/>
    </row>
    <row r="73" spans="1:256" s="84" customFormat="1" x14ac:dyDescent="0.25">
      <c r="A73">
        <v>71</v>
      </c>
      <c r="B73" s="85" t="s">
        <v>115</v>
      </c>
      <c r="C73" s="92" t="s">
        <v>114</v>
      </c>
      <c r="D73" s="92" t="s">
        <v>6</v>
      </c>
      <c r="E73" s="93">
        <v>30</v>
      </c>
      <c r="F73" s="92" t="s">
        <v>33</v>
      </c>
      <c r="G73" s="92"/>
      <c r="H73" s="92"/>
      <c r="I73" s="92"/>
      <c r="J73" s="91"/>
      <c r="K73" s="91"/>
      <c r="L73" s="91"/>
      <c r="M73" s="95"/>
      <c r="N73" s="92"/>
    </row>
    <row r="74" spans="1:256" s="84" customFormat="1" x14ac:dyDescent="0.25">
      <c r="A74">
        <v>72</v>
      </c>
      <c r="B74" s="85" t="s">
        <v>116</v>
      </c>
      <c r="C74" s="92" t="s">
        <v>117</v>
      </c>
      <c r="D74" s="92" t="s">
        <v>6</v>
      </c>
      <c r="E74" s="93">
        <v>65</v>
      </c>
      <c r="F74" s="92" t="s">
        <v>33</v>
      </c>
      <c r="G74" s="92"/>
      <c r="H74" s="92"/>
      <c r="I74" s="92"/>
      <c r="J74" s="91"/>
      <c r="K74" s="91"/>
      <c r="L74" s="91"/>
      <c r="M74" s="95"/>
      <c r="N74" s="92"/>
    </row>
    <row r="75" spans="1:256" s="84" customFormat="1" x14ac:dyDescent="0.25">
      <c r="A75">
        <v>73</v>
      </c>
      <c r="B75" s="85" t="s">
        <v>1228</v>
      </c>
      <c r="C75" s="92" t="s">
        <v>117</v>
      </c>
      <c r="D75" s="92" t="s">
        <v>6</v>
      </c>
      <c r="E75" s="93">
        <v>240</v>
      </c>
      <c r="F75" s="92" t="s">
        <v>33</v>
      </c>
      <c r="G75" s="92"/>
      <c r="H75" s="92"/>
      <c r="I75" s="92"/>
      <c r="J75" s="91"/>
      <c r="K75" s="91"/>
      <c r="L75" s="91"/>
      <c r="M75" s="95">
        <v>40288</v>
      </c>
      <c r="N75" s="92" t="s">
        <v>1229</v>
      </c>
    </row>
    <row r="76" spans="1:256" s="84" customFormat="1" x14ac:dyDescent="0.25">
      <c r="A76">
        <v>74</v>
      </c>
      <c r="B76" s="85" t="s">
        <v>1230</v>
      </c>
      <c r="C76" s="92" t="s">
        <v>117</v>
      </c>
      <c r="D76" s="92" t="s">
        <v>6</v>
      </c>
      <c r="E76" s="93">
        <v>77.5</v>
      </c>
      <c r="F76" s="92" t="s">
        <v>33</v>
      </c>
      <c r="G76" s="92"/>
      <c r="H76" s="92"/>
      <c r="I76" s="92"/>
      <c r="J76" s="91"/>
      <c r="K76" s="91"/>
      <c r="L76" s="91"/>
      <c r="M76" s="95">
        <v>40257</v>
      </c>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2"/>
      <c r="AR76" s="92"/>
      <c r="AS76" s="92"/>
      <c r="AT76" s="92"/>
      <c r="AU76" s="92"/>
      <c r="AV76" s="92"/>
      <c r="AW76" s="92"/>
      <c r="AX76" s="92"/>
      <c r="AY76" s="92"/>
      <c r="AZ76" s="92"/>
      <c r="BA76" s="92"/>
      <c r="BB76" s="92"/>
      <c r="BC76" s="92"/>
      <c r="BD76" s="92"/>
      <c r="BE76" s="92"/>
      <c r="BF76" s="92"/>
      <c r="BG76" s="92"/>
      <c r="BH76" s="92"/>
      <c r="BI76" s="92"/>
      <c r="BJ76" s="92"/>
      <c r="BK76" s="92"/>
      <c r="BL76" s="92"/>
      <c r="BM76" s="92"/>
      <c r="BN76" s="92"/>
      <c r="BO76" s="92"/>
      <c r="BP76" s="92"/>
      <c r="BQ76" s="92"/>
      <c r="BR76" s="92"/>
      <c r="BS76" s="92"/>
      <c r="BT76" s="92"/>
      <c r="BU76" s="92"/>
      <c r="BV76" s="92"/>
      <c r="BW76" s="92"/>
      <c r="BX76" s="92"/>
      <c r="BY76" s="92"/>
      <c r="BZ76" s="92"/>
      <c r="CA76" s="92"/>
      <c r="CB76" s="92"/>
      <c r="CC76" s="92"/>
      <c r="CD76" s="92"/>
      <c r="CE76" s="92"/>
      <c r="CF76" s="92"/>
      <c r="CG76" s="92"/>
      <c r="CH76" s="92"/>
      <c r="CI76" s="92"/>
      <c r="CJ76" s="92"/>
      <c r="CK76" s="92"/>
      <c r="CL76" s="92"/>
      <c r="CM76" s="92"/>
      <c r="CN76" s="92"/>
      <c r="CO76" s="92"/>
      <c r="CP76" s="92"/>
      <c r="CQ76" s="92"/>
      <c r="CR76" s="92"/>
      <c r="CS76" s="92"/>
      <c r="CT76" s="92"/>
      <c r="CU76" s="92"/>
      <c r="CV76" s="92"/>
      <c r="CW76" s="92"/>
      <c r="CX76" s="92"/>
      <c r="CY76" s="92"/>
      <c r="CZ76" s="92"/>
      <c r="DA76" s="92"/>
      <c r="DB76" s="92"/>
      <c r="DC76" s="92"/>
      <c r="DD76" s="92"/>
      <c r="DE76" s="92"/>
      <c r="DF76" s="92"/>
      <c r="DG76" s="92"/>
      <c r="DH76" s="92"/>
      <c r="DI76" s="92"/>
      <c r="DJ76" s="92"/>
      <c r="DK76" s="92"/>
      <c r="DL76" s="92"/>
      <c r="DM76" s="92"/>
      <c r="DN76" s="92"/>
      <c r="DO76" s="92"/>
      <c r="DP76" s="92"/>
      <c r="DQ76" s="92"/>
      <c r="DR76" s="92"/>
      <c r="DS76" s="92"/>
      <c r="DT76" s="92"/>
      <c r="DU76" s="92"/>
      <c r="DV76" s="92"/>
      <c r="DW76" s="92"/>
      <c r="DX76" s="92"/>
      <c r="DY76" s="92"/>
      <c r="DZ76" s="92"/>
      <c r="EA76" s="92"/>
      <c r="EB76" s="92"/>
      <c r="EC76" s="92"/>
      <c r="ED76" s="92"/>
      <c r="EE76" s="92"/>
      <c r="EF76" s="92"/>
      <c r="EG76" s="92"/>
      <c r="EH76" s="92"/>
      <c r="EI76" s="92"/>
      <c r="EJ76" s="92"/>
      <c r="EK76" s="92"/>
      <c r="EL76" s="92"/>
      <c r="EM76" s="92"/>
      <c r="EN76" s="92"/>
      <c r="EO76" s="92"/>
      <c r="EP76" s="92"/>
      <c r="EQ76" s="92"/>
      <c r="ER76" s="92"/>
      <c r="ES76" s="92"/>
      <c r="ET76" s="92"/>
      <c r="EU76" s="92"/>
      <c r="EV76" s="92"/>
      <c r="EW76" s="92"/>
      <c r="EX76" s="92"/>
      <c r="EY76" s="92"/>
      <c r="EZ76" s="92"/>
      <c r="FA76" s="92"/>
      <c r="FB76" s="92"/>
      <c r="FC76" s="92"/>
      <c r="FD76" s="92"/>
      <c r="FE76" s="92"/>
      <c r="FF76" s="92"/>
      <c r="FG76" s="92"/>
      <c r="FH76" s="92"/>
      <c r="FI76" s="92"/>
      <c r="FJ76" s="92"/>
      <c r="FK76" s="92"/>
      <c r="FL76" s="92"/>
      <c r="FM76" s="92"/>
      <c r="FN76" s="92"/>
      <c r="FO76" s="92"/>
      <c r="FP76" s="92"/>
      <c r="FQ76" s="92"/>
      <c r="FR76" s="92"/>
      <c r="FS76" s="92"/>
      <c r="FT76" s="92"/>
      <c r="FU76" s="92"/>
      <c r="FV76" s="92"/>
      <c r="FW76" s="92"/>
      <c r="FX76" s="92"/>
      <c r="FY76" s="92"/>
      <c r="FZ76" s="92"/>
      <c r="GA76" s="92"/>
      <c r="GB76" s="92"/>
      <c r="GC76" s="92"/>
      <c r="GD76" s="92"/>
      <c r="GE76" s="92"/>
      <c r="GF76" s="92"/>
      <c r="GG76" s="92"/>
      <c r="GH76" s="92"/>
      <c r="GI76" s="92"/>
      <c r="GJ76" s="92"/>
      <c r="GK76" s="92"/>
      <c r="GL76" s="92"/>
      <c r="GM76" s="92"/>
      <c r="GN76" s="92"/>
      <c r="GO76" s="92"/>
      <c r="GP76" s="92"/>
      <c r="GQ76" s="92"/>
      <c r="GR76" s="92"/>
      <c r="GS76" s="92"/>
      <c r="GT76" s="92"/>
      <c r="GU76" s="92"/>
      <c r="GV76" s="92"/>
      <c r="GW76" s="92"/>
      <c r="GX76" s="92"/>
      <c r="GY76" s="92"/>
      <c r="GZ76" s="92"/>
      <c r="HA76" s="92"/>
      <c r="HB76" s="92"/>
      <c r="HC76" s="92"/>
      <c r="HD76" s="92"/>
      <c r="HE76" s="92"/>
      <c r="HF76" s="92"/>
      <c r="HG76" s="92"/>
      <c r="HH76" s="92"/>
      <c r="HI76" s="92"/>
      <c r="HJ76" s="92"/>
      <c r="HK76" s="92"/>
      <c r="HL76" s="92"/>
      <c r="HM76" s="92"/>
      <c r="HN76" s="92"/>
      <c r="HO76" s="92"/>
      <c r="HP76" s="92"/>
      <c r="HQ76" s="92"/>
      <c r="HR76" s="92"/>
      <c r="HS76" s="92"/>
      <c r="HT76" s="92"/>
      <c r="HU76" s="92"/>
      <c r="HV76" s="92"/>
      <c r="HW76" s="92"/>
      <c r="HX76" s="92"/>
      <c r="HY76" s="92"/>
      <c r="HZ76" s="92"/>
      <c r="IA76" s="92"/>
      <c r="IB76" s="92"/>
      <c r="IC76" s="92"/>
      <c r="ID76" s="92"/>
      <c r="IE76" s="92"/>
      <c r="IF76" s="92"/>
      <c r="IG76" s="92"/>
      <c r="IH76" s="92"/>
      <c r="II76" s="92"/>
      <c r="IJ76" s="92"/>
      <c r="IK76" s="92"/>
      <c r="IL76" s="92"/>
      <c r="IM76" s="92"/>
      <c r="IN76" s="92"/>
      <c r="IO76" s="92"/>
      <c r="IP76" s="92"/>
      <c r="IQ76" s="92"/>
      <c r="IR76" s="92"/>
      <c r="IS76" s="92"/>
      <c r="IT76" s="92"/>
      <c r="IU76" s="92"/>
      <c r="IV76" s="92"/>
    </row>
    <row r="77" spans="1:256" s="92" customFormat="1" x14ac:dyDescent="0.25">
      <c r="A77">
        <v>75</v>
      </c>
      <c r="B77" s="85" t="s">
        <v>118</v>
      </c>
      <c r="C77" s="92" t="s">
        <v>117</v>
      </c>
      <c r="D77" s="92" t="s">
        <v>6</v>
      </c>
      <c r="E77" s="93">
        <v>96</v>
      </c>
      <c r="F77" s="92" t="s">
        <v>33</v>
      </c>
      <c r="J77" s="91"/>
      <c r="K77" s="91"/>
      <c r="L77" s="91"/>
      <c r="M77" s="95"/>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c r="AZ77" s="84"/>
      <c r="BA77" s="84"/>
      <c r="BB77" s="84"/>
      <c r="BC77" s="84"/>
      <c r="BD77" s="84"/>
      <c r="BE77" s="84"/>
      <c r="BF77" s="84"/>
      <c r="BG77" s="84"/>
      <c r="BH77" s="84"/>
      <c r="BI77" s="84"/>
      <c r="BJ77" s="84"/>
      <c r="BK77" s="84"/>
      <c r="BL77" s="84"/>
      <c r="BM77" s="84"/>
      <c r="BN77" s="84"/>
      <c r="BO77" s="84"/>
      <c r="BP77" s="84"/>
      <c r="BQ77" s="84"/>
      <c r="BR77" s="84"/>
      <c r="BS77" s="84"/>
      <c r="BT77" s="84"/>
      <c r="BU77" s="84"/>
      <c r="BV77" s="84"/>
      <c r="BW77" s="84"/>
      <c r="BX77" s="84"/>
      <c r="BY77" s="84"/>
      <c r="BZ77" s="84"/>
      <c r="CA77" s="84"/>
      <c r="CB77" s="84"/>
      <c r="CC77" s="84"/>
      <c r="CD77" s="84"/>
      <c r="CE77" s="84"/>
      <c r="CF77" s="84"/>
      <c r="CG77" s="84"/>
      <c r="CH77" s="84"/>
      <c r="CI77" s="84"/>
      <c r="CJ77" s="84"/>
      <c r="CK77" s="84"/>
      <c r="CL77" s="84"/>
      <c r="CM77" s="84"/>
      <c r="CN77" s="84"/>
      <c r="CO77" s="84"/>
      <c r="CP77" s="84"/>
      <c r="CQ77" s="84"/>
      <c r="CR77" s="84"/>
      <c r="CS77" s="84"/>
      <c r="CT77" s="84"/>
      <c r="CU77" s="84"/>
      <c r="CV77" s="84"/>
      <c r="CW77" s="84"/>
      <c r="CX77" s="84"/>
      <c r="CY77" s="84"/>
      <c r="CZ77" s="84"/>
      <c r="DA77" s="84"/>
      <c r="DB77" s="84"/>
      <c r="DC77" s="84"/>
      <c r="DD77" s="84"/>
      <c r="DE77" s="84"/>
      <c r="DF77" s="84"/>
      <c r="DG77" s="84"/>
      <c r="DH77" s="84"/>
      <c r="DI77" s="84"/>
      <c r="DJ77" s="84"/>
      <c r="DK77" s="84"/>
      <c r="DL77" s="84"/>
      <c r="DM77" s="84"/>
      <c r="DN77" s="84"/>
      <c r="DO77" s="84"/>
      <c r="DP77" s="84"/>
      <c r="DQ77" s="84"/>
      <c r="DR77" s="84"/>
      <c r="DS77" s="84"/>
      <c r="DT77" s="84"/>
      <c r="DU77" s="84"/>
      <c r="DV77" s="84"/>
      <c r="DW77" s="84"/>
      <c r="DX77" s="84"/>
      <c r="DY77" s="84"/>
      <c r="DZ77" s="84"/>
      <c r="EA77" s="84"/>
      <c r="EB77" s="84"/>
      <c r="EC77" s="84"/>
      <c r="ED77" s="84"/>
      <c r="EE77" s="84"/>
      <c r="EF77" s="84"/>
      <c r="EG77" s="84"/>
      <c r="EH77" s="84"/>
      <c r="EI77" s="84"/>
      <c r="EJ77" s="84"/>
      <c r="EK77" s="84"/>
      <c r="EL77" s="84"/>
      <c r="EM77" s="84"/>
      <c r="EN77" s="84"/>
      <c r="EO77" s="84"/>
      <c r="EP77" s="84"/>
      <c r="EQ77" s="84"/>
      <c r="ER77" s="84"/>
      <c r="ES77" s="84"/>
      <c r="ET77" s="84"/>
      <c r="EU77" s="84"/>
      <c r="EV77" s="84"/>
      <c r="EW77" s="84"/>
      <c r="EX77" s="84"/>
      <c r="EY77" s="84"/>
      <c r="EZ77" s="84"/>
      <c r="FA77" s="84"/>
      <c r="FB77" s="84"/>
      <c r="FC77" s="84"/>
      <c r="FD77" s="84"/>
      <c r="FE77" s="84"/>
      <c r="FF77" s="84"/>
      <c r="FG77" s="84"/>
      <c r="FH77" s="84"/>
      <c r="FI77" s="84"/>
      <c r="FJ77" s="84"/>
      <c r="FK77" s="84"/>
      <c r="FL77" s="84"/>
      <c r="FM77" s="84"/>
      <c r="FN77" s="84"/>
      <c r="FO77" s="84"/>
      <c r="FP77" s="84"/>
      <c r="FQ77" s="84"/>
      <c r="FR77" s="84"/>
      <c r="FS77" s="84"/>
      <c r="FT77" s="84"/>
      <c r="FU77" s="84"/>
      <c r="FV77" s="84"/>
      <c r="FW77" s="84"/>
      <c r="FX77" s="84"/>
      <c r="FY77" s="84"/>
      <c r="FZ77" s="84"/>
      <c r="GA77" s="84"/>
      <c r="GB77" s="84"/>
      <c r="GC77" s="84"/>
      <c r="GD77" s="84"/>
      <c r="GE77" s="84"/>
      <c r="GF77" s="84"/>
      <c r="GG77" s="84"/>
      <c r="GH77" s="84"/>
      <c r="GI77" s="84"/>
      <c r="GJ77" s="84"/>
      <c r="GK77" s="84"/>
      <c r="GL77" s="84"/>
      <c r="GM77" s="84"/>
      <c r="GN77" s="84"/>
      <c r="GO77" s="84"/>
      <c r="GP77" s="84"/>
      <c r="GQ77" s="84"/>
      <c r="GR77" s="84"/>
      <c r="GS77" s="84"/>
      <c r="GT77" s="84"/>
      <c r="GU77" s="84"/>
      <c r="GV77" s="84"/>
      <c r="GW77" s="84"/>
      <c r="GX77" s="84"/>
      <c r="GY77" s="84"/>
      <c r="GZ77" s="84"/>
      <c r="HA77" s="84"/>
      <c r="HB77" s="84"/>
      <c r="HC77" s="84"/>
      <c r="HD77" s="84"/>
      <c r="HE77" s="84"/>
      <c r="HF77" s="84"/>
      <c r="HG77" s="84"/>
      <c r="HH77" s="84"/>
      <c r="HI77" s="84"/>
      <c r="HJ77" s="84"/>
      <c r="HK77" s="84"/>
      <c r="HL77" s="84"/>
      <c r="HM77" s="84"/>
      <c r="HN77" s="84"/>
      <c r="HO77" s="84"/>
      <c r="HP77" s="84"/>
      <c r="HQ77" s="84"/>
      <c r="HR77" s="84"/>
      <c r="HS77" s="84"/>
      <c r="HT77" s="84"/>
      <c r="HU77" s="84"/>
      <c r="HV77" s="84"/>
      <c r="HW77" s="84"/>
      <c r="HX77" s="84"/>
      <c r="HY77" s="84"/>
      <c r="HZ77" s="84"/>
      <c r="IA77" s="84"/>
      <c r="IB77" s="84"/>
      <c r="IC77" s="84"/>
      <c r="ID77" s="84"/>
      <c r="IE77" s="84"/>
      <c r="IF77" s="84"/>
      <c r="IG77" s="84"/>
      <c r="IH77" s="84"/>
      <c r="II77" s="84"/>
      <c r="IJ77" s="84"/>
      <c r="IK77" s="84"/>
      <c r="IL77" s="84"/>
      <c r="IM77" s="84"/>
      <c r="IN77" s="84"/>
      <c r="IO77" s="84"/>
      <c r="IP77" s="84"/>
      <c r="IQ77" s="84"/>
      <c r="IR77" s="84"/>
      <c r="IS77" s="84"/>
      <c r="IT77" s="84"/>
      <c r="IU77" s="84"/>
      <c r="IV77" s="84"/>
    </row>
    <row r="78" spans="1:256" s="84" customFormat="1" x14ac:dyDescent="0.25">
      <c r="A78">
        <v>76</v>
      </c>
      <c r="B78" s="85" t="s">
        <v>1231</v>
      </c>
      <c r="C78" s="92" t="s">
        <v>117</v>
      </c>
      <c r="D78" s="92" t="s">
        <v>6</v>
      </c>
      <c r="E78" s="93">
        <v>97</v>
      </c>
      <c r="F78" s="92" t="s">
        <v>33</v>
      </c>
      <c r="G78" s="92"/>
      <c r="H78" s="92"/>
      <c r="I78" s="92"/>
      <c r="J78" s="91"/>
      <c r="K78" s="91"/>
      <c r="L78" s="91"/>
      <c r="M78" s="95">
        <v>40257</v>
      </c>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2"/>
      <c r="AR78" s="92"/>
      <c r="AS78" s="92"/>
      <c r="AT78" s="92"/>
      <c r="AU78" s="92"/>
      <c r="AV78" s="92"/>
      <c r="AW78" s="92"/>
      <c r="AX78" s="92"/>
      <c r="AY78" s="92"/>
      <c r="AZ78" s="92"/>
      <c r="BA78" s="92"/>
      <c r="BB78" s="92"/>
      <c r="BC78" s="92"/>
      <c r="BD78" s="92"/>
      <c r="BE78" s="92"/>
      <c r="BF78" s="92"/>
      <c r="BG78" s="92"/>
      <c r="BH78" s="92"/>
      <c r="BI78" s="92"/>
      <c r="BJ78" s="92"/>
      <c r="BK78" s="92"/>
      <c r="BL78" s="92"/>
      <c r="BM78" s="92"/>
      <c r="BN78" s="92"/>
      <c r="BO78" s="92"/>
      <c r="BP78" s="92"/>
      <c r="BQ78" s="92"/>
      <c r="BR78" s="92"/>
      <c r="BS78" s="92"/>
      <c r="BT78" s="92"/>
      <c r="BU78" s="92"/>
      <c r="BV78" s="92"/>
      <c r="BW78" s="92"/>
      <c r="BX78" s="92"/>
      <c r="BY78" s="92"/>
      <c r="BZ78" s="92"/>
      <c r="CA78" s="92"/>
      <c r="CB78" s="92"/>
      <c r="CC78" s="92"/>
      <c r="CD78" s="92"/>
      <c r="CE78" s="92"/>
      <c r="CF78" s="92"/>
      <c r="CG78" s="92"/>
      <c r="CH78" s="92"/>
      <c r="CI78" s="92"/>
      <c r="CJ78" s="92"/>
      <c r="CK78" s="92"/>
      <c r="CL78" s="92"/>
      <c r="CM78" s="92"/>
      <c r="CN78" s="92"/>
      <c r="CO78" s="92"/>
      <c r="CP78" s="92"/>
      <c r="CQ78" s="92"/>
      <c r="CR78" s="92"/>
      <c r="CS78" s="92"/>
      <c r="CT78" s="92"/>
      <c r="CU78" s="92"/>
      <c r="CV78" s="92"/>
      <c r="CW78" s="92"/>
      <c r="CX78" s="92"/>
      <c r="CY78" s="92"/>
      <c r="CZ78" s="92"/>
      <c r="DA78" s="92"/>
      <c r="DB78" s="92"/>
      <c r="DC78" s="92"/>
      <c r="DD78" s="92"/>
      <c r="DE78" s="92"/>
      <c r="DF78" s="92"/>
      <c r="DG78" s="92"/>
      <c r="DH78" s="92"/>
      <c r="DI78" s="92"/>
      <c r="DJ78" s="92"/>
      <c r="DK78" s="92"/>
      <c r="DL78" s="92"/>
      <c r="DM78" s="92"/>
      <c r="DN78" s="92"/>
      <c r="DO78" s="92"/>
      <c r="DP78" s="92"/>
      <c r="DQ78" s="92"/>
      <c r="DR78" s="92"/>
      <c r="DS78" s="92"/>
      <c r="DT78" s="92"/>
      <c r="DU78" s="92"/>
      <c r="DV78" s="92"/>
      <c r="DW78" s="92"/>
      <c r="DX78" s="92"/>
      <c r="DY78" s="92"/>
      <c r="DZ78" s="92"/>
      <c r="EA78" s="92"/>
      <c r="EB78" s="92"/>
      <c r="EC78" s="92"/>
      <c r="ED78" s="92"/>
      <c r="EE78" s="92"/>
      <c r="EF78" s="92"/>
      <c r="EG78" s="92"/>
      <c r="EH78" s="92"/>
      <c r="EI78" s="92"/>
      <c r="EJ78" s="92"/>
      <c r="EK78" s="92"/>
      <c r="EL78" s="92"/>
      <c r="EM78" s="92"/>
      <c r="EN78" s="92"/>
      <c r="EO78" s="92"/>
      <c r="EP78" s="92"/>
      <c r="EQ78" s="92"/>
      <c r="ER78" s="92"/>
      <c r="ES78" s="92"/>
      <c r="ET78" s="92"/>
      <c r="EU78" s="92"/>
      <c r="EV78" s="92"/>
      <c r="EW78" s="92"/>
      <c r="EX78" s="92"/>
      <c r="EY78" s="92"/>
      <c r="EZ78" s="92"/>
      <c r="FA78" s="92"/>
      <c r="FB78" s="92"/>
      <c r="FC78" s="92"/>
      <c r="FD78" s="92"/>
      <c r="FE78" s="92"/>
      <c r="FF78" s="92"/>
      <c r="FG78" s="92"/>
      <c r="FH78" s="92"/>
      <c r="FI78" s="92"/>
      <c r="FJ78" s="92"/>
      <c r="FK78" s="92"/>
      <c r="FL78" s="92"/>
      <c r="FM78" s="92"/>
      <c r="FN78" s="92"/>
      <c r="FO78" s="92"/>
      <c r="FP78" s="92"/>
      <c r="FQ78" s="92"/>
      <c r="FR78" s="92"/>
      <c r="FS78" s="92"/>
      <c r="FT78" s="92"/>
      <c r="FU78" s="92"/>
      <c r="FV78" s="92"/>
      <c r="FW78" s="92"/>
      <c r="FX78" s="92"/>
      <c r="FY78" s="92"/>
      <c r="FZ78" s="92"/>
      <c r="GA78" s="92"/>
      <c r="GB78" s="92"/>
      <c r="GC78" s="92"/>
      <c r="GD78" s="92"/>
      <c r="GE78" s="92"/>
      <c r="GF78" s="92"/>
      <c r="GG78" s="92"/>
      <c r="GH78" s="92"/>
      <c r="GI78" s="92"/>
      <c r="GJ78" s="92"/>
      <c r="GK78" s="92"/>
      <c r="GL78" s="92"/>
      <c r="GM78" s="92"/>
      <c r="GN78" s="92"/>
      <c r="GO78" s="92"/>
      <c r="GP78" s="92"/>
      <c r="GQ78" s="92"/>
      <c r="GR78" s="92"/>
      <c r="GS78" s="92"/>
      <c r="GT78" s="92"/>
      <c r="GU78" s="92"/>
      <c r="GV78" s="92"/>
      <c r="GW78" s="92"/>
      <c r="GX78" s="92"/>
      <c r="GY78" s="92"/>
      <c r="GZ78" s="92"/>
      <c r="HA78" s="92"/>
      <c r="HB78" s="92"/>
      <c r="HC78" s="92"/>
      <c r="HD78" s="92"/>
      <c r="HE78" s="92"/>
      <c r="HF78" s="92"/>
      <c r="HG78" s="92"/>
      <c r="HH78" s="92"/>
      <c r="HI78" s="92"/>
      <c r="HJ78" s="92"/>
      <c r="HK78" s="92"/>
      <c r="HL78" s="92"/>
      <c r="HM78" s="92"/>
      <c r="HN78" s="92"/>
      <c r="HO78" s="92"/>
      <c r="HP78" s="92"/>
      <c r="HQ78" s="92"/>
      <c r="HR78" s="92"/>
      <c r="HS78" s="92"/>
      <c r="HT78" s="92"/>
      <c r="HU78" s="92"/>
      <c r="HV78" s="92"/>
      <c r="HW78" s="92"/>
      <c r="HX78" s="92"/>
      <c r="HY78" s="92"/>
      <c r="HZ78" s="92"/>
      <c r="IA78" s="92"/>
      <c r="IB78" s="92"/>
      <c r="IC78" s="92"/>
      <c r="ID78" s="92"/>
      <c r="IE78" s="92"/>
      <c r="IF78" s="92"/>
      <c r="IG78" s="92"/>
      <c r="IH78" s="92"/>
      <c r="II78" s="92"/>
      <c r="IJ78" s="92"/>
      <c r="IK78" s="92"/>
      <c r="IL78" s="92"/>
      <c r="IM78" s="92"/>
      <c r="IN78" s="92"/>
      <c r="IO78" s="92"/>
      <c r="IP78" s="92"/>
      <c r="IQ78" s="92"/>
      <c r="IR78" s="92"/>
      <c r="IS78" s="92"/>
      <c r="IT78" s="92"/>
      <c r="IU78" s="92"/>
      <c r="IV78" s="92"/>
    </row>
    <row r="79" spans="1:256" s="92" customFormat="1" x14ac:dyDescent="0.25">
      <c r="A79">
        <v>77</v>
      </c>
      <c r="B79" s="85" t="s">
        <v>1232</v>
      </c>
      <c r="C79" s="92" t="s">
        <v>1233</v>
      </c>
      <c r="D79" s="92" t="s">
        <v>6</v>
      </c>
      <c r="E79" s="93">
        <v>226</v>
      </c>
      <c r="F79" s="92" t="s">
        <v>33</v>
      </c>
      <c r="J79" s="91"/>
      <c r="K79" s="91"/>
      <c r="L79" s="91"/>
      <c r="M79" s="95">
        <v>40257</v>
      </c>
    </row>
    <row r="80" spans="1:256" s="92" customFormat="1" x14ac:dyDescent="0.25">
      <c r="A80">
        <v>78</v>
      </c>
      <c r="B80" s="85" t="s">
        <v>119</v>
      </c>
      <c r="C80" s="92" t="s">
        <v>30</v>
      </c>
      <c r="D80" s="92" t="s">
        <v>6</v>
      </c>
      <c r="E80" s="97" t="s">
        <v>32</v>
      </c>
      <c r="F80" s="92" t="s">
        <v>33</v>
      </c>
      <c r="J80" s="91"/>
      <c r="K80" s="91"/>
      <c r="L80" s="91"/>
      <c r="M80" s="95">
        <v>39868</v>
      </c>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4"/>
      <c r="BG80" s="84"/>
      <c r="BH80" s="84"/>
      <c r="BI80" s="84"/>
      <c r="BJ80" s="84"/>
      <c r="BK80" s="84"/>
      <c r="BL80" s="84"/>
      <c r="BM80" s="84"/>
      <c r="BN80" s="84"/>
      <c r="BO80" s="84"/>
      <c r="BP80" s="84"/>
      <c r="BQ80" s="84"/>
      <c r="BR80" s="84"/>
      <c r="BS80" s="84"/>
      <c r="BT80" s="84"/>
      <c r="BU80" s="84"/>
      <c r="BV80" s="84"/>
      <c r="BW80" s="84"/>
      <c r="BX80" s="84"/>
      <c r="BY80" s="84"/>
      <c r="BZ80" s="84"/>
      <c r="CA80" s="84"/>
      <c r="CB80" s="84"/>
      <c r="CC80" s="84"/>
      <c r="CD80" s="84"/>
      <c r="CE80" s="84"/>
      <c r="CF80" s="84"/>
      <c r="CG80" s="84"/>
      <c r="CH80" s="84"/>
      <c r="CI80" s="84"/>
      <c r="CJ80" s="84"/>
      <c r="CK80" s="84"/>
      <c r="CL80" s="84"/>
      <c r="CM80" s="84"/>
      <c r="CN80" s="84"/>
      <c r="CO80" s="84"/>
      <c r="CP80" s="84"/>
      <c r="CQ80" s="84"/>
      <c r="CR80" s="84"/>
      <c r="CS80" s="84"/>
      <c r="CT80" s="84"/>
      <c r="CU80" s="84"/>
      <c r="CV80" s="84"/>
      <c r="CW80" s="84"/>
      <c r="CX80" s="84"/>
      <c r="CY80" s="84"/>
      <c r="CZ80" s="84"/>
      <c r="DA80" s="84"/>
      <c r="DB80" s="84"/>
      <c r="DC80" s="84"/>
      <c r="DD80" s="84"/>
      <c r="DE80" s="84"/>
      <c r="DF80" s="84"/>
      <c r="DG80" s="84"/>
      <c r="DH80" s="84"/>
      <c r="DI80" s="84"/>
      <c r="DJ80" s="84"/>
      <c r="DK80" s="84"/>
      <c r="DL80" s="84"/>
      <c r="DM80" s="84"/>
      <c r="DN80" s="84"/>
      <c r="DO80" s="84"/>
      <c r="DP80" s="84"/>
      <c r="DQ80" s="84"/>
      <c r="DR80" s="84"/>
      <c r="DS80" s="84"/>
      <c r="DT80" s="84"/>
      <c r="DU80" s="84"/>
      <c r="DV80" s="84"/>
      <c r="DW80" s="84"/>
      <c r="DX80" s="84"/>
      <c r="DY80" s="84"/>
      <c r="DZ80" s="84"/>
      <c r="EA80" s="84"/>
      <c r="EB80" s="84"/>
      <c r="EC80" s="84"/>
      <c r="ED80" s="84"/>
      <c r="EE80" s="84"/>
      <c r="EF80" s="84"/>
      <c r="EG80" s="84"/>
      <c r="EH80" s="84"/>
      <c r="EI80" s="84"/>
      <c r="EJ80" s="84"/>
      <c r="EK80" s="84"/>
      <c r="EL80" s="84"/>
      <c r="EM80" s="84"/>
      <c r="EN80" s="84"/>
      <c r="EO80" s="84"/>
      <c r="EP80" s="84"/>
      <c r="EQ80" s="84"/>
      <c r="ER80" s="84"/>
      <c r="ES80" s="84"/>
      <c r="ET80" s="84"/>
      <c r="EU80" s="84"/>
      <c r="EV80" s="84"/>
      <c r="EW80" s="84"/>
      <c r="EX80" s="84"/>
      <c r="EY80" s="84"/>
      <c r="EZ80" s="84"/>
      <c r="FA80" s="84"/>
      <c r="FB80" s="84"/>
      <c r="FC80" s="84"/>
      <c r="FD80" s="84"/>
      <c r="FE80" s="84"/>
      <c r="FF80" s="84"/>
      <c r="FG80" s="84"/>
      <c r="FH80" s="84"/>
      <c r="FI80" s="84"/>
      <c r="FJ80" s="84"/>
      <c r="FK80" s="84"/>
      <c r="FL80" s="84"/>
      <c r="FM80" s="84"/>
      <c r="FN80" s="84"/>
      <c r="FO80" s="84"/>
      <c r="FP80" s="84"/>
      <c r="FQ80" s="84"/>
      <c r="FR80" s="84"/>
      <c r="FS80" s="84"/>
      <c r="FT80" s="84"/>
      <c r="FU80" s="84"/>
      <c r="FV80" s="84"/>
      <c r="FW80" s="84"/>
      <c r="FX80" s="84"/>
      <c r="FY80" s="84"/>
      <c r="FZ80" s="84"/>
      <c r="GA80" s="84"/>
      <c r="GB80" s="84"/>
      <c r="GC80" s="84"/>
      <c r="GD80" s="84"/>
      <c r="GE80" s="84"/>
      <c r="GF80" s="84"/>
      <c r="GG80" s="84"/>
      <c r="GH80" s="84"/>
      <c r="GI80" s="84"/>
      <c r="GJ80" s="84"/>
      <c r="GK80" s="84"/>
      <c r="GL80" s="84"/>
      <c r="GM80" s="84"/>
      <c r="GN80" s="84"/>
      <c r="GO80" s="84"/>
      <c r="GP80" s="84"/>
      <c r="GQ80" s="84"/>
      <c r="GR80" s="84"/>
      <c r="GS80" s="84"/>
      <c r="GT80" s="84"/>
      <c r="GU80" s="84"/>
      <c r="GV80" s="84"/>
      <c r="GW80" s="84"/>
      <c r="GX80" s="84"/>
      <c r="GY80" s="84"/>
      <c r="GZ80" s="84"/>
      <c r="HA80" s="84"/>
      <c r="HB80" s="84"/>
      <c r="HC80" s="84"/>
      <c r="HD80" s="84"/>
      <c r="HE80" s="84"/>
      <c r="HF80" s="84"/>
      <c r="HG80" s="84"/>
      <c r="HH80" s="84"/>
      <c r="HI80" s="84"/>
      <c r="HJ80" s="84"/>
      <c r="HK80" s="84"/>
      <c r="HL80" s="84"/>
      <c r="HM80" s="84"/>
      <c r="HN80" s="84"/>
      <c r="HO80" s="84"/>
      <c r="HP80" s="84"/>
      <c r="HQ80" s="84"/>
      <c r="HR80" s="84"/>
      <c r="HS80" s="84"/>
      <c r="HT80" s="84"/>
      <c r="HU80" s="84"/>
      <c r="HV80" s="84"/>
      <c r="HW80" s="84"/>
      <c r="HX80" s="84"/>
      <c r="HY80" s="84"/>
      <c r="HZ80" s="84"/>
      <c r="IA80" s="84"/>
      <c r="IB80" s="84"/>
      <c r="IC80" s="84"/>
      <c r="ID80" s="84"/>
      <c r="IE80" s="84"/>
      <c r="IF80" s="84"/>
      <c r="IG80" s="84"/>
      <c r="IH80" s="84"/>
      <c r="II80" s="84"/>
      <c r="IJ80" s="84"/>
      <c r="IK80" s="84"/>
      <c r="IL80" s="84"/>
      <c r="IM80" s="84"/>
      <c r="IN80" s="84"/>
      <c r="IO80" s="84"/>
      <c r="IP80" s="84"/>
      <c r="IQ80" s="84"/>
      <c r="IR80" s="84"/>
      <c r="IS80" s="84"/>
      <c r="IT80" s="84"/>
      <c r="IU80" s="84"/>
      <c r="IV80" s="84"/>
    </row>
    <row r="81" spans="1:14" s="84" customFormat="1" x14ac:dyDescent="0.25">
      <c r="A81">
        <v>79</v>
      </c>
      <c r="B81" s="85" t="s">
        <v>120</v>
      </c>
      <c r="C81" s="98" t="s">
        <v>121</v>
      </c>
      <c r="D81" s="92" t="s">
        <v>6</v>
      </c>
      <c r="E81" s="99">
        <v>82</v>
      </c>
      <c r="F81" s="92" t="s">
        <v>33</v>
      </c>
      <c r="G81" s="92"/>
      <c r="H81" s="92"/>
      <c r="I81" s="92"/>
      <c r="J81" s="91"/>
      <c r="K81" s="91"/>
      <c r="L81" s="91"/>
      <c r="M81" s="95"/>
      <c r="N81" s="92"/>
    </row>
    <row r="82" spans="1:14" s="84" customFormat="1" x14ac:dyDescent="0.25">
      <c r="A82">
        <v>80</v>
      </c>
      <c r="B82" s="85" t="s">
        <v>122</v>
      </c>
      <c r="C82" s="98" t="s">
        <v>121</v>
      </c>
      <c r="D82" s="92" t="s">
        <v>6</v>
      </c>
      <c r="E82" s="99">
        <v>96</v>
      </c>
      <c r="F82" s="92" t="s">
        <v>33</v>
      </c>
      <c r="G82" s="92"/>
      <c r="H82" s="92"/>
      <c r="I82" s="92"/>
      <c r="J82" s="91"/>
      <c r="K82" s="91"/>
      <c r="L82" s="91"/>
      <c r="M82" s="95"/>
      <c r="N82" s="92"/>
    </row>
    <row r="83" spans="1:14" s="84" customFormat="1" x14ac:dyDescent="0.25">
      <c r="A83">
        <v>81</v>
      </c>
      <c r="B83" s="85" t="s">
        <v>123</v>
      </c>
      <c r="C83" s="98" t="s">
        <v>121</v>
      </c>
      <c r="D83" s="92" t="s">
        <v>6</v>
      </c>
      <c r="E83" s="99">
        <v>109</v>
      </c>
      <c r="F83" s="92" t="s">
        <v>33</v>
      </c>
      <c r="G83" s="92"/>
      <c r="H83" s="92"/>
      <c r="I83" s="92"/>
      <c r="J83" s="91"/>
      <c r="K83" s="91"/>
      <c r="L83" s="91"/>
      <c r="M83" s="95"/>
      <c r="N83" s="92"/>
    </row>
    <row r="84" spans="1:14" s="84" customFormat="1" x14ac:dyDescent="0.25">
      <c r="A84">
        <v>82</v>
      </c>
      <c r="B84" s="85" t="s">
        <v>124</v>
      </c>
      <c r="C84" s="98" t="s">
        <v>121</v>
      </c>
      <c r="D84" s="92" t="s">
        <v>6</v>
      </c>
      <c r="E84" s="99">
        <v>109</v>
      </c>
      <c r="F84" s="92" t="s">
        <v>33</v>
      </c>
      <c r="G84" s="92"/>
      <c r="H84" s="92"/>
      <c r="I84" s="92"/>
      <c r="J84" s="91"/>
      <c r="K84" s="91"/>
      <c r="L84" s="91"/>
      <c r="M84" s="95"/>
      <c r="N84" s="92"/>
    </row>
    <row r="85" spans="1:14" s="84" customFormat="1" x14ac:dyDescent="0.25">
      <c r="A85">
        <v>83</v>
      </c>
      <c r="B85" s="85" t="s">
        <v>125</v>
      </c>
      <c r="C85" s="85" t="s">
        <v>126</v>
      </c>
      <c r="D85" s="85" t="s">
        <v>6</v>
      </c>
      <c r="E85" s="94">
        <v>66</v>
      </c>
      <c r="F85" s="85" t="s">
        <v>33</v>
      </c>
      <c r="G85" s="85"/>
      <c r="H85" s="85"/>
      <c r="I85" s="85"/>
      <c r="J85" s="91"/>
      <c r="K85" s="91"/>
      <c r="L85" s="91"/>
      <c r="M85" s="87">
        <v>39873</v>
      </c>
      <c r="N85" s="92" t="s">
        <v>127</v>
      </c>
    </row>
    <row r="86" spans="1:14" s="84" customFormat="1" x14ac:dyDescent="0.25">
      <c r="A86">
        <v>84</v>
      </c>
      <c r="B86" s="85" t="s">
        <v>128</v>
      </c>
      <c r="C86" s="85" t="s">
        <v>129</v>
      </c>
      <c r="D86" s="85" t="s">
        <v>6</v>
      </c>
      <c r="E86" s="94">
        <v>600</v>
      </c>
      <c r="F86" s="85" t="s">
        <v>33</v>
      </c>
      <c r="G86" s="85"/>
      <c r="H86" s="85"/>
      <c r="I86" s="85"/>
      <c r="J86" s="91"/>
      <c r="K86" s="91"/>
      <c r="L86" s="91"/>
      <c r="M86" s="87">
        <v>39922</v>
      </c>
      <c r="N86" s="92"/>
    </row>
    <row r="87" spans="1:14" s="84" customFormat="1" x14ac:dyDescent="0.25">
      <c r="A87">
        <v>85</v>
      </c>
      <c r="B87" s="85" t="s">
        <v>130</v>
      </c>
      <c r="C87" s="85" t="s">
        <v>129</v>
      </c>
      <c r="D87" s="85" t="s">
        <v>6</v>
      </c>
      <c r="E87" s="94">
        <v>385</v>
      </c>
      <c r="F87" s="85" t="s">
        <v>33</v>
      </c>
      <c r="G87" s="85"/>
      <c r="H87" s="85"/>
      <c r="I87" s="85"/>
      <c r="J87" s="91"/>
      <c r="K87" s="91"/>
      <c r="L87" s="91"/>
      <c r="M87" s="87">
        <v>39922</v>
      </c>
      <c r="N87" s="92"/>
    </row>
    <row r="88" spans="1:14" s="84" customFormat="1" x14ac:dyDescent="0.25">
      <c r="A88">
        <v>86</v>
      </c>
      <c r="B88" s="85" t="s">
        <v>131</v>
      </c>
      <c r="C88" s="85" t="s">
        <v>129</v>
      </c>
      <c r="D88" s="85" t="s">
        <v>6</v>
      </c>
      <c r="E88" s="94">
        <v>225</v>
      </c>
      <c r="F88" s="85" t="s">
        <v>33</v>
      </c>
      <c r="G88" s="85"/>
      <c r="H88" s="85"/>
      <c r="I88" s="85"/>
      <c r="J88" s="91"/>
      <c r="K88" s="91"/>
      <c r="L88" s="91"/>
      <c r="M88" s="87">
        <v>39922</v>
      </c>
      <c r="N88" s="92"/>
    </row>
    <row r="89" spans="1:14" s="84" customFormat="1" x14ac:dyDescent="0.25">
      <c r="A89">
        <v>87</v>
      </c>
      <c r="B89" s="85" t="s">
        <v>132</v>
      </c>
      <c r="C89" s="85" t="s">
        <v>129</v>
      </c>
      <c r="D89" s="85" t="s">
        <v>6</v>
      </c>
      <c r="E89" s="94">
        <v>225</v>
      </c>
      <c r="F89" s="85" t="s">
        <v>33</v>
      </c>
      <c r="G89" s="85"/>
      <c r="H89" s="85"/>
      <c r="I89" s="85"/>
      <c r="J89" s="91"/>
      <c r="K89" s="91"/>
      <c r="L89" s="91"/>
      <c r="M89" s="87">
        <v>39922</v>
      </c>
      <c r="N89" s="92"/>
    </row>
    <row r="90" spans="1:14" s="84" customFormat="1" x14ac:dyDescent="0.25">
      <c r="A90">
        <v>88</v>
      </c>
      <c r="B90" s="85" t="s">
        <v>1234</v>
      </c>
      <c r="C90" s="85" t="s">
        <v>1235</v>
      </c>
      <c r="D90" s="85" t="s">
        <v>6</v>
      </c>
      <c r="E90" s="94">
        <v>207</v>
      </c>
      <c r="F90" s="85" t="s">
        <v>33</v>
      </c>
      <c r="G90" s="85"/>
      <c r="H90" s="85"/>
      <c r="I90" s="85"/>
      <c r="J90" s="91"/>
      <c r="K90" s="91"/>
      <c r="L90" s="91"/>
      <c r="M90" s="87">
        <v>40321</v>
      </c>
      <c r="N90" s="92" t="s">
        <v>1236</v>
      </c>
    </row>
    <row r="91" spans="1:14" s="84" customFormat="1" x14ac:dyDescent="0.25">
      <c r="A91">
        <v>89</v>
      </c>
      <c r="B91" s="85" t="s">
        <v>1237</v>
      </c>
      <c r="C91" s="85" t="s">
        <v>1235</v>
      </c>
      <c r="D91" s="85" t="s">
        <v>6</v>
      </c>
      <c r="E91" s="94">
        <v>257</v>
      </c>
      <c r="F91" s="85" t="s">
        <v>33</v>
      </c>
      <c r="G91" s="85"/>
      <c r="H91" s="85"/>
      <c r="I91" s="85"/>
      <c r="J91" s="91"/>
      <c r="K91" s="91"/>
      <c r="L91" s="91"/>
      <c r="M91" s="87">
        <v>40321</v>
      </c>
      <c r="N91" s="92" t="s">
        <v>1236</v>
      </c>
    </row>
    <row r="92" spans="1:14" s="84" customFormat="1" x14ac:dyDescent="0.25">
      <c r="A92">
        <v>90</v>
      </c>
      <c r="B92" s="85" t="s">
        <v>133</v>
      </c>
      <c r="C92" s="92" t="s">
        <v>64</v>
      </c>
      <c r="D92" s="85" t="s">
        <v>6</v>
      </c>
      <c r="E92" s="100">
        <v>0</v>
      </c>
      <c r="F92" s="92" t="s">
        <v>33</v>
      </c>
      <c r="G92" s="92"/>
      <c r="H92" s="92"/>
      <c r="I92" s="92"/>
      <c r="J92" s="91"/>
      <c r="K92" s="91"/>
      <c r="L92" s="91"/>
      <c r="M92" s="95"/>
      <c r="N92" s="92"/>
    </row>
    <row r="93" spans="1:14" s="84" customFormat="1" x14ac:dyDescent="0.25">
      <c r="A93">
        <v>91</v>
      </c>
      <c r="B93" s="85" t="s">
        <v>134</v>
      </c>
      <c r="C93" s="85" t="s">
        <v>135</v>
      </c>
      <c r="D93" s="85" t="s">
        <v>6</v>
      </c>
      <c r="E93" s="86">
        <v>75</v>
      </c>
      <c r="F93" s="85" t="s">
        <v>33</v>
      </c>
      <c r="G93" s="85"/>
      <c r="H93" s="85"/>
      <c r="I93" s="85"/>
      <c r="J93" s="91"/>
      <c r="K93" s="91"/>
      <c r="L93" s="91"/>
      <c r="M93" s="87">
        <v>39874</v>
      </c>
      <c r="N93" s="92"/>
    </row>
    <row r="94" spans="1:14" s="84" customFormat="1" x14ac:dyDescent="0.25">
      <c r="A94">
        <v>92</v>
      </c>
      <c r="B94" s="85" t="s">
        <v>136</v>
      </c>
      <c r="C94" s="92" t="s">
        <v>137</v>
      </c>
      <c r="D94" s="92" t="s">
        <v>6</v>
      </c>
      <c r="E94" s="93">
        <v>50</v>
      </c>
      <c r="F94" s="92" t="s">
        <v>33</v>
      </c>
      <c r="G94" s="92"/>
      <c r="H94" s="92"/>
      <c r="I94" s="92"/>
      <c r="J94" s="91"/>
      <c r="K94" s="91"/>
      <c r="L94" s="91"/>
      <c r="M94" s="95"/>
      <c r="N94" s="92"/>
    </row>
    <row r="95" spans="1:14" s="84" customFormat="1" x14ac:dyDescent="0.25">
      <c r="A95">
        <v>93</v>
      </c>
      <c r="B95" s="85" t="s">
        <v>138</v>
      </c>
      <c r="C95" s="92" t="s">
        <v>137</v>
      </c>
      <c r="D95" s="92" t="s">
        <v>6</v>
      </c>
      <c r="E95" s="93">
        <v>78</v>
      </c>
      <c r="F95" s="92" t="s">
        <v>33</v>
      </c>
      <c r="G95" s="92"/>
      <c r="H95" s="92"/>
      <c r="I95" s="92"/>
      <c r="J95" s="91"/>
      <c r="K95" s="91"/>
      <c r="L95" s="91"/>
      <c r="M95" s="95"/>
      <c r="N95" s="92"/>
    </row>
    <row r="96" spans="1:14" s="84" customFormat="1" x14ac:dyDescent="0.25">
      <c r="A96">
        <v>94</v>
      </c>
      <c r="B96" s="85" t="s">
        <v>139</v>
      </c>
      <c r="C96" s="92" t="s">
        <v>137</v>
      </c>
      <c r="D96" s="92" t="s">
        <v>6</v>
      </c>
      <c r="E96" s="93">
        <v>50</v>
      </c>
      <c r="F96" s="92" t="s">
        <v>33</v>
      </c>
      <c r="G96" s="92"/>
      <c r="H96" s="92"/>
      <c r="I96" s="92"/>
      <c r="J96" s="91"/>
      <c r="K96" s="91"/>
      <c r="L96" s="91"/>
      <c r="M96" s="95"/>
      <c r="N96" s="92"/>
    </row>
    <row r="97" spans="1:256" s="84" customFormat="1" x14ac:dyDescent="0.25">
      <c r="A97">
        <v>95</v>
      </c>
      <c r="B97" s="85" t="s">
        <v>140</v>
      </c>
      <c r="C97" s="92" t="s">
        <v>137</v>
      </c>
      <c r="D97" s="92" t="s">
        <v>6</v>
      </c>
      <c r="E97" s="93">
        <v>110</v>
      </c>
      <c r="F97" s="92" t="s">
        <v>33</v>
      </c>
      <c r="G97" s="92"/>
      <c r="H97" s="92"/>
      <c r="I97" s="92"/>
      <c r="J97" s="91"/>
      <c r="K97" s="91"/>
      <c r="L97" s="91"/>
      <c r="M97" s="95"/>
      <c r="N97" s="92"/>
    </row>
    <row r="98" spans="1:256" s="84" customFormat="1" x14ac:dyDescent="0.25">
      <c r="A98">
        <v>96</v>
      </c>
      <c r="B98" s="85" t="s">
        <v>1238</v>
      </c>
      <c r="C98" s="92" t="s">
        <v>137</v>
      </c>
      <c r="D98" s="92" t="s">
        <v>6</v>
      </c>
      <c r="E98" s="101">
        <v>53</v>
      </c>
      <c r="F98" s="92" t="s">
        <v>33</v>
      </c>
      <c r="G98" s="92"/>
      <c r="H98" s="92"/>
      <c r="I98" s="92"/>
      <c r="J98" s="91"/>
      <c r="K98" s="91"/>
      <c r="L98" s="91"/>
      <c r="M98" s="95">
        <v>40286</v>
      </c>
      <c r="N98" s="92"/>
    </row>
    <row r="99" spans="1:256" s="84" customFormat="1" x14ac:dyDescent="0.25">
      <c r="A99">
        <v>97</v>
      </c>
      <c r="B99" s="85" t="s">
        <v>141</v>
      </c>
      <c r="C99" s="92" t="s">
        <v>137</v>
      </c>
      <c r="D99" s="92" t="s">
        <v>6</v>
      </c>
      <c r="E99" s="93">
        <v>68</v>
      </c>
      <c r="F99" s="92" t="s">
        <v>33</v>
      </c>
      <c r="G99" s="92"/>
      <c r="H99" s="92"/>
      <c r="I99" s="92"/>
      <c r="J99" s="91"/>
      <c r="K99" s="91"/>
      <c r="L99" s="91"/>
      <c r="M99" s="95"/>
      <c r="N99" s="92"/>
    </row>
    <row r="100" spans="1:256" s="84" customFormat="1" x14ac:dyDescent="0.25">
      <c r="A100">
        <v>98</v>
      </c>
      <c r="B100" s="85" t="s">
        <v>142</v>
      </c>
      <c r="C100" s="92" t="s">
        <v>137</v>
      </c>
      <c r="D100" s="92" t="s">
        <v>6</v>
      </c>
      <c r="E100" s="93">
        <v>105</v>
      </c>
      <c r="F100" s="92" t="s">
        <v>33</v>
      </c>
      <c r="G100" s="92"/>
      <c r="H100" s="92"/>
      <c r="I100" s="92"/>
      <c r="J100" s="91"/>
      <c r="K100" s="91"/>
      <c r="L100" s="91"/>
      <c r="M100" s="95"/>
      <c r="N100" s="92"/>
    </row>
    <row r="101" spans="1:256" s="84" customFormat="1" x14ac:dyDescent="0.25">
      <c r="A101">
        <v>99</v>
      </c>
      <c r="B101" s="85" t="s">
        <v>143</v>
      </c>
      <c r="C101" s="92" t="s">
        <v>137</v>
      </c>
      <c r="D101" s="92" t="s">
        <v>6</v>
      </c>
      <c r="E101" s="93">
        <v>98</v>
      </c>
      <c r="F101" s="92" t="s">
        <v>33</v>
      </c>
      <c r="G101" s="92"/>
      <c r="H101" s="92"/>
      <c r="I101" s="92"/>
      <c r="J101" s="91"/>
      <c r="K101" s="91"/>
      <c r="L101" s="91"/>
      <c r="M101" s="95"/>
      <c r="N101" s="92"/>
    </row>
    <row r="102" spans="1:256" s="84" customFormat="1" x14ac:dyDescent="0.25">
      <c r="A102">
        <v>100</v>
      </c>
      <c r="B102" s="85" t="s">
        <v>144</v>
      </c>
      <c r="C102" s="92" t="s">
        <v>137</v>
      </c>
      <c r="D102" s="92" t="s">
        <v>6</v>
      </c>
      <c r="E102" s="93">
        <v>58</v>
      </c>
      <c r="F102" s="92" t="s">
        <v>33</v>
      </c>
      <c r="G102" s="92"/>
      <c r="H102" s="92"/>
      <c r="I102" s="92"/>
      <c r="J102" s="91"/>
      <c r="K102" s="91"/>
      <c r="L102" s="91"/>
      <c r="M102" s="95"/>
      <c r="N102" s="92"/>
    </row>
    <row r="103" spans="1:256" s="84" customFormat="1" x14ac:dyDescent="0.25">
      <c r="A103">
        <v>101</v>
      </c>
      <c r="B103" s="85" t="s">
        <v>145</v>
      </c>
      <c r="C103" s="92" t="s">
        <v>137</v>
      </c>
      <c r="D103" s="92" t="s">
        <v>6</v>
      </c>
      <c r="E103" s="93">
        <v>70</v>
      </c>
      <c r="F103" s="92" t="s">
        <v>33</v>
      </c>
      <c r="G103" s="92"/>
      <c r="H103" s="92"/>
      <c r="I103" s="92"/>
      <c r="J103" s="91"/>
      <c r="K103" s="91"/>
      <c r="L103" s="91"/>
      <c r="M103" s="95"/>
      <c r="N103" s="92"/>
    </row>
    <row r="104" spans="1:256" s="84" customFormat="1" x14ac:dyDescent="0.25">
      <c r="A104">
        <v>102</v>
      </c>
      <c r="B104" s="85" t="s">
        <v>146</v>
      </c>
      <c r="C104" s="92" t="s">
        <v>137</v>
      </c>
      <c r="D104" s="92" t="s">
        <v>6</v>
      </c>
      <c r="E104" s="93">
        <v>46</v>
      </c>
      <c r="F104" s="92" t="s">
        <v>33</v>
      </c>
      <c r="G104" s="92"/>
      <c r="H104" s="85"/>
      <c r="I104" s="85"/>
      <c r="J104" s="91"/>
      <c r="K104" s="91"/>
      <c r="L104" s="91"/>
      <c r="M104" s="87"/>
      <c r="N104" s="92"/>
    </row>
    <row r="105" spans="1:256" s="84" customFormat="1" x14ac:dyDescent="0.25">
      <c r="A105">
        <v>103</v>
      </c>
      <c r="B105" s="85" t="s">
        <v>1239</v>
      </c>
      <c r="C105" s="92" t="s">
        <v>1240</v>
      </c>
      <c r="D105" s="92" t="s">
        <v>6</v>
      </c>
      <c r="E105" s="93">
        <v>91</v>
      </c>
      <c r="F105" s="92" t="s">
        <v>33</v>
      </c>
      <c r="G105" s="92"/>
      <c r="H105" s="85"/>
      <c r="I105" s="85"/>
      <c r="J105" s="91"/>
      <c r="K105" s="91"/>
      <c r="L105" s="91"/>
      <c r="M105" s="87">
        <v>40257</v>
      </c>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2"/>
      <c r="AR105" s="92"/>
      <c r="AS105" s="92"/>
      <c r="AT105" s="92"/>
      <c r="AU105" s="92"/>
      <c r="AV105" s="92"/>
      <c r="AW105" s="92"/>
      <c r="AX105" s="92"/>
      <c r="AY105" s="92"/>
      <c r="AZ105" s="92"/>
      <c r="BA105" s="92"/>
      <c r="BB105" s="92"/>
      <c r="BC105" s="92"/>
      <c r="BD105" s="92"/>
      <c r="BE105" s="92"/>
      <c r="BF105" s="92"/>
      <c r="BG105" s="92"/>
      <c r="BH105" s="92"/>
      <c r="BI105" s="92"/>
      <c r="BJ105" s="92"/>
      <c r="BK105" s="92"/>
      <c r="BL105" s="92"/>
      <c r="BM105" s="92"/>
      <c r="BN105" s="92"/>
      <c r="BO105" s="92"/>
      <c r="BP105" s="92"/>
      <c r="BQ105" s="92"/>
      <c r="BR105" s="92"/>
      <c r="BS105" s="92"/>
      <c r="BT105" s="92"/>
      <c r="BU105" s="92"/>
      <c r="BV105" s="92"/>
      <c r="BW105" s="92"/>
      <c r="BX105" s="92"/>
      <c r="BY105" s="92"/>
      <c r="BZ105" s="92"/>
      <c r="CA105" s="92"/>
      <c r="CB105" s="92"/>
      <c r="CC105" s="92"/>
      <c r="CD105" s="92"/>
      <c r="CE105" s="92"/>
      <c r="CF105" s="92"/>
      <c r="CG105" s="92"/>
      <c r="CH105" s="92"/>
      <c r="CI105" s="92"/>
      <c r="CJ105" s="92"/>
      <c r="CK105" s="92"/>
      <c r="CL105" s="92"/>
      <c r="CM105" s="92"/>
      <c r="CN105" s="92"/>
      <c r="CO105" s="92"/>
      <c r="CP105" s="92"/>
      <c r="CQ105" s="92"/>
      <c r="CR105" s="92"/>
      <c r="CS105" s="92"/>
      <c r="CT105" s="92"/>
      <c r="CU105" s="92"/>
      <c r="CV105" s="92"/>
      <c r="CW105" s="92"/>
      <c r="CX105" s="92"/>
      <c r="CY105" s="92"/>
      <c r="CZ105" s="92"/>
      <c r="DA105" s="92"/>
      <c r="DB105" s="92"/>
      <c r="DC105" s="92"/>
      <c r="DD105" s="92"/>
      <c r="DE105" s="92"/>
      <c r="DF105" s="92"/>
      <c r="DG105" s="92"/>
      <c r="DH105" s="92"/>
      <c r="DI105" s="92"/>
      <c r="DJ105" s="92"/>
      <c r="DK105" s="92"/>
      <c r="DL105" s="92"/>
      <c r="DM105" s="92"/>
      <c r="DN105" s="92"/>
      <c r="DO105" s="92"/>
      <c r="DP105" s="92"/>
      <c r="DQ105" s="92"/>
      <c r="DR105" s="92"/>
      <c r="DS105" s="92"/>
      <c r="DT105" s="92"/>
      <c r="DU105" s="92"/>
      <c r="DV105" s="92"/>
      <c r="DW105" s="92"/>
      <c r="DX105" s="92"/>
      <c r="DY105" s="92"/>
      <c r="DZ105" s="92"/>
      <c r="EA105" s="92"/>
      <c r="EB105" s="92"/>
      <c r="EC105" s="92"/>
      <c r="ED105" s="92"/>
      <c r="EE105" s="92"/>
      <c r="EF105" s="92"/>
      <c r="EG105" s="92"/>
      <c r="EH105" s="92"/>
      <c r="EI105" s="92"/>
      <c r="EJ105" s="92"/>
      <c r="EK105" s="92"/>
      <c r="EL105" s="92"/>
      <c r="EM105" s="92"/>
      <c r="EN105" s="92"/>
      <c r="EO105" s="92"/>
      <c r="EP105" s="92"/>
      <c r="EQ105" s="92"/>
      <c r="ER105" s="92"/>
      <c r="ES105" s="92"/>
      <c r="ET105" s="92"/>
      <c r="EU105" s="92"/>
      <c r="EV105" s="92"/>
      <c r="EW105" s="92"/>
      <c r="EX105" s="92"/>
      <c r="EY105" s="92"/>
      <c r="EZ105" s="92"/>
      <c r="FA105" s="92"/>
      <c r="FB105" s="92"/>
      <c r="FC105" s="92"/>
      <c r="FD105" s="92"/>
      <c r="FE105" s="92"/>
      <c r="FF105" s="92"/>
      <c r="FG105" s="92"/>
      <c r="FH105" s="92"/>
      <c r="FI105" s="92"/>
      <c r="FJ105" s="92"/>
      <c r="FK105" s="92"/>
      <c r="FL105" s="92"/>
      <c r="FM105" s="92"/>
      <c r="FN105" s="92"/>
      <c r="FO105" s="92"/>
      <c r="FP105" s="92"/>
      <c r="FQ105" s="92"/>
      <c r="FR105" s="92"/>
      <c r="FS105" s="92"/>
      <c r="FT105" s="92"/>
      <c r="FU105" s="92"/>
      <c r="FV105" s="92"/>
      <c r="FW105" s="92"/>
      <c r="FX105" s="92"/>
      <c r="FY105" s="92"/>
      <c r="FZ105" s="92"/>
      <c r="GA105" s="92"/>
      <c r="GB105" s="92"/>
      <c r="GC105" s="92"/>
      <c r="GD105" s="92"/>
      <c r="GE105" s="92"/>
      <c r="GF105" s="92"/>
      <c r="GG105" s="92"/>
      <c r="GH105" s="92"/>
      <c r="GI105" s="92"/>
      <c r="GJ105" s="92"/>
      <c r="GK105" s="92"/>
      <c r="GL105" s="92"/>
      <c r="GM105" s="92"/>
      <c r="GN105" s="92"/>
      <c r="GO105" s="92"/>
      <c r="GP105" s="92"/>
      <c r="GQ105" s="92"/>
      <c r="GR105" s="92"/>
      <c r="GS105" s="92"/>
      <c r="GT105" s="92"/>
      <c r="GU105" s="92"/>
      <c r="GV105" s="92"/>
      <c r="GW105" s="92"/>
      <c r="GX105" s="92"/>
      <c r="GY105" s="92"/>
      <c r="GZ105" s="92"/>
      <c r="HA105" s="92"/>
      <c r="HB105" s="92"/>
      <c r="HC105" s="92"/>
      <c r="HD105" s="92"/>
      <c r="HE105" s="92"/>
      <c r="HF105" s="92"/>
      <c r="HG105" s="92"/>
      <c r="HH105" s="92"/>
      <c r="HI105" s="92"/>
      <c r="HJ105" s="92"/>
      <c r="HK105" s="92"/>
      <c r="HL105" s="92"/>
      <c r="HM105" s="92"/>
      <c r="HN105" s="92"/>
      <c r="HO105" s="92"/>
      <c r="HP105" s="92"/>
      <c r="HQ105" s="92"/>
      <c r="HR105" s="92"/>
      <c r="HS105" s="92"/>
      <c r="HT105" s="92"/>
      <c r="HU105" s="92"/>
      <c r="HV105" s="92"/>
      <c r="HW105" s="92"/>
      <c r="HX105" s="92"/>
      <c r="HY105" s="92"/>
      <c r="HZ105" s="92"/>
      <c r="IA105" s="92"/>
      <c r="IB105" s="92"/>
      <c r="IC105" s="92"/>
      <c r="ID105" s="92"/>
      <c r="IE105" s="92"/>
      <c r="IF105" s="92"/>
      <c r="IG105" s="92"/>
      <c r="IH105" s="92"/>
      <c r="II105" s="92"/>
      <c r="IJ105" s="92"/>
      <c r="IK105" s="92"/>
      <c r="IL105" s="92"/>
      <c r="IM105" s="92"/>
      <c r="IN105" s="92"/>
      <c r="IO105" s="92"/>
      <c r="IP105" s="92"/>
      <c r="IQ105" s="92"/>
      <c r="IR105" s="92"/>
      <c r="IS105" s="92"/>
      <c r="IT105" s="92"/>
      <c r="IU105" s="92"/>
      <c r="IV105" s="92"/>
    </row>
    <row r="106" spans="1:256" s="92" customFormat="1" x14ac:dyDescent="0.25">
      <c r="A106">
        <v>104</v>
      </c>
      <c r="B106" s="85" t="s">
        <v>147</v>
      </c>
      <c r="C106" s="85" t="s">
        <v>30</v>
      </c>
      <c r="D106" s="85" t="s">
        <v>6</v>
      </c>
      <c r="E106" s="94">
        <v>0</v>
      </c>
      <c r="F106" s="85" t="s">
        <v>33</v>
      </c>
      <c r="G106" s="85"/>
      <c r="H106" s="85"/>
      <c r="I106" s="85"/>
      <c r="J106" s="91"/>
      <c r="K106" s="91"/>
      <c r="L106" s="91"/>
      <c r="M106" s="87"/>
      <c r="O106" s="84"/>
      <c r="P106" s="84"/>
      <c r="Q106" s="84"/>
      <c r="R106" s="84"/>
      <c r="S106" s="84"/>
      <c r="T106" s="84"/>
      <c r="U106" s="84"/>
      <c r="V106" s="84"/>
      <c r="W106" s="84"/>
      <c r="X106" s="84"/>
      <c r="Y106" s="84"/>
      <c r="Z106" s="84"/>
      <c r="AA106" s="84"/>
      <c r="AB106" s="84"/>
      <c r="AC106" s="84"/>
      <c r="AD106" s="84"/>
      <c r="AE106" s="84"/>
      <c r="AF106" s="84"/>
      <c r="AG106" s="84"/>
      <c r="AH106" s="84"/>
      <c r="AI106" s="84"/>
      <c r="AJ106" s="84"/>
      <c r="AK106" s="84"/>
      <c r="AL106" s="84"/>
      <c r="AM106" s="84"/>
      <c r="AN106" s="84"/>
      <c r="AO106" s="84"/>
      <c r="AP106" s="84"/>
      <c r="AQ106" s="84"/>
      <c r="AR106" s="84"/>
      <c r="AS106" s="84"/>
      <c r="AT106" s="84"/>
      <c r="AU106" s="84"/>
      <c r="AV106" s="84"/>
      <c r="AW106" s="84"/>
      <c r="AX106" s="84"/>
      <c r="AY106" s="84"/>
      <c r="AZ106" s="84"/>
      <c r="BA106" s="84"/>
      <c r="BB106" s="84"/>
      <c r="BC106" s="84"/>
      <c r="BD106" s="84"/>
      <c r="BE106" s="84"/>
      <c r="BF106" s="84"/>
      <c r="BG106" s="84"/>
      <c r="BH106" s="84"/>
      <c r="BI106" s="84"/>
      <c r="BJ106" s="84"/>
      <c r="BK106" s="84"/>
      <c r="BL106" s="84"/>
      <c r="BM106" s="84"/>
      <c r="BN106" s="84"/>
      <c r="BO106" s="84"/>
      <c r="BP106" s="84"/>
      <c r="BQ106" s="84"/>
      <c r="BR106" s="84"/>
      <c r="BS106" s="84"/>
      <c r="BT106" s="84"/>
      <c r="BU106" s="84"/>
      <c r="BV106" s="84"/>
      <c r="BW106" s="84"/>
      <c r="BX106" s="84"/>
      <c r="BY106" s="84"/>
      <c r="BZ106" s="84"/>
      <c r="CA106" s="84"/>
      <c r="CB106" s="84"/>
      <c r="CC106" s="84"/>
      <c r="CD106" s="84"/>
      <c r="CE106" s="84"/>
      <c r="CF106" s="84"/>
      <c r="CG106" s="84"/>
      <c r="CH106" s="84"/>
      <c r="CI106" s="84"/>
      <c r="CJ106" s="84"/>
      <c r="CK106" s="84"/>
      <c r="CL106" s="84"/>
      <c r="CM106" s="84"/>
      <c r="CN106" s="84"/>
      <c r="CO106" s="84"/>
      <c r="CP106" s="84"/>
      <c r="CQ106" s="84"/>
      <c r="CR106" s="84"/>
      <c r="CS106" s="84"/>
      <c r="CT106" s="84"/>
      <c r="CU106" s="84"/>
      <c r="CV106" s="84"/>
      <c r="CW106" s="84"/>
      <c r="CX106" s="84"/>
      <c r="CY106" s="84"/>
      <c r="CZ106" s="84"/>
      <c r="DA106" s="84"/>
      <c r="DB106" s="84"/>
      <c r="DC106" s="84"/>
      <c r="DD106" s="84"/>
      <c r="DE106" s="84"/>
      <c r="DF106" s="84"/>
      <c r="DG106" s="84"/>
      <c r="DH106" s="84"/>
      <c r="DI106" s="84"/>
      <c r="DJ106" s="84"/>
      <c r="DK106" s="84"/>
      <c r="DL106" s="84"/>
      <c r="DM106" s="84"/>
      <c r="DN106" s="84"/>
      <c r="DO106" s="84"/>
      <c r="DP106" s="84"/>
      <c r="DQ106" s="84"/>
      <c r="DR106" s="84"/>
      <c r="DS106" s="84"/>
      <c r="DT106" s="84"/>
      <c r="DU106" s="84"/>
      <c r="DV106" s="84"/>
      <c r="DW106" s="84"/>
      <c r="DX106" s="84"/>
      <c r="DY106" s="84"/>
      <c r="DZ106" s="84"/>
      <c r="EA106" s="84"/>
      <c r="EB106" s="84"/>
      <c r="EC106" s="84"/>
      <c r="ED106" s="84"/>
      <c r="EE106" s="84"/>
      <c r="EF106" s="84"/>
      <c r="EG106" s="84"/>
      <c r="EH106" s="84"/>
      <c r="EI106" s="84"/>
      <c r="EJ106" s="84"/>
      <c r="EK106" s="84"/>
      <c r="EL106" s="84"/>
      <c r="EM106" s="84"/>
      <c r="EN106" s="84"/>
      <c r="EO106" s="84"/>
      <c r="EP106" s="84"/>
      <c r="EQ106" s="84"/>
      <c r="ER106" s="84"/>
      <c r="ES106" s="84"/>
      <c r="ET106" s="84"/>
      <c r="EU106" s="84"/>
      <c r="EV106" s="84"/>
      <c r="EW106" s="84"/>
      <c r="EX106" s="84"/>
      <c r="EY106" s="84"/>
      <c r="EZ106" s="84"/>
      <c r="FA106" s="84"/>
      <c r="FB106" s="84"/>
      <c r="FC106" s="84"/>
      <c r="FD106" s="84"/>
      <c r="FE106" s="84"/>
      <c r="FF106" s="84"/>
      <c r="FG106" s="84"/>
      <c r="FH106" s="84"/>
      <c r="FI106" s="84"/>
      <c r="FJ106" s="84"/>
      <c r="FK106" s="84"/>
      <c r="FL106" s="84"/>
      <c r="FM106" s="84"/>
      <c r="FN106" s="84"/>
      <c r="FO106" s="84"/>
      <c r="FP106" s="84"/>
      <c r="FQ106" s="84"/>
      <c r="FR106" s="84"/>
      <c r="FS106" s="84"/>
      <c r="FT106" s="84"/>
      <c r="FU106" s="84"/>
      <c r="FV106" s="84"/>
      <c r="FW106" s="84"/>
      <c r="FX106" s="84"/>
      <c r="FY106" s="84"/>
      <c r="FZ106" s="84"/>
      <c r="GA106" s="84"/>
      <c r="GB106" s="84"/>
      <c r="GC106" s="84"/>
      <c r="GD106" s="84"/>
      <c r="GE106" s="84"/>
      <c r="GF106" s="84"/>
      <c r="GG106" s="84"/>
      <c r="GH106" s="84"/>
      <c r="GI106" s="84"/>
      <c r="GJ106" s="84"/>
      <c r="GK106" s="84"/>
      <c r="GL106" s="84"/>
      <c r="GM106" s="84"/>
      <c r="GN106" s="84"/>
      <c r="GO106" s="84"/>
      <c r="GP106" s="84"/>
      <c r="GQ106" s="84"/>
      <c r="GR106" s="84"/>
      <c r="GS106" s="84"/>
      <c r="GT106" s="84"/>
      <c r="GU106" s="84"/>
      <c r="GV106" s="84"/>
      <c r="GW106" s="84"/>
      <c r="GX106" s="84"/>
      <c r="GY106" s="84"/>
      <c r="GZ106" s="84"/>
      <c r="HA106" s="84"/>
      <c r="HB106" s="84"/>
      <c r="HC106" s="84"/>
      <c r="HD106" s="84"/>
      <c r="HE106" s="84"/>
      <c r="HF106" s="84"/>
      <c r="HG106" s="84"/>
      <c r="HH106" s="84"/>
      <c r="HI106" s="84"/>
      <c r="HJ106" s="84"/>
      <c r="HK106" s="84"/>
      <c r="HL106" s="84"/>
      <c r="HM106" s="84"/>
      <c r="HN106" s="84"/>
      <c r="HO106" s="84"/>
      <c r="HP106" s="84"/>
      <c r="HQ106" s="84"/>
      <c r="HR106" s="84"/>
      <c r="HS106" s="84"/>
      <c r="HT106" s="84"/>
      <c r="HU106" s="84"/>
      <c r="HV106" s="84"/>
      <c r="HW106" s="84"/>
      <c r="HX106" s="84"/>
      <c r="HY106" s="84"/>
      <c r="HZ106" s="84"/>
      <c r="IA106" s="84"/>
      <c r="IB106" s="84"/>
      <c r="IC106" s="84"/>
      <c r="ID106" s="84"/>
      <c r="IE106" s="84"/>
      <c r="IF106" s="84"/>
      <c r="IG106" s="84"/>
      <c r="IH106" s="84"/>
      <c r="II106" s="84"/>
      <c r="IJ106" s="84"/>
      <c r="IK106" s="84"/>
      <c r="IL106" s="84"/>
      <c r="IM106" s="84"/>
      <c r="IN106" s="84"/>
      <c r="IO106" s="84"/>
      <c r="IP106" s="84"/>
      <c r="IQ106" s="84"/>
      <c r="IR106" s="84"/>
      <c r="IS106" s="84"/>
      <c r="IT106" s="84"/>
      <c r="IU106" s="84"/>
      <c r="IV106" s="84"/>
    </row>
    <row r="107" spans="1:256" s="84" customFormat="1" x14ac:dyDescent="0.25">
      <c r="A107">
        <v>105</v>
      </c>
      <c r="B107" s="85" t="s">
        <v>148</v>
      </c>
      <c r="C107" s="92" t="s">
        <v>30</v>
      </c>
      <c r="D107" s="92" t="s">
        <v>6</v>
      </c>
      <c r="E107" s="86">
        <v>8</v>
      </c>
      <c r="F107" s="92" t="s">
        <v>33</v>
      </c>
      <c r="G107" s="92"/>
      <c r="H107" s="92"/>
      <c r="I107" s="92"/>
      <c r="J107" s="91"/>
      <c r="K107" s="91"/>
      <c r="L107" s="91"/>
      <c r="M107" s="95">
        <v>39880</v>
      </c>
      <c r="N107" s="92"/>
    </row>
    <row r="108" spans="1:256" s="84" customFormat="1" x14ac:dyDescent="0.25">
      <c r="A108">
        <v>106</v>
      </c>
      <c r="B108" s="85" t="s">
        <v>149</v>
      </c>
      <c r="C108" s="92" t="s">
        <v>30</v>
      </c>
      <c r="D108" s="92" t="s">
        <v>6</v>
      </c>
      <c r="E108" s="102">
        <v>4.0000000000000002E-4</v>
      </c>
      <c r="F108" s="92" t="s">
        <v>150</v>
      </c>
      <c r="G108" s="92"/>
      <c r="H108" s="92"/>
      <c r="I108" s="92"/>
      <c r="J108" s="91"/>
      <c r="K108" s="91"/>
      <c r="L108" s="91"/>
      <c r="M108" s="95"/>
      <c r="N108" s="92" t="s">
        <v>151</v>
      </c>
    </row>
    <row r="109" spans="1:256" s="84" customFormat="1" x14ac:dyDescent="0.25">
      <c r="A109">
        <v>107</v>
      </c>
      <c r="B109" s="85" t="s">
        <v>152</v>
      </c>
      <c r="C109" s="92" t="s">
        <v>30</v>
      </c>
      <c r="D109" s="92" t="s">
        <v>6</v>
      </c>
      <c r="E109" s="102">
        <v>1.1999999999999999E-3</v>
      </c>
      <c r="F109" s="92" t="s">
        <v>150</v>
      </c>
      <c r="G109" s="92"/>
      <c r="H109" s="92"/>
      <c r="I109" s="92"/>
      <c r="J109" s="91"/>
      <c r="K109" s="91"/>
      <c r="L109" s="91"/>
      <c r="M109" s="95"/>
      <c r="N109" s="92" t="s">
        <v>153</v>
      </c>
    </row>
    <row r="110" spans="1:256" s="84" customFormat="1" x14ac:dyDescent="0.25">
      <c r="A110">
        <v>108</v>
      </c>
      <c r="B110" s="85" t="s">
        <v>154</v>
      </c>
      <c r="C110" s="92" t="s">
        <v>30</v>
      </c>
      <c r="D110" s="92" t="s">
        <v>6</v>
      </c>
      <c r="E110" s="102">
        <v>2.0000000000000001E-4</v>
      </c>
      <c r="F110" s="92" t="s">
        <v>150</v>
      </c>
      <c r="G110" s="92"/>
      <c r="H110" s="92"/>
      <c r="I110" s="92"/>
      <c r="J110" s="91"/>
      <c r="K110" s="91"/>
      <c r="L110" s="91"/>
      <c r="M110" s="95"/>
      <c r="N110" s="92" t="s">
        <v>155</v>
      </c>
    </row>
    <row r="111" spans="1:256" s="84" customFormat="1" x14ac:dyDescent="0.25">
      <c r="A111">
        <v>109</v>
      </c>
      <c r="B111" s="85" t="s">
        <v>156</v>
      </c>
      <c r="C111" s="92" t="s">
        <v>30</v>
      </c>
      <c r="D111" s="92" t="s">
        <v>6</v>
      </c>
      <c r="E111" s="94">
        <v>0</v>
      </c>
      <c r="F111" s="92" t="s">
        <v>33</v>
      </c>
      <c r="G111" s="92"/>
      <c r="H111" s="92"/>
      <c r="I111" s="92"/>
      <c r="J111" s="91"/>
      <c r="K111" s="91"/>
      <c r="L111" s="91"/>
      <c r="M111" s="95"/>
      <c r="N111" s="92" t="s">
        <v>157</v>
      </c>
    </row>
    <row r="112" spans="1:256" s="84" customFormat="1" x14ac:dyDescent="0.25">
      <c r="A112">
        <v>110</v>
      </c>
      <c r="B112" s="85" t="s">
        <v>158</v>
      </c>
      <c r="C112" s="85"/>
      <c r="D112" s="85" t="s">
        <v>6</v>
      </c>
      <c r="E112" s="94">
        <v>43</v>
      </c>
      <c r="F112" s="85" t="s">
        <v>33</v>
      </c>
      <c r="G112" s="85"/>
      <c r="H112" s="85"/>
      <c r="I112" s="85"/>
      <c r="J112" s="91"/>
      <c r="K112" s="91"/>
      <c r="L112" s="91"/>
      <c r="M112" s="87">
        <v>39873</v>
      </c>
      <c r="N112" s="92"/>
    </row>
    <row r="113" spans="1:14" s="84" customFormat="1" x14ac:dyDescent="0.25">
      <c r="A113">
        <v>111</v>
      </c>
      <c r="B113" s="85" t="s">
        <v>159</v>
      </c>
      <c r="C113" s="92" t="s">
        <v>84</v>
      </c>
      <c r="D113" s="92" t="s">
        <v>6</v>
      </c>
      <c r="E113" s="93">
        <v>81.5</v>
      </c>
      <c r="F113" s="92" t="s">
        <v>33</v>
      </c>
      <c r="G113" s="92"/>
      <c r="H113" s="92"/>
      <c r="I113" s="92"/>
      <c r="J113" s="91"/>
      <c r="K113" s="91"/>
      <c r="L113" s="91"/>
      <c r="M113" s="95"/>
      <c r="N113" s="92"/>
    </row>
    <row r="114" spans="1:14" s="84" customFormat="1" x14ac:dyDescent="0.25">
      <c r="A114">
        <v>112</v>
      </c>
      <c r="B114" s="85" t="s">
        <v>160</v>
      </c>
      <c r="C114" s="92" t="s">
        <v>84</v>
      </c>
      <c r="D114" s="92" t="s">
        <v>6</v>
      </c>
      <c r="E114" s="93">
        <v>97</v>
      </c>
      <c r="F114" s="92" t="s">
        <v>33</v>
      </c>
      <c r="G114" s="92"/>
      <c r="H114" s="92"/>
      <c r="I114" s="92"/>
      <c r="J114" s="91"/>
      <c r="K114" s="91"/>
      <c r="L114" s="91"/>
      <c r="M114" s="95">
        <v>39922</v>
      </c>
      <c r="N114" s="92"/>
    </row>
    <row r="115" spans="1:14" s="84" customFormat="1" x14ac:dyDescent="0.25">
      <c r="A115">
        <v>113</v>
      </c>
      <c r="B115" s="85" t="s">
        <v>161</v>
      </c>
      <c r="C115" s="92" t="s">
        <v>84</v>
      </c>
      <c r="D115" s="92" t="s">
        <v>6</v>
      </c>
      <c r="E115" s="93">
        <v>117.5</v>
      </c>
      <c r="F115" s="92" t="s">
        <v>33</v>
      </c>
      <c r="G115" s="92"/>
      <c r="H115" s="92"/>
      <c r="I115" s="92"/>
      <c r="J115" s="91"/>
      <c r="K115" s="91"/>
      <c r="L115" s="91"/>
      <c r="M115" s="95"/>
      <c r="N115" s="92"/>
    </row>
    <row r="116" spans="1:14" s="84" customFormat="1" x14ac:dyDescent="0.25">
      <c r="A116">
        <v>114</v>
      </c>
      <c r="B116" s="85" t="s">
        <v>1241</v>
      </c>
      <c r="C116" s="92" t="s">
        <v>84</v>
      </c>
      <c r="D116" s="92" t="s">
        <v>6</v>
      </c>
      <c r="E116" s="93">
        <v>68.5</v>
      </c>
      <c r="F116" s="92" t="s">
        <v>33</v>
      </c>
      <c r="G116" s="92"/>
      <c r="H116" s="92"/>
      <c r="I116" s="92"/>
      <c r="J116" s="91"/>
      <c r="K116" s="91"/>
      <c r="L116" s="91"/>
      <c r="M116" s="95">
        <v>40307</v>
      </c>
      <c r="N116" s="92"/>
    </row>
    <row r="117" spans="1:14" s="84" customFormat="1" x14ac:dyDescent="0.25">
      <c r="A117">
        <v>115</v>
      </c>
      <c r="B117" s="85" t="s">
        <v>162</v>
      </c>
      <c r="C117" s="92" t="s">
        <v>84</v>
      </c>
      <c r="D117" s="92" t="s">
        <v>6</v>
      </c>
      <c r="E117" s="93">
        <v>203.5</v>
      </c>
      <c r="F117" s="92" t="s">
        <v>33</v>
      </c>
      <c r="G117" s="92"/>
      <c r="H117" s="92"/>
      <c r="I117" s="92"/>
      <c r="J117" s="91"/>
      <c r="K117" s="91"/>
      <c r="L117" s="91"/>
      <c r="M117" s="95"/>
      <c r="N117" s="92"/>
    </row>
    <row r="118" spans="1:14" s="84" customFormat="1" x14ac:dyDescent="0.25">
      <c r="A118">
        <v>116</v>
      </c>
      <c r="B118" s="85" t="s">
        <v>163</v>
      </c>
      <c r="C118" s="92" t="s">
        <v>84</v>
      </c>
      <c r="D118" s="92" t="s">
        <v>6</v>
      </c>
      <c r="E118" s="93">
        <v>260</v>
      </c>
      <c r="F118" s="92" t="s">
        <v>33</v>
      </c>
      <c r="G118" s="92"/>
      <c r="H118" s="92"/>
      <c r="I118" s="92"/>
      <c r="J118" s="91"/>
      <c r="K118" s="91"/>
      <c r="L118" s="91"/>
      <c r="M118" s="95"/>
      <c r="N118" s="92"/>
    </row>
    <row r="119" spans="1:14" s="84" customFormat="1" x14ac:dyDescent="0.25">
      <c r="A119">
        <v>117</v>
      </c>
      <c r="B119" s="85" t="s">
        <v>164</v>
      </c>
      <c r="C119" s="92" t="s">
        <v>84</v>
      </c>
      <c r="D119" s="92" t="s">
        <v>6</v>
      </c>
      <c r="E119" s="93">
        <v>203.5</v>
      </c>
      <c r="F119" s="92" t="s">
        <v>33</v>
      </c>
      <c r="G119" s="92"/>
      <c r="H119" s="92"/>
      <c r="I119" s="92"/>
      <c r="J119" s="91"/>
      <c r="K119" s="91"/>
      <c r="L119" s="91"/>
      <c r="M119" s="95"/>
      <c r="N119" s="92"/>
    </row>
    <row r="120" spans="1:14" s="84" customFormat="1" x14ac:dyDescent="0.25">
      <c r="A120">
        <v>118</v>
      </c>
      <c r="B120" s="85" t="s">
        <v>1242</v>
      </c>
      <c r="C120" s="92" t="s">
        <v>84</v>
      </c>
      <c r="D120" s="92" t="s">
        <v>6</v>
      </c>
      <c r="E120" s="93">
        <v>174.5</v>
      </c>
      <c r="F120" s="92" t="s">
        <v>33</v>
      </c>
      <c r="G120" s="92"/>
      <c r="H120" s="92"/>
      <c r="I120" s="92"/>
      <c r="J120" s="91"/>
      <c r="K120" s="91"/>
      <c r="L120" s="91"/>
      <c r="M120" s="95">
        <v>40321</v>
      </c>
      <c r="N120" s="92"/>
    </row>
    <row r="121" spans="1:14" s="84" customFormat="1" x14ac:dyDescent="0.25">
      <c r="A121">
        <v>119</v>
      </c>
      <c r="B121" s="85" t="s">
        <v>1243</v>
      </c>
      <c r="C121" s="92" t="s">
        <v>1244</v>
      </c>
      <c r="D121" s="92" t="s">
        <v>6</v>
      </c>
      <c r="E121" s="93">
        <v>45</v>
      </c>
      <c r="F121" s="92" t="s">
        <v>33</v>
      </c>
      <c r="G121" s="92"/>
      <c r="H121" s="92"/>
      <c r="I121" s="92"/>
      <c r="J121" s="91"/>
      <c r="K121" s="91"/>
      <c r="L121" s="91"/>
      <c r="M121" s="95">
        <v>40238</v>
      </c>
      <c r="N121" s="92"/>
    </row>
    <row r="122" spans="1:14" s="84" customFormat="1" x14ac:dyDescent="0.25">
      <c r="A122">
        <v>120</v>
      </c>
      <c r="B122" s="85" t="s">
        <v>165</v>
      </c>
      <c r="C122" s="85" t="s">
        <v>102</v>
      </c>
      <c r="D122" s="85" t="s">
        <v>6</v>
      </c>
      <c r="E122" s="94">
        <v>26</v>
      </c>
      <c r="F122" s="85" t="s">
        <v>166</v>
      </c>
      <c r="G122" s="85"/>
      <c r="H122" s="85"/>
      <c r="I122" s="85"/>
      <c r="J122" s="91"/>
      <c r="K122" s="91"/>
      <c r="L122" s="91"/>
      <c r="M122" s="87"/>
      <c r="N122" s="85"/>
    </row>
    <row r="123" spans="1:14" s="84" customFormat="1" x14ac:dyDescent="0.25">
      <c r="A123">
        <v>121</v>
      </c>
      <c r="B123" s="85" t="s">
        <v>1245</v>
      </c>
      <c r="C123" s="85" t="s">
        <v>102</v>
      </c>
      <c r="D123" s="85" t="s">
        <v>6</v>
      </c>
      <c r="E123" s="94">
        <v>26</v>
      </c>
      <c r="F123" s="85" t="s">
        <v>166</v>
      </c>
      <c r="G123" s="85"/>
      <c r="H123" s="85"/>
      <c r="I123" s="85"/>
      <c r="J123" s="91"/>
      <c r="K123" s="91"/>
      <c r="L123" s="91"/>
      <c r="M123" s="87">
        <v>39965</v>
      </c>
      <c r="N123" s="85"/>
    </row>
    <row r="124" spans="1:14" s="84" customFormat="1" x14ac:dyDescent="0.25">
      <c r="A124">
        <v>122</v>
      </c>
      <c r="B124" s="85" t="s">
        <v>167</v>
      </c>
      <c r="C124" s="85" t="s">
        <v>102</v>
      </c>
      <c r="D124" s="85" t="s">
        <v>6</v>
      </c>
      <c r="E124" s="94">
        <v>46.5</v>
      </c>
      <c r="F124" s="85" t="s">
        <v>166</v>
      </c>
      <c r="G124" s="85"/>
      <c r="H124" s="85"/>
      <c r="I124" s="85"/>
      <c r="J124" s="91"/>
      <c r="K124" s="91"/>
      <c r="L124" s="91"/>
      <c r="M124" s="87"/>
      <c r="N124" s="92"/>
    </row>
    <row r="125" spans="1:14" s="84" customFormat="1" ht="30" x14ac:dyDescent="0.25">
      <c r="A125">
        <v>123</v>
      </c>
      <c r="B125" s="85" t="s">
        <v>1246</v>
      </c>
      <c r="C125" s="85" t="s">
        <v>102</v>
      </c>
      <c r="D125" s="85" t="s">
        <v>6</v>
      </c>
      <c r="E125" s="94">
        <v>205</v>
      </c>
      <c r="F125" s="85" t="s">
        <v>166</v>
      </c>
      <c r="G125" s="85"/>
      <c r="H125" s="85"/>
      <c r="I125" s="85"/>
      <c r="J125" s="91"/>
      <c r="K125" s="91"/>
      <c r="L125" s="91"/>
      <c r="M125" s="87">
        <v>39972</v>
      </c>
      <c r="N125" s="92"/>
    </row>
    <row r="126" spans="1:14" s="84" customFormat="1" x14ac:dyDescent="0.25">
      <c r="A126">
        <v>124</v>
      </c>
      <c r="B126" s="85" t="s">
        <v>168</v>
      </c>
      <c r="C126" s="85" t="s">
        <v>102</v>
      </c>
      <c r="D126" s="85" t="s">
        <v>6</v>
      </c>
      <c r="E126" s="103">
        <v>317</v>
      </c>
      <c r="F126" s="85" t="s">
        <v>33</v>
      </c>
      <c r="G126" s="85"/>
      <c r="H126" s="85"/>
      <c r="I126" s="85"/>
      <c r="J126" s="91"/>
      <c r="K126" s="91"/>
      <c r="L126" s="91"/>
      <c r="M126" s="87">
        <v>39901</v>
      </c>
      <c r="N126" s="92" t="s">
        <v>169</v>
      </c>
    </row>
    <row r="127" spans="1:14" s="84" customFormat="1" x14ac:dyDescent="0.25">
      <c r="A127">
        <v>125</v>
      </c>
      <c r="B127" s="85" t="s">
        <v>170</v>
      </c>
      <c r="C127" s="85" t="s">
        <v>102</v>
      </c>
      <c r="D127" s="85" t="s">
        <v>6</v>
      </c>
      <c r="E127" s="103">
        <v>167.5</v>
      </c>
      <c r="F127" s="85" t="s">
        <v>33</v>
      </c>
      <c r="G127" s="85"/>
      <c r="H127" s="85"/>
      <c r="I127" s="85"/>
      <c r="J127" s="91"/>
      <c r="K127" s="91"/>
      <c r="L127" s="91"/>
      <c r="M127" s="87">
        <v>39901</v>
      </c>
      <c r="N127" s="92" t="s">
        <v>171</v>
      </c>
    </row>
    <row r="128" spans="1:14" s="84" customFormat="1" x14ac:dyDescent="0.25">
      <c r="A128">
        <v>126</v>
      </c>
      <c r="B128" s="85" t="s">
        <v>172</v>
      </c>
      <c r="C128" s="85" t="s">
        <v>102</v>
      </c>
      <c r="D128" s="85" t="s">
        <v>6</v>
      </c>
      <c r="E128" s="103">
        <v>193</v>
      </c>
      <c r="F128" s="85" t="s">
        <v>33</v>
      </c>
      <c r="G128" s="85"/>
      <c r="H128" s="85"/>
      <c r="I128" s="85"/>
      <c r="J128" s="91"/>
      <c r="K128" s="91"/>
      <c r="L128" s="91"/>
      <c r="M128" s="87">
        <v>39901</v>
      </c>
      <c r="N128" s="92" t="s">
        <v>173</v>
      </c>
    </row>
    <row r="129" spans="1:256" s="84" customFormat="1" x14ac:dyDescent="0.25">
      <c r="A129">
        <v>127</v>
      </c>
      <c r="B129" s="85" t="s">
        <v>174</v>
      </c>
      <c r="C129" s="85" t="s">
        <v>175</v>
      </c>
      <c r="D129" s="85" t="s">
        <v>6</v>
      </c>
      <c r="E129" s="94">
        <v>51</v>
      </c>
      <c r="F129" s="85" t="s">
        <v>33</v>
      </c>
      <c r="G129" s="85"/>
      <c r="H129" s="85"/>
      <c r="I129" s="85"/>
      <c r="J129" s="91"/>
      <c r="K129" s="91"/>
      <c r="L129" s="91"/>
      <c r="M129" s="87">
        <v>39873</v>
      </c>
      <c r="N129" s="92"/>
    </row>
    <row r="130" spans="1:256" s="84" customFormat="1" x14ac:dyDescent="0.25">
      <c r="A130">
        <v>128</v>
      </c>
      <c r="B130" s="85" t="s">
        <v>176</v>
      </c>
      <c r="C130" s="92" t="s">
        <v>177</v>
      </c>
      <c r="D130" s="92" t="s">
        <v>6</v>
      </c>
      <c r="E130" s="94">
        <v>44</v>
      </c>
      <c r="F130" s="92" t="s">
        <v>33</v>
      </c>
      <c r="G130" s="92"/>
      <c r="H130" s="92"/>
      <c r="I130" s="92"/>
      <c r="J130" s="91"/>
      <c r="K130" s="91"/>
      <c r="L130" s="91"/>
      <c r="M130" s="95">
        <v>40028</v>
      </c>
      <c r="N130" s="92"/>
    </row>
    <row r="131" spans="1:256" s="84" customFormat="1" x14ac:dyDescent="0.25">
      <c r="A131">
        <v>129</v>
      </c>
      <c r="B131" s="85" t="s">
        <v>1247</v>
      </c>
      <c r="C131" s="92" t="s">
        <v>1248</v>
      </c>
      <c r="D131" s="92" t="s">
        <v>6</v>
      </c>
      <c r="E131" s="94">
        <v>127.2</v>
      </c>
      <c r="F131" s="92" t="s">
        <v>33</v>
      </c>
      <c r="G131" s="92"/>
      <c r="H131" s="92"/>
      <c r="I131" s="92"/>
      <c r="J131" s="91"/>
      <c r="K131" s="91"/>
      <c r="L131" s="91"/>
      <c r="M131" s="95">
        <v>40286</v>
      </c>
      <c r="N131" s="92"/>
    </row>
    <row r="132" spans="1:256" s="84" customFormat="1" x14ac:dyDescent="0.25">
      <c r="A132">
        <v>130</v>
      </c>
      <c r="B132" s="85" t="s">
        <v>1249</v>
      </c>
      <c r="C132" s="92" t="s">
        <v>1250</v>
      </c>
      <c r="D132" s="92" t="s">
        <v>6</v>
      </c>
      <c r="E132" s="94">
        <v>28</v>
      </c>
      <c r="F132" s="92" t="s">
        <v>33</v>
      </c>
      <c r="G132" s="92"/>
      <c r="H132" s="92"/>
      <c r="I132" s="92"/>
      <c r="J132" s="91"/>
      <c r="K132" s="91"/>
      <c r="L132" s="91"/>
      <c r="M132" s="95">
        <v>40257</v>
      </c>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2"/>
      <c r="AR132" s="92"/>
      <c r="AS132" s="92"/>
      <c r="AT132" s="92"/>
      <c r="AU132" s="92"/>
      <c r="AV132" s="92"/>
      <c r="AW132" s="92"/>
      <c r="AX132" s="92"/>
      <c r="AY132" s="92"/>
      <c r="AZ132" s="92"/>
      <c r="BA132" s="92"/>
      <c r="BB132" s="92"/>
      <c r="BC132" s="92"/>
      <c r="BD132" s="92"/>
      <c r="BE132" s="92"/>
      <c r="BF132" s="92"/>
      <c r="BG132" s="92"/>
      <c r="BH132" s="92"/>
      <c r="BI132" s="92"/>
      <c r="BJ132" s="92"/>
      <c r="BK132" s="92"/>
      <c r="BL132" s="92"/>
      <c r="BM132" s="92"/>
      <c r="BN132" s="92"/>
      <c r="BO132" s="92"/>
      <c r="BP132" s="92"/>
      <c r="BQ132" s="92"/>
      <c r="BR132" s="92"/>
      <c r="BS132" s="92"/>
      <c r="BT132" s="92"/>
      <c r="BU132" s="92"/>
      <c r="BV132" s="92"/>
      <c r="BW132" s="92"/>
      <c r="BX132" s="92"/>
      <c r="BY132" s="92"/>
      <c r="BZ132" s="92"/>
      <c r="CA132" s="92"/>
      <c r="CB132" s="92"/>
      <c r="CC132" s="92"/>
      <c r="CD132" s="92"/>
      <c r="CE132" s="92"/>
      <c r="CF132" s="92"/>
      <c r="CG132" s="92"/>
      <c r="CH132" s="92"/>
      <c r="CI132" s="92"/>
      <c r="CJ132" s="92"/>
      <c r="CK132" s="92"/>
      <c r="CL132" s="92"/>
      <c r="CM132" s="92"/>
      <c r="CN132" s="92"/>
      <c r="CO132" s="92"/>
      <c r="CP132" s="92"/>
      <c r="CQ132" s="92"/>
      <c r="CR132" s="92"/>
      <c r="CS132" s="92"/>
      <c r="CT132" s="92"/>
      <c r="CU132" s="92"/>
      <c r="CV132" s="92"/>
      <c r="CW132" s="92"/>
      <c r="CX132" s="92"/>
      <c r="CY132" s="92"/>
      <c r="CZ132" s="92"/>
      <c r="DA132" s="92"/>
      <c r="DB132" s="92"/>
      <c r="DC132" s="92"/>
      <c r="DD132" s="92"/>
      <c r="DE132" s="92"/>
      <c r="DF132" s="92"/>
      <c r="DG132" s="92"/>
      <c r="DH132" s="92"/>
      <c r="DI132" s="92"/>
      <c r="DJ132" s="92"/>
      <c r="DK132" s="92"/>
      <c r="DL132" s="92"/>
      <c r="DM132" s="92"/>
      <c r="DN132" s="92"/>
      <c r="DO132" s="92"/>
      <c r="DP132" s="92"/>
      <c r="DQ132" s="92"/>
      <c r="DR132" s="92"/>
      <c r="DS132" s="92"/>
      <c r="DT132" s="92"/>
      <c r="DU132" s="92"/>
      <c r="DV132" s="92"/>
      <c r="DW132" s="92"/>
      <c r="DX132" s="92"/>
      <c r="DY132" s="92"/>
      <c r="DZ132" s="92"/>
      <c r="EA132" s="92"/>
      <c r="EB132" s="92"/>
      <c r="EC132" s="92"/>
      <c r="ED132" s="92"/>
      <c r="EE132" s="92"/>
      <c r="EF132" s="92"/>
      <c r="EG132" s="92"/>
      <c r="EH132" s="92"/>
      <c r="EI132" s="92"/>
      <c r="EJ132" s="92"/>
      <c r="EK132" s="92"/>
      <c r="EL132" s="92"/>
      <c r="EM132" s="92"/>
      <c r="EN132" s="92"/>
      <c r="EO132" s="92"/>
      <c r="EP132" s="92"/>
      <c r="EQ132" s="92"/>
      <c r="ER132" s="92"/>
      <c r="ES132" s="92"/>
      <c r="ET132" s="92"/>
      <c r="EU132" s="92"/>
      <c r="EV132" s="92"/>
      <c r="EW132" s="92"/>
      <c r="EX132" s="92"/>
      <c r="EY132" s="92"/>
      <c r="EZ132" s="92"/>
      <c r="FA132" s="92"/>
      <c r="FB132" s="92"/>
      <c r="FC132" s="92"/>
      <c r="FD132" s="92"/>
      <c r="FE132" s="92"/>
      <c r="FF132" s="92"/>
      <c r="FG132" s="92"/>
      <c r="FH132" s="92"/>
      <c r="FI132" s="92"/>
      <c r="FJ132" s="92"/>
      <c r="FK132" s="92"/>
      <c r="FL132" s="92"/>
      <c r="FM132" s="92"/>
      <c r="FN132" s="92"/>
      <c r="FO132" s="92"/>
      <c r="FP132" s="92"/>
      <c r="FQ132" s="92"/>
      <c r="FR132" s="92"/>
      <c r="FS132" s="92"/>
      <c r="FT132" s="92"/>
      <c r="FU132" s="92"/>
      <c r="FV132" s="92"/>
      <c r="FW132" s="92"/>
      <c r="FX132" s="92"/>
      <c r="FY132" s="92"/>
      <c r="FZ132" s="92"/>
      <c r="GA132" s="92"/>
      <c r="GB132" s="92"/>
      <c r="GC132" s="92"/>
      <c r="GD132" s="92"/>
      <c r="GE132" s="92"/>
      <c r="GF132" s="92"/>
      <c r="GG132" s="92"/>
      <c r="GH132" s="92"/>
      <c r="GI132" s="92"/>
      <c r="GJ132" s="92"/>
      <c r="GK132" s="92"/>
      <c r="GL132" s="92"/>
      <c r="GM132" s="92"/>
      <c r="GN132" s="92"/>
      <c r="GO132" s="92"/>
      <c r="GP132" s="92"/>
      <c r="GQ132" s="92"/>
      <c r="GR132" s="92"/>
      <c r="GS132" s="92"/>
      <c r="GT132" s="92"/>
      <c r="GU132" s="92"/>
      <c r="GV132" s="92"/>
      <c r="GW132" s="92"/>
      <c r="GX132" s="92"/>
      <c r="GY132" s="92"/>
      <c r="GZ132" s="92"/>
      <c r="HA132" s="92"/>
      <c r="HB132" s="92"/>
      <c r="HC132" s="92"/>
      <c r="HD132" s="92"/>
      <c r="HE132" s="92"/>
      <c r="HF132" s="92"/>
      <c r="HG132" s="92"/>
      <c r="HH132" s="92"/>
      <c r="HI132" s="92"/>
      <c r="HJ132" s="92"/>
      <c r="HK132" s="92"/>
      <c r="HL132" s="92"/>
      <c r="HM132" s="92"/>
      <c r="HN132" s="92"/>
      <c r="HO132" s="92"/>
      <c r="HP132" s="92"/>
      <c r="HQ132" s="92"/>
      <c r="HR132" s="92"/>
      <c r="HS132" s="92"/>
      <c r="HT132" s="92"/>
      <c r="HU132" s="92"/>
      <c r="HV132" s="92"/>
      <c r="HW132" s="92"/>
      <c r="HX132" s="92"/>
      <c r="HY132" s="92"/>
      <c r="HZ132" s="92"/>
      <c r="IA132" s="92"/>
      <c r="IB132" s="92"/>
      <c r="IC132" s="92"/>
      <c r="ID132" s="92"/>
      <c r="IE132" s="92"/>
      <c r="IF132" s="92"/>
      <c r="IG132" s="92"/>
      <c r="IH132" s="92"/>
      <c r="II132" s="92"/>
      <c r="IJ132" s="92"/>
      <c r="IK132" s="92"/>
      <c r="IL132" s="92"/>
      <c r="IM132" s="92"/>
      <c r="IN132" s="92"/>
      <c r="IO132" s="92"/>
      <c r="IP132" s="92"/>
      <c r="IQ132" s="92"/>
      <c r="IR132" s="92"/>
      <c r="IS132" s="92"/>
      <c r="IT132" s="92"/>
      <c r="IU132" s="92"/>
      <c r="IV132" s="92"/>
    </row>
    <row r="133" spans="1:256" s="92" customFormat="1" x14ac:dyDescent="0.25">
      <c r="A133">
        <v>131</v>
      </c>
      <c r="B133" s="85" t="s">
        <v>1251</v>
      </c>
      <c r="C133" s="92" t="s">
        <v>117</v>
      </c>
      <c r="D133" s="92" t="s">
        <v>6</v>
      </c>
      <c r="E133" s="94">
        <v>81</v>
      </c>
      <c r="F133" s="92" t="s">
        <v>33</v>
      </c>
      <c r="J133" s="91"/>
      <c r="K133" s="91"/>
      <c r="L133" s="91"/>
      <c r="M133" s="95">
        <v>40286</v>
      </c>
    </row>
    <row r="134" spans="1:256" s="92" customFormat="1" x14ac:dyDescent="0.25">
      <c r="A134">
        <v>132</v>
      </c>
      <c r="B134" s="85" t="s">
        <v>1252</v>
      </c>
      <c r="C134" s="92" t="s">
        <v>1233</v>
      </c>
      <c r="D134" s="92" t="s">
        <v>6</v>
      </c>
      <c r="E134" s="94">
        <v>55</v>
      </c>
      <c r="F134" s="92" t="s">
        <v>33</v>
      </c>
      <c r="J134" s="91"/>
      <c r="K134" s="91"/>
      <c r="L134" s="91"/>
      <c r="M134" s="95">
        <v>40257</v>
      </c>
    </row>
    <row r="135" spans="1:256" s="92" customFormat="1" x14ac:dyDescent="0.25">
      <c r="A135">
        <v>133</v>
      </c>
      <c r="B135" s="85" t="s">
        <v>1253</v>
      </c>
      <c r="C135" s="92" t="s">
        <v>1233</v>
      </c>
      <c r="D135" s="92" t="s">
        <v>6</v>
      </c>
      <c r="E135" s="94">
        <v>222.5</v>
      </c>
      <c r="F135" s="92" t="s">
        <v>33</v>
      </c>
      <c r="J135" s="91"/>
      <c r="K135" s="91"/>
      <c r="L135" s="91"/>
      <c r="M135" s="95">
        <v>40257</v>
      </c>
    </row>
    <row r="136" spans="1:256" s="92" customFormat="1" x14ac:dyDescent="0.25">
      <c r="A136">
        <v>134</v>
      </c>
      <c r="B136" s="85" t="s">
        <v>1254</v>
      </c>
      <c r="C136" s="92" t="s">
        <v>1233</v>
      </c>
      <c r="D136" s="92" t="s">
        <v>6</v>
      </c>
      <c r="E136" s="94">
        <v>222.5</v>
      </c>
      <c r="F136" s="92" t="s">
        <v>33</v>
      </c>
      <c r="J136" s="91"/>
      <c r="K136" s="91"/>
      <c r="L136" s="91"/>
      <c r="M136" s="95">
        <v>40257</v>
      </c>
    </row>
    <row r="137" spans="1:256" s="92" customFormat="1" x14ac:dyDescent="0.25">
      <c r="A137">
        <v>135</v>
      </c>
      <c r="B137" s="85" t="s">
        <v>178</v>
      </c>
      <c r="C137" s="92" t="s">
        <v>179</v>
      </c>
      <c r="D137" s="92" t="s">
        <v>6</v>
      </c>
      <c r="E137" s="94">
        <v>32.5</v>
      </c>
      <c r="J137" s="91"/>
      <c r="K137" s="91"/>
      <c r="L137" s="91"/>
      <c r="M137" s="95">
        <v>39898</v>
      </c>
      <c r="O137" s="84"/>
      <c r="P137" s="84"/>
      <c r="Q137" s="84"/>
      <c r="R137" s="84"/>
      <c r="S137" s="84"/>
      <c r="T137" s="84"/>
      <c r="U137" s="84"/>
      <c r="V137" s="84"/>
      <c r="W137" s="84"/>
      <c r="X137" s="84"/>
      <c r="Y137" s="84"/>
      <c r="Z137" s="84"/>
      <c r="AA137" s="84"/>
      <c r="AB137" s="84"/>
      <c r="AC137" s="84"/>
      <c r="AD137" s="84"/>
      <c r="AE137" s="84"/>
      <c r="AF137" s="84"/>
      <c r="AG137" s="84"/>
      <c r="AH137" s="84"/>
      <c r="AI137" s="84"/>
      <c r="AJ137" s="84"/>
      <c r="AK137" s="84"/>
      <c r="AL137" s="84"/>
      <c r="AM137" s="84"/>
      <c r="AN137" s="84"/>
      <c r="AO137" s="84"/>
      <c r="AP137" s="84"/>
      <c r="AQ137" s="84"/>
      <c r="AR137" s="84"/>
      <c r="AS137" s="84"/>
      <c r="AT137" s="84"/>
      <c r="AU137" s="84"/>
      <c r="AV137" s="84"/>
      <c r="AW137" s="84"/>
      <c r="AX137" s="84"/>
      <c r="AY137" s="84"/>
      <c r="AZ137" s="84"/>
      <c r="BA137" s="84"/>
      <c r="BB137" s="84"/>
      <c r="BC137" s="84"/>
      <c r="BD137" s="84"/>
      <c r="BE137" s="84"/>
      <c r="BF137" s="84"/>
      <c r="BG137" s="84"/>
      <c r="BH137" s="84"/>
      <c r="BI137" s="84"/>
      <c r="BJ137" s="84"/>
      <c r="BK137" s="84"/>
      <c r="BL137" s="84"/>
      <c r="BM137" s="84"/>
      <c r="BN137" s="84"/>
      <c r="BO137" s="84"/>
      <c r="BP137" s="84"/>
      <c r="BQ137" s="84"/>
      <c r="BR137" s="84"/>
      <c r="BS137" s="84"/>
      <c r="BT137" s="84"/>
      <c r="BU137" s="84"/>
      <c r="BV137" s="84"/>
      <c r="BW137" s="84"/>
      <c r="BX137" s="84"/>
      <c r="BY137" s="84"/>
      <c r="BZ137" s="84"/>
      <c r="CA137" s="84"/>
      <c r="CB137" s="84"/>
      <c r="CC137" s="84"/>
      <c r="CD137" s="84"/>
      <c r="CE137" s="84"/>
      <c r="CF137" s="84"/>
      <c r="CG137" s="84"/>
      <c r="CH137" s="84"/>
      <c r="CI137" s="84"/>
      <c r="CJ137" s="84"/>
      <c r="CK137" s="84"/>
      <c r="CL137" s="84"/>
      <c r="CM137" s="84"/>
      <c r="CN137" s="84"/>
      <c r="CO137" s="84"/>
      <c r="CP137" s="84"/>
      <c r="CQ137" s="84"/>
      <c r="CR137" s="84"/>
      <c r="CS137" s="84"/>
      <c r="CT137" s="84"/>
      <c r="CU137" s="84"/>
      <c r="CV137" s="84"/>
      <c r="CW137" s="84"/>
      <c r="CX137" s="84"/>
      <c r="CY137" s="84"/>
      <c r="CZ137" s="84"/>
      <c r="DA137" s="84"/>
      <c r="DB137" s="84"/>
      <c r="DC137" s="84"/>
      <c r="DD137" s="84"/>
      <c r="DE137" s="84"/>
      <c r="DF137" s="84"/>
      <c r="DG137" s="84"/>
      <c r="DH137" s="84"/>
      <c r="DI137" s="84"/>
      <c r="DJ137" s="84"/>
      <c r="DK137" s="84"/>
      <c r="DL137" s="84"/>
      <c r="DM137" s="84"/>
      <c r="DN137" s="84"/>
      <c r="DO137" s="84"/>
      <c r="DP137" s="84"/>
      <c r="DQ137" s="84"/>
      <c r="DR137" s="84"/>
      <c r="DS137" s="84"/>
      <c r="DT137" s="84"/>
      <c r="DU137" s="84"/>
      <c r="DV137" s="84"/>
      <c r="DW137" s="84"/>
      <c r="DX137" s="84"/>
      <c r="DY137" s="84"/>
      <c r="DZ137" s="84"/>
      <c r="EA137" s="84"/>
      <c r="EB137" s="84"/>
      <c r="EC137" s="84"/>
      <c r="ED137" s="84"/>
      <c r="EE137" s="84"/>
      <c r="EF137" s="84"/>
      <c r="EG137" s="84"/>
      <c r="EH137" s="84"/>
      <c r="EI137" s="84"/>
      <c r="EJ137" s="84"/>
      <c r="EK137" s="84"/>
      <c r="EL137" s="84"/>
      <c r="EM137" s="84"/>
      <c r="EN137" s="84"/>
      <c r="EO137" s="84"/>
      <c r="EP137" s="84"/>
      <c r="EQ137" s="84"/>
      <c r="ER137" s="84"/>
      <c r="ES137" s="84"/>
      <c r="ET137" s="84"/>
      <c r="EU137" s="84"/>
      <c r="EV137" s="84"/>
      <c r="EW137" s="84"/>
      <c r="EX137" s="84"/>
      <c r="EY137" s="84"/>
      <c r="EZ137" s="84"/>
      <c r="FA137" s="84"/>
      <c r="FB137" s="84"/>
      <c r="FC137" s="84"/>
      <c r="FD137" s="84"/>
      <c r="FE137" s="84"/>
      <c r="FF137" s="84"/>
      <c r="FG137" s="84"/>
      <c r="FH137" s="84"/>
      <c r="FI137" s="84"/>
      <c r="FJ137" s="84"/>
      <c r="FK137" s="84"/>
      <c r="FL137" s="84"/>
      <c r="FM137" s="84"/>
      <c r="FN137" s="84"/>
      <c r="FO137" s="84"/>
      <c r="FP137" s="84"/>
      <c r="FQ137" s="84"/>
      <c r="FR137" s="84"/>
      <c r="FS137" s="84"/>
      <c r="FT137" s="84"/>
      <c r="FU137" s="84"/>
      <c r="FV137" s="84"/>
      <c r="FW137" s="84"/>
      <c r="FX137" s="84"/>
      <c r="FY137" s="84"/>
      <c r="FZ137" s="84"/>
      <c r="GA137" s="84"/>
      <c r="GB137" s="84"/>
      <c r="GC137" s="84"/>
      <c r="GD137" s="84"/>
      <c r="GE137" s="84"/>
      <c r="GF137" s="84"/>
      <c r="GG137" s="84"/>
      <c r="GH137" s="84"/>
      <c r="GI137" s="84"/>
      <c r="GJ137" s="84"/>
      <c r="GK137" s="84"/>
      <c r="GL137" s="84"/>
      <c r="GM137" s="84"/>
      <c r="GN137" s="84"/>
      <c r="GO137" s="84"/>
      <c r="GP137" s="84"/>
      <c r="GQ137" s="84"/>
      <c r="GR137" s="84"/>
      <c r="GS137" s="84"/>
      <c r="GT137" s="84"/>
      <c r="GU137" s="84"/>
      <c r="GV137" s="84"/>
      <c r="GW137" s="84"/>
      <c r="GX137" s="84"/>
      <c r="GY137" s="84"/>
      <c r="GZ137" s="84"/>
      <c r="HA137" s="84"/>
      <c r="HB137" s="84"/>
      <c r="HC137" s="84"/>
      <c r="HD137" s="84"/>
      <c r="HE137" s="84"/>
      <c r="HF137" s="84"/>
      <c r="HG137" s="84"/>
      <c r="HH137" s="84"/>
      <c r="HI137" s="84"/>
      <c r="HJ137" s="84"/>
      <c r="HK137" s="84"/>
      <c r="HL137" s="84"/>
      <c r="HM137" s="84"/>
      <c r="HN137" s="84"/>
      <c r="HO137" s="84"/>
      <c r="HP137" s="84"/>
      <c r="HQ137" s="84"/>
      <c r="HR137" s="84"/>
      <c r="HS137" s="84"/>
      <c r="HT137" s="84"/>
      <c r="HU137" s="84"/>
      <c r="HV137" s="84"/>
      <c r="HW137" s="84"/>
      <c r="HX137" s="84"/>
      <c r="HY137" s="84"/>
      <c r="HZ137" s="84"/>
      <c r="IA137" s="84"/>
      <c r="IB137" s="84"/>
      <c r="IC137" s="84"/>
      <c r="ID137" s="84"/>
      <c r="IE137" s="84"/>
      <c r="IF137" s="84"/>
      <c r="IG137" s="84"/>
      <c r="IH137" s="84"/>
      <c r="II137" s="84"/>
      <c r="IJ137" s="84"/>
      <c r="IK137" s="84"/>
      <c r="IL137" s="84"/>
      <c r="IM137" s="84"/>
      <c r="IN137" s="84"/>
      <c r="IO137" s="84"/>
      <c r="IP137" s="84"/>
      <c r="IQ137" s="84"/>
      <c r="IR137" s="84"/>
      <c r="IS137" s="84"/>
      <c r="IT137" s="84"/>
      <c r="IU137" s="84"/>
      <c r="IV137" s="84"/>
    </row>
    <row r="138" spans="1:256" s="84" customFormat="1" x14ac:dyDescent="0.25">
      <c r="A138">
        <v>136</v>
      </c>
      <c r="B138" s="85" t="s">
        <v>180</v>
      </c>
      <c r="C138" s="98" t="s">
        <v>121</v>
      </c>
      <c r="D138" s="92" t="s">
        <v>6</v>
      </c>
      <c r="E138" s="99">
        <v>55</v>
      </c>
      <c r="F138" s="92"/>
      <c r="G138" s="92"/>
      <c r="H138" s="92"/>
      <c r="I138" s="92"/>
      <c r="J138" s="91"/>
      <c r="K138" s="91"/>
      <c r="L138" s="91"/>
      <c r="M138" s="95"/>
      <c r="N138" s="92"/>
    </row>
    <row r="139" spans="1:256" s="84" customFormat="1" x14ac:dyDescent="0.25">
      <c r="A139">
        <v>137</v>
      </c>
      <c r="B139" s="85" t="s">
        <v>181</v>
      </c>
      <c r="C139" s="98" t="s">
        <v>121</v>
      </c>
      <c r="D139" s="92" t="s">
        <v>6</v>
      </c>
      <c r="E139" s="99">
        <v>57</v>
      </c>
      <c r="F139" s="92"/>
      <c r="G139" s="92"/>
      <c r="H139" s="92"/>
      <c r="I139" s="92"/>
      <c r="J139" s="91"/>
      <c r="K139" s="91"/>
      <c r="L139" s="91"/>
      <c r="M139" s="95"/>
      <c r="N139" s="92"/>
    </row>
    <row r="140" spans="1:256" s="84" customFormat="1" x14ac:dyDescent="0.25">
      <c r="A140">
        <v>138</v>
      </c>
      <c r="B140" s="85" t="s">
        <v>182</v>
      </c>
      <c r="C140" s="85" t="s">
        <v>121</v>
      </c>
      <c r="D140" s="85" t="s">
        <v>6</v>
      </c>
      <c r="E140" s="94">
        <v>55</v>
      </c>
      <c r="F140" s="85" t="s">
        <v>33</v>
      </c>
      <c r="G140" s="85"/>
      <c r="H140" s="85"/>
      <c r="I140" s="85"/>
      <c r="J140" s="91"/>
      <c r="K140" s="91"/>
      <c r="L140" s="91"/>
      <c r="M140" s="87">
        <v>39873</v>
      </c>
      <c r="N140" s="92"/>
    </row>
    <row r="141" spans="1:256" s="84" customFormat="1" x14ac:dyDescent="0.25">
      <c r="A141">
        <v>139</v>
      </c>
      <c r="B141" s="85" t="s">
        <v>183</v>
      </c>
      <c r="C141" s="85" t="s">
        <v>64</v>
      </c>
      <c r="D141" s="85" t="s">
        <v>6</v>
      </c>
      <c r="E141" s="104">
        <v>0</v>
      </c>
      <c r="F141" s="85" t="s">
        <v>33</v>
      </c>
      <c r="G141" s="85"/>
      <c r="H141" s="85"/>
      <c r="I141" s="85"/>
      <c r="J141" s="91"/>
      <c r="K141" s="91"/>
      <c r="L141" s="91"/>
      <c r="M141" s="87"/>
      <c r="N141" s="85"/>
    </row>
    <row r="142" spans="1:256" s="84" customFormat="1" x14ac:dyDescent="0.25">
      <c r="A142">
        <v>140</v>
      </c>
      <c r="B142" s="85" t="s">
        <v>1255</v>
      </c>
      <c r="C142" s="85" t="s">
        <v>1256</v>
      </c>
      <c r="D142" s="85" t="s">
        <v>6</v>
      </c>
      <c r="E142" s="104">
        <v>65</v>
      </c>
      <c r="F142" s="85" t="s">
        <v>33</v>
      </c>
      <c r="G142" s="85"/>
      <c r="H142" s="85"/>
      <c r="I142" s="85"/>
      <c r="J142" s="91"/>
      <c r="K142" s="91"/>
      <c r="L142" s="91"/>
      <c r="M142" s="87">
        <v>40321</v>
      </c>
      <c r="N142" s="85"/>
    </row>
    <row r="143" spans="1:256" s="84" customFormat="1" x14ac:dyDescent="0.25">
      <c r="A143">
        <v>141</v>
      </c>
      <c r="B143" s="85" t="s">
        <v>184</v>
      </c>
      <c r="C143" s="85" t="s">
        <v>80</v>
      </c>
      <c r="D143" s="85" t="s">
        <v>6</v>
      </c>
      <c r="E143" s="104">
        <v>27.5</v>
      </c>
      <c r="F143" s="85" t="s">
        <v>33</v>
      </c>
      <c r="G143" s="85"/>
      <c r="H143" s="85"/>
      <c r="I143" s="85"/>
      <c r="J143" s="91"/>
      <c r="K143" s="91"/>
      <c r="L143" s="91"/>
      <c r="M143" s="87"/>
      <c r="N143" s="85"/>
    </row>
    <row r="144" spans="1:256" s="84" customFormat="1" x14ac:dyDescent="0.25">
      <c r="A144">
        <v>142</v>
      </c>
      <c r="B144" s="85" t="s">
        <v>185</v>
      </c>
      <c r="C144" s="85" t="s">
        <v>80</v>
      </c>
      <c r="D144" s="85" t="s">
        <v>6</v>
      </c>
      <c r="E144" s="104">
        <v>39.5</v>
      </c>
      <c r="F144" s="85" t="s">
        <v>33</v>
      </c>
      <c r="G144" s="85"/>
      <c r="H144" s="85"/>
      <c r="I144" s="85"/>
      <c r="J144" s="91"/>
      <c r="K144" s="91"/>
      <c r="L144" s="91"/>
      <c r="M144" s="87"/>
      <c r="N144" s="85"/>
    </row>
    <row r="145" spans="1:256" s="84" customFormat="1" x14ac:dyDescent="0.25">
      <c r="A145">
        <v>143</v>
      </c>
      <c r="B145" s="85" t="s">
        <v>186</v>
      </c>
      <c r="C145" s="85" t="s">
        <v>80</v>
      </c>
      <c r="D145" s="85" t="s">
        <v>6</v>
      </c>
      <c r="E145" s="104">
        <v>49.5</v>
      </c>
      <c r="F145" s="85" t="s">
        <v>33</v>
      </c>
      <c r="G145" s="85"/>
      <c r="H145" s="85"/>
      <c r="I145" s="85"/>
      <c r="J145" s="91"/>
      <c r="K145" s="91"/>
      <c r="L145" s="91"/>
      <c r="M145" s="87"/>
      <c r="N145" s="85"/>
    </row>
    <row r="146" spans="1:256" s="84" customFormat="1" x14ac:dyDescent="0.25">
      <c r="A146">
        <v>144</v>
      </c>
      <c r="B146" s="85" t="s">
        <v>187</v>
      </c>
      <c r="C146" s="85" t="s">
        <v>80</v>
      </c>
      <c r="D146" s="85" t="s">
        <v>6</v>
      </c>
      <c r="E146" s="104">
        <v>62.5</v>
      </c>
      <c r="F146" s="85" t="s">
        <v>33</v>
      </c>
      <c r="G146" s="85"/>
      <c r="H146" s="85"/>
      <c r="I146" s="85"/>
      <c r="J146" s="91"/>
      <c r="K146" s="91"/>
      <c r="L146" s="91"/>
      <c r="M146" s="87"/>
      <c r="N146" s="85"/>
    </row>
    <row r="147" spans="1:256" s="84" customFormat="1" x14ac:dyDescent="0.25">
      <c r="A147">
        <v>145</v>
      </c>
      <c r="B147" s="85" t="s">
        <v>188</v>
      </c>
      <c r="C147" s="85" t="s">
        <v>80</v>
      </c>
      <c r="D147" s="85" t="s">
        <v>6</v>
      </c>
      <c r="E147" s="104">
        <v>197.5</v>
      </c>
      <c r="F147" s="85" t="s">
        <v>33</v>
      </c>
      <c r="G147" s="85"/>
      <c r="H147" s="85"/>
      <c r="I147" s="85"/>
      <c r="J147" s="91"/>
      <c r="K147" s="91"/>
      <c r="L147" s="91"/>
      <c r="M147" s="87"/>
      <c r="N147" s="85"/>
    </row>
    <row r="148" spans="1:256" s="84" customFormat="1" x14ac:dyDescent="0.25">
      <c r="A148">
        <v>146</v>
      </c>
      <c r="B148" s="85" t="s">
        <v>1257</v>
      </c>
      <c r="C148" s="85" t="s">
        <v>1258</v>
      </c>
      <c r="D148" s="85" t="s">
        <v>6</v>
      </c>
      <c r="E148" s="104">
        <v>30.5</v>
      </c>
      <c r="F148" s="85" t="s">
        <v>33</v>
      </c>
      <c r="G148" s="85"/>
      <c r="H148" s="85"/>
      <c r="I148" s="85"/>
      <c r="J148" s="91"/>
      <c r="K148" s="91"/>
      <c r="L148" s="91"/>
      <c r="M148" s="87">
        <v>40321</v>
      </c>
      <c r="N148" s="85"/>
    </row>
    <row r="149" spans="1:256" s="84" customFormat="1" x14ac:dyDescent="0.25">
      <c r="A149">
        <v>147</v>
      </c>
      <c r="B149" s="85" t="s">
        <v>1259</v>
      </c>
      <c r="C149" s="85" t="s">
        <v>137</v>
      </c>
      <c r="D149" s="85" t="s">
        <v>6</v>
      </c>
      <c r="E149" s="94">
        <v>27</v>
      </c>
      <c r="F149" s="85" t="s">
        <v>33</v>
      </c>
      <c r="G149" s="85"/>
      <c r="H149" s="85"/>
      <c r="I149" s="85"/>
      <c r="J149" s="91"/>
      <c r="K149" s="91"/>
      <c r="L149" s="91"/>
      <c r="M149" s="87">
        <v>40238</v>
      </c>
      <c r="N149" s="85"/>
    </row>
    <row r="150" spans="1:256" s="84" customFormat="1" x14ac:dyDescent="0.25">
      <c r="A150">
        <v>148</v>
      </c>
      <c r="B150" s="85" t="s">
        <v>189</v>
      </c>
      <c r="C150" s="85" t="s">
        <v>137</v>
      </c>
      <c r="D150" s="85" t="s">
        <v>6</v>
      </c>
      <c r="E150" s="94">
        <v>27</v>
      </c>
      <c r="F150" s="85" t="s">
        <v>33</v>
      </c>
      <c r="G150" s="85"/>
      <c r="H150" s="85"/>
      <c r="I150" s="85"/>
      <c r="J150" s="91"/>
      <c r="K150" s="91"/>
      <c r="L150" s="91"/>
      <c r="M150" s="87">
        <v>39934</v>
      </c>
      <c r="N150" s="92"/>
    </row>
    <row r="151" spans="1:256" s="84" customFormat="1" x14ac:dyDescent="0.25">
      <c r="A151">
        <v>149</v>
      </c>
      <c r="B151" s="85" t="s">
        <v>190</v>
      </c>
      <c r="C151" s="85" t="s">
        <v>137</v>
      </c>
      <c r="D151" s="85" t="s">
        <v>6</v>
      </c>
      <c r="E151" s="94">
        <v>39.4</v>
      </c>
      <c r="F151" s="85" t="s">
        <v>33</v>
      </c>
      <c r="G151" s="85"/>
      <c r="H151" s="85"/>
      <c r="I151" s="85"/>
      <c r="J151" s="91"/>
      <c r="K151" s="91"/>
      <c r="L151" s="91"/>
      <c r="M151" s="87">
        <v>39868</v>
      </c>
      <c r="N151" s="92"/>
    </row>
    <row r="152" spans="1:256" s="84" customFormat="1" x14ac:dyDescent="0.25">
      <c r="A152">
        <v>150</v>
      </c>
      <c r="B152" s="85" t="s">
        <v>1260</v>
      </c>
      <c r="C152" s="85" t="s">
        <v>137</v>
      </c>
      <c r="D152" s="85" t="s">
        <v>6</v>
      </c>
      <c r="E152" s="94">
        <v>26</v>
      </c>
      <c r="F152" s="85" t="s">
        <v>33</v>
      </c>
      <c r="G152" s="85"/>
      <c r="H152" s="85"/>
      <c r="I152" s="85"/>
      <c r="J152" s="91"/>
      <c r="K152" s="91"/>
      <c r="L152" s="91"/>
      <c r="M152" s="87">
        <v>40257</v>
      </c>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2"/>
      <c r="AR152" s="92"/>
      <c r="AS152" s="92"/>
      <c r="AT152" s="92"/>
      <c r="AU152" s="92"/>
      <c r="AV152" s="92"/>
      <c r="AW152" s="92"/>
      <c r="AX152" s="92"/>
      <c r="AY152" s="92"/>
      <c r="AZ152" s="92"/>
      <c r="BA152" s="92"/>
      <c r="BB152" s="92"/>
      <c r="BC152" s="92"/>
      <c r="BD152" s="92"/>
      <c r="BE152" s="92"/>
      <c r="BF152" s="92"/>
      <c r="BG152" s="92"/>
      <c r="BH152" s="92"/>
      <c r="BI152" s="92"/>
      <c r="BJ152" s="92"/>
      <c r="BK152" s="92"/>
      <c r="BL152" s="92"/>
      <c r="BM152" s="92"/>
      <c r="BN152" s="92"/>
      <c r="BO152" s="92"/>
      <c r="BP152" s="92"/>
      <c r="BQ152" s="92"/>
      <c r="BR152" s="92"/>
      <c r="BS152" s="92"/>
      <c r="BT152" s="92"/>
      <c r="BU152" s="92"/>
      <c r="BV152" s="92"/>
      <c r="BW152" s="92"/>
      <c r="BX152" s="92"/>
      <c r="BY152" s="92"/>
      <c r="BZ152" s="92"/>
      <c r="CA152" s="92"/>
      <c r="CB152" s="92"/>
      <c r="CC152" s="92"/>
      <c r="CD152" s="92"/>
      <c r="CE152" s="92"/>
      <c r="CF152" s="92"/>
      <c r="CG152" s="92"/>
      <c r="CH152" s="92"/>
      <c r="CI152" s="92"/>
      <c r="CJ152" s="92"/>
      <c r="CK152" s="92"/>
      <c r="CL152" s="92"/>
      <c r="CM152" s="92"/>
      <c r="CN152" s="92"/>
      <c r="CO152" s="92"/>
      <c r="CP152" s="92"/>
      <c r="CQ152" s="92"/>
      <c r="CR152" s="92"/>
      <c r="CS152" s="92"/>
      <c r="CT152" s="92"/>
      <c r="CU152" s="92"/>
      <c r="CV152" s="92"/>
      <c r="CW152" s="92"/>
      <c r="CX152" s="92"/>
      <c r="CY152" s="92"/>
      <c r="CZ152" s="92"/>
      <c r="DA152" s="92"/>
      <c r="DB152" s="92"/>
      <c r="DC152" s="92"/>
      <c r="DD152" s="92"/>
      <c r="DE152" s="92"/>
      <c r="DF152" s="92"/>
      <c r="DG152" s="92"/>
      <c r="DH152" s="92"/>
      <c r="DI152" s="92"/>
      <c r="DJ152" s="92"/>
      <c r="DK152" s="92"/>
      <c r="DL152" s="92"/>
      <c r="DM152" s="92"/>
      <c r="DN152" s="92"/>
      <c r="DO152" s="92"/>
      <c r="DP152" s="92"/>
      <c r="DQ152" s="92"/>
      <c r="DR152" s="92"/>
      <c r="DS152" s="92"/>
      <c r="DT152" s="92"/>
      <c r="DU152" s="92"/>
      <c r="DV152" s="92"/>
      <c r="DW152" s="92"/>
      <c r="DX152" s="92"/>
      <c r="DY152" s="92"/>
      <c r="DZ152" s="92"/>
      <c r="EA152" s="92"/>
      <c r="EB152" s="92"/>
      <c r="EC152" s="92"/>
      <c r="ED152" s="92"/>
      <c r="EE152" s="92"/>
      <c r="EF152" s="92"/>
      <c r="EG152" s="92"/>
      <c r="EH152" s="92"/>
      <c r="EI152" s="92"/>
      <c r="EJ152" s="92"/>
      <c r="EK152" s="92"/>
      <c r="EL152" s="92"/>
      <c r="EM152" s="92"/>
      <c r="EN152" s="92"/>
      <c r="EO152" s="92"/>
      <c r="EP152" s="92"/>
      <c r="EQ152" s="92"/>
      <c r="ER152" s="92"/>
      <c r="ES152" s="92"/>
      <c r="ET152" s="92"/>
      <c r="EU152" s="92"/>
      <c r="EV152" s="92"/>
      <c r="EW152" s="92"/>
      <c r="EX152" s="92"/>
      <c r="EY152" s="92"/>
      <c r="EZ152" s="92"/>
      <c r="FA152" s="92"/>
      <c r="FB152" s="92"/>
      <c r="FC152" s="92"/>
      <c r="FD152" s="92"/>
      <c r="FE152" s="92"/>
      <c r="FF152" s="92"/>
      <c r="FG152" s="92"/>
      <c r="FH152" s="92"/>
      <c r="FI152" s="92"/>
      <c r="FJ152" s="92"/>
      <c r="FK152" s="92"/>
      <c r="FL152" s="92"/>
      <c r="FM152" s="92"/>
      <c r="FN152" s="92"/>
      <c r="FO152" s="92"/>
      <c r="FP152" s="92"/>
      <c r="FQ152" s="92"/>
      <c r="FR152" s="92"/>
      <c r="FS152" s="92"/>
      <c r="FT152" s="92"/>
      <c r="FU152" s="92"/>
      <c r="FV152" s="92"/>
      <c r="FW152" s="92"/>
      <c r="FX152" s="92"/>
      <c r="FY152" s="92"/>
      <c r="FZ152" s="92"/>
      <c r="GA152" s="92"/>
      <c r="GB152" s="92"/>
      <c r="GC152" s="92"/>
      <c r="GD152" s="92"/>
      <c r="GE152" s="92"/>
      <c r="GF152" s="92"/>
      <c r="GG152" s="92"/>
      <c r="GH152" s="92"/>
      <c r="GI152" s="92"/>
      <c r="GJ152" s="92"/>
      <c r="GK152" s="92"/>
      <c r="GL152" s="92"/>
      <c r="GM152" s="92"/>
      <c r="GN152" s="92"/>
      <c r="GO152" s="92"/>
      <c r="GP152" s="92"/>
      <c r="GQ152" s="92"/>
      <c r="GR152" s="92"/>
      <c r="GS152" s="92"/>
      <c r="GT152" s="92"/>
      <c r="GU152" s="92"/>
      <c r="GV152" s="92"/>
      <c r="GW152" s="92"/>
      <c r="GX152" s="92"/>
      <c r="GY152" s="92"/>
      <c r="GZ152" s="92"/>
      <c r="HA152" s="92"/>
      <c r="HB152" s="92"/>
      <c r="HC152" s="92"/>
      <c r="HD152" s="92"/>
      <c r="HE152" s="92"/>
      <c r="HF152" s="92"/>
      <c r="HG152" s="92"/>
      <c r="HH152" s="92"/>
      <c r="HI152" s="92"/>
      <c r="HJ152" s="92"/>
      <c r="HK152" s="92"/>
      <c r="HL152" s="92"/>
      <c r="HM152" s="92"/>
      <c r="HN152" s="92"/>
      <c r="HO152" s="92"/>
      <c r="HP152" s="92"/>
      <c r="HQ152" s="92"/>
      <c r="HR152" s="92"/>
      <c r="HS152" s="92"/>
      <c r="HT152" s="92"/>
      <c r="HU152" s="92"/>
      <c r="HV152" s="92"/>
      <c r="HW152" s="92"/>
      <c r="HX152" s="92"/>
      <c r="HY152" s="92"/>
      <c r="HZ152" s="92"/>
      <c r="IA152" s="92"/>
      <c r="IB152" s="92"/>
      <c r="IC152" s="92"/>
      <c r="ID152" s="92"/>
      <c r="IE152" s="92"/>
      <c r="IF152" s="92"/>
      <c r="IG152" s="92"/>
      <c r="IH152" s="92"/>
      <c r="II152" s="92"/>
      <c r="IJ152" s="92"/>
      <c r="IK152" s="92"/>
      <c r="IL152" s="92"/>
      <c r="IM152" s="92"/>
      <c r="IN152" s="92"/>
      <c r="IO152" s="92"/>
      <c r="IP152" s="92"/>
      <c r="IQ152" s="92"/>
      <c r="IR152" s="92"/>
      <c r="IS152" s="92"/>
      <c r="IT152" s="92"/>
      <c r="IU152" s="92"/>
      <c r="IV152" s="92"/>
    </row>
    <row r="153" spans="1:256" s="92" customFormat="1" x14ac:dyDescent="0.25">
      <c r="A153">
        <v>151</v>
      </c>
      <c r="B153" s="85" t="s">
        <v>1261</v>
      </c>
      <c r="C153" s="85" t="s">
        <v>137</v>
      </c>
      <c r="D153" s="85" t="s">
        <v>6</v>
      </c>
      <c r="E153" s="94">
        <v>43</v>
      </c>
      <c r="F153" s="85" t="s">
        <v>33</v>
      </c>
      <c r="G153" s="85"/>
      <c r="H153" s="85"/>
      <c r="I153" s="85"/>
      <c r="J153" s="91"/>
      <c r="K153" s="91"/>
      <c r="L153" s="91"/>
      <c r="M153" s="87">
        <v>40238</v>
      </c>
      <c r="O153" s="84"/>
      <c r="P153" s="84"/>
      <c r="Q153" s="84"/>
      <c r="R153" s="84"/>
      <c r="S153" s="84"/>
      <c r="T153" s="84"/>
      <c r="U153" s="84"/>
      <c r="V153" s="84"/>
      <c r="W153" s="84"/>
      <c r="X153" s="84"/>
      <c r="Y153" s="84"/>
      <c r="Z153" s="84"/>
      <c r="AA153" s="84"/>
      <c r="AB153" s="84"/>
      <c r="AC153" s="84"/>
      <c r="AD153" s="84"/>
      <c r="AE153" s="84"/>
      <c r="AF153" s="84"/>
      <c r="AG153" s="84"/>
      <c r="AH153" s="84"/>
      <c r="AI153" s="84"/>
      <c r="AJ153" s="84"/>
      <c r="AK153" s="84"/>
      <c r="AL153" s="84"/>
      <c r="AM153" s="84"/>
      <c r="AN153" s="84"/>
      <c r="AO153" s="84"/>
      <c r="AP153" s="84"/>
      <c r="AQ153" s="84"/>
      <c r="AR153" s="84"/>
      <c r="AS153" s="84"/>
      <c r="AT153" s="84"/>
      <c r="AU153" s="84"/>
      <c r="AV153" s="84"/>
      <c r="AW153" s="84"/>
      <c r="AX153" s="84"/>
      <c r="AY153" s="84"/>
      <c r="AZ153" s="84"/>
      <c r="BA153" s="84"/>
      <c r="BB153" s="84"/>
      <c r="BC153" s="84"/>
      <c r="BD153" s="84"/>
      <c r="BE153" s="84"/>
      <c r="BF153" s="84"/>
      <c r="BG153" s="84"/>
      <c r="BH153" s="84"/>
      <c r="BI153" s="84"/>
      <c r="BJ153" s="84"/>
      <c r="BK153" s="84"/>
      <c r="BL153" s="84"/>
      <c r="BM153" s="84"/>
      <c r="BN153" s="84"/>
      <c r="BO153" s="84"/>
      <c r="BP153" s="84"/>
      <c r="BQ153" s="84"/>
      <c r="BR153" s="84"/>
      <c r="BS153" s="84"/>
      <c r="BT153" s="84"/>
      <c r="BU153" s="84"/>
      <c r="BV153" s="84"/>
      <c r="BW153" s="84"/>
      <c r="BX153" s="84"/>
      <c r="BY153" s="84"/>
      <c r="BZ153" s="84"/>
      <c r="CA153" s="84"/>
      <c r="CB153" s="84"/>
      <c r="CC153" s="84"/>
      <c r="CD153" s="84"/>
      <c r="CE153" s="84"/>
      <c r="CF153" s="84"/>
      <c r="CG153" s="84"/>
      <c r="CH153" s="84"/>
      <c r="CI153" s="84"/>
      <c r="CJ153" s="84"/>
      <c r="CK153" s="84"/>
      <c r="CL153" s="84"/>
      <c r="CM153" s="84"/>
      <c r="CN153" s="84"/>
      <c r="CO153" s="84"/>
      <c r="CP153" s="84"/>
      <c r="CQ153" s="84"/>
      <c r="CR153" s="84"/>
      <c r="CS153" s="84"/>
      <c r="CT153" s="84"/>
      <c r="CU153" s="84"/>
      <c r="CV153" s="84"/>
      <c r="CW153" s="84"/>
      <c r="CX153" s="84"/>
      <c r="CY153" s="84"/>
      <c r="CZ153" s="84"/>
      <c r="DA153" s="84"/>
      <c r="DB153" s="84"/>
      <c r="DC153" s="84"/>
      <c r="DD153" s="84"/>
      <c r="DE153" s="84"/>
      <c r="DF153" s="84"/>
      <c r="DG153" s="84"/>
      <c r="DH153" s="84"/>
      <c r="DI153" s="84"/>
      <c r="DJ153" s="84"/>
      <c r="DK153" s="84"/>
      <c r="DL153" s="84"/>
      <c r="DM153" s="84"/>
      <c r="DN153" s="84"/>
      <c r="DO153" s="84"/>
      <c r="DP153" s="84"/>
      <c r="DQ153" s="84"/>
      <c r="DR153" s="84"/>
      <c r="DS153" s="84"/>
      <c r="DT153" s="84"/>
      <c r="DU153" s="84"/>
      <c r="DV153" s="84"/>
      <c r="DW153" s="84"/>
      <c r="DX153" s="84"/>
      <c r="DY153" s="84"/>
      <c r="DZ153" s="84"/>
      <c r="EA153" s="84"/>
      <c r="EB153" s="84"/>
      <c r="EC153" s="84"/>
      <c r="ED153" s="84"/>
      <c r="EE153" s="84"/>
      <c r="EF153" s="84"/>
      <c r="EG153" s="84"/>
      <c r="EH153" s="84"/>
      <c r="EI153" s="84"/>
      <c r="EJ153" s="84"/>
      <c r="EK153" s="84"/>
      <c r="EL153" s="84"/>
      <c r="EM153" s="84"/>
      <c r="EN153" s="84"/>
      <c r="EO153" s="84"/>
      <c r="EP153" s="84"/>
      <c r="EQ153" s="84"/>
      <c r="ER153" s="84"/>
      <c r="ES153" s="84"/>
      <c r="ET153" s="84"/>
      <c r="EU153" s="84"/>
      <c r="EV153" s="84"/>
      <c r="EW153" s="84"/>
      <c r="EX153" s="84"/>
      <c r="EY153" s="84"/>
      <c r="EZ153" s="84"/>
      <c r="FA153" s="84"/>
      <c r="FB153" s="84"/>
      <c r="FC153" s="84"/>
      <c r="FD153" s="84"/>
      <c r="FE153" s="84"/>
      <c r="FF153" s="84"/>
      <c r="FG153" s="84"/>
      <c r="FH153" s="84"/>
      <c r="FI153" s="84"/>
      <c r="FJ153" s="84"/>
      <c r="FK153" s="84"/>
      <c r="FL153" s="84"/>
      <c r="FM153" s="84"/>
      <c r="FN153" s="84"/>
      <c r="FO153" s="84"/>
      <c r="FP153" s="84"/>
      <c r="FQ153" s="84"/>
      <c r="FR153" s="84"/>
      <c r="FS153" s="84"/>
      <c r="FT153" s="84"/>
      <c r="FU153" s="84"/>
      <c r="FV153" s="84"/>
      <c r="FW153" s="84"/>
      <c r="FX153" s="84"/>
      <c r="FY153" s="84"/>
      <c r="FZ153" s="84"/>
      <c r="GA153" s="84"/>
      <c r="GB153" s="84"/>
      <c r="GC153" s="84"/>
      <c r="GD153" s="84"/>
      <c r="GE153" s="84"/>
      <c r="GF153" s="84"/>
      <c r="GG153" s="84"/>
      <c r="GH153" s="84"/>
      <c r="GI153" s="84"/>
      <c r="GJ153" s="84"/>
      <c r="GK153" s="84"/>
      <c r="GL153" s="84"/>
      <c r="GM153" s="84"/>
      <c r="GN153" s="84"/>
      <c r="GO153" s="84"/>
      <c r="GP153" s="84"/>
      <c r="GQ153" s="84"/>
      <c r="GR153" s="84"/>
      <c r="GS153" s="84"/>
      <c r="GT153" s="84"/>
      <c r="GU153" s="84"/>
      <c r="GV153" s="84"/>
      <c r="GW153" s="84"/>
      <c r="GX153" s="84"/>
      <c r="GY153" s="84"/>
      <c r="GZ153" s="84"/>
      <c r="HA153" s="84"/>
      <c r="HB153" s="84"/>
      <c r="HC153" s="84"/>
      <c r="HD153" s="84"/>
      <c r="HE153" s="84"/>
      <c r="HF153" s="84"/>
      <c r="HG153" s="84"/>
      <c r="HH153" s="84"/>
      <c r="HI153" s="84"/>
      <c r="HJ153" s="84"/>
      <c r="HK153" s="84"/>
      <c r="HL153" s="84"/>
      <c r="HM153" s="84"/>
      <c r="HN153" s="84"/>
      <c r="HO153" s="84"/>
      <c r="HP153" s="84"/>
      <c r="HQ153" s="84"/>
      <c r="HR153" s="84"/>
      <c r="HS153" s="84"/>
      <c r="HT153" s="84"/>
      <c r="HU153" s="84"/>
      <c r="HV153" s="84"/>
      <c r="HW153" s="84"/>
      <c r="HX153" s="84"/>
      <c r="HY153" s="84"/>
      <c r="HZ153" s="84"/>
      <c r="IA153" s="84"/>
      <c r="IB153" s="84"/>
      <c r="IC153" s="84"/>
      <c r="ID153" s="84"/>
      <c r="IE153" s="84"/>
      <c r="IF153" s="84"/>
      <c r="IG153" s="84"/>
      <c r="IH153" s="84"/>
      <c r="II153" s="84"/>
      <c r="IJ153" s="84"/>
      <c r="IK153" s="84"/>
      <c r="IL153" s="84"/>
      <c r="IM153" s="84"/>
      <c r="IN153" s="84"/>
      <c r="IO153" s="84"/>
      <c r="IP153" s="84"/>
      <c r="IQ153" s="84"/>
      <c r="IR153" s="84"/>
      <c r="IS153" s="84"/>
      <c r="IT153" s="84"/>
      <c r="IU153" s="84"/>
      <c r="IV153" s="84"/>
    </row>
    <row r="154" spans="1:256" s="84" customFormat="1" x14ac:dyDescent="0.25">
      <c r="A154">
        <v>152</v>
      </c>
      <c r="B154" s="85" t="s">
        <v>191</v>
      </c>
      <c r="C154" s="92" t="s">
        <v>30</v>
      </c>
      <c r="D154" s="92" t="s">
        <v>6</v>
      </c>
      <c r="E154" s="105">
        <v>35</v>
      </c>
      <c r="F154" s="92" t="s">
        <v>33</v>
      </c>
      <c r="G154" s="92"/>
      <c r="H154" s="92"/>
      <c r="I154" s="92"/>
      <c r="J154" s="91"/>
      <c r="K154" s="91"/>
      <c r="L154" s="91"/>
      <c r="M154" s="95"/>
      <c r="N154" s="92"/>
    </row>
    <row r="155" spans="1:256" s="84" customFormat="1" x14ac:dyDescent="0.25">
      <c r="A155">
        <v>153</v>
      </c>
      <c r="B155" s="85" t="s">
        <v>192</v>
      </c>
      <c r="C155" s="85" t="s">
        <v>80</v>
      </c>
      <c r="D155" s="85" t="s">
        <v>6</v>
      </c>
      <c r="E155" s="104">
        <v>49.5</v>
      </c>
      <c r="F155" s="85" t="s">
        <v>33</v>
      </c>
      <c r="G155" s="85"/>
      <c r="H155" s="85"/>
      <c r="I155" s="85"/>
      <c r="J155" s="91"/>
      <c r="K155" s="91"/>
      <c r="L155" s="91"/>
      <c r="M155" s="87"/>
      <c r="N155" s="85"/>
    </row>
    <row r="156" spans="1:256" s="84" customFormat="1" x14ac:dyDescent="0.25">
      <c r="A156">
        <v>154</v>
      </c>
      <c r="B156" s="85" t="s">
        <v>193</v>
      </c>
      <c r="C156" s="85" t="s">
        <v>80</v>
      </c>
      <c r="D156" s="85" t="s">
        <v>6</v>
      </c>
      <c r="E156" s="104">
        <v>49.5</v>
      </c>
      <c r="F156" s="85" t="s">
        <v>33</v>
      </c>
      <c r="G156" s="85"/>
      <c r="H156" s="85"/>
      <c r="I156" s="85"/>
      <c r="J156" s="91"/>
      <c r="K156" s="91"/>
      <c r="L156" s="91"/>
      <c r="M156" s="87"/>
      <c r="N156" s="85"/>
    </row>
    <row r="157" spans="1:256" s="84" customFormat="1" x14ac:dyDescent="0.25">
      <c r="A157">
        <v>155</v>
      </c>
      <c r="B157" s="85" t="s">
        <v>194</v>
      </c>
      <c r="C157" s="85" t="s">
        <v>80</v>
      </c>
      <c r="D157" s="85" t="s">
        <v>6</v>
      </c>
      <c r="E157" s="104">
        <v>49.5</v>
      </c>
      <c r="F157" s="85" t="s">
        <v>33</v>
      </c>
      <c r="G157" s="85"/>
      <c r="H157" s="85"/>
      <c r="I157" s="85"/>
      <c r="J157" s="91"/>
      <c r="K157" s="91"/>
      <c r="L157" s="91"/>
      <c r="M157" s="87"/>
      <c r="N157" s="85"/>
    </row>
    <row r="158" spans="1:256" s="84" customFormat="1" x14ac:dyDescent="0.25">
      <c r="A158">
        <v>156</v>
      </c>
      <c r="B158" s="85" t="s">
        <v>195</v>
      </c>
      <c r="C158" s="85" t="s">
        <v>80</v>
      </c>
      <c r="D158" s="85" t="s">
        <v>6</v>
      </c>
      <c r="E158" s="104">
        <v>49.5</v>
      </c>
      <c r="F158" s="85" t="s">
        <v>33</v>
      </c>
      <c r="G158" s="85"/>
      <c r="H158" s="85"/>
      <c r="I158" s="85"/>
      <c r="J158" s="91"/>
      <c r="K158" s="91"/>
      <c r="L158" s="91"/>
      <c r="M158" s="87"/>
      <c r="N158" s="85"/>
    </row>
    <row r="159" spans="1:256" s="84" customFormat="1" x14ac:dyDescent="0.25">
      <c r="A159">
        <v>157</v>
      </c>
      <c r="B159" s="85" t="s">
        <v>196</v>
      </c>
      <c r="C159" s="85" t="s">
        <v>80</v>
      </c>
      <c r="D159" s="85" t="s">
        <v>6</v>
      </c>
      <c r="E159" s="93">
        <v>97.5</v>
      </c>
      <c r="F159" s="85" t="s">
        <v>33</v>
      </c>
      <c r="G159" s="85"/>
      <c r="H159" s="85"/>
      <c r="I159" s="85"/>
      <c r="J159" s="91"/>
      <c r="K159" s="91"/>
      <c r="L159" s="91"/>
      <c r="M159" s="87">
        <v>39886</v>
      </c>
      <c r="N159" s="92"/>
    </row>
    <row r="160" spans="1:256" s="84" customFormat="1" x14ac:dyDescent="0.25">
      <c r="A160">
        <v>158</v>
      </c>
      <c r="B160" s="85" t="s">
        <v>197</v>
      </c>
      <c r="C160" s="85" t="s">
        <v>80</v>
      </c>
      <c r="D160" s="85" t="s">
        <v>6</v>
      </c>
      <c r="E160" s="93">
        <v>33.25</v>
      </c>
      <c r="F160" s="85" t="s">
        <v>33</v>
      </c>
      <c r="G160" s="85"/>
      <c r="H160" s="85"/>
      <c r="I160" s="85"/>
      <c r="J160" s="91"/>
      <c r="K160" s="91"/>
      <c r="L160" s="91"/>
      <c r="M160" s="87"/>
      <c r="N160" s="92"/>
    </row>
    <row r="161" spans="1:14" s="84" customFormat="1" x14ac:dyDescent="0.25">
      <c r="A161">
        <v>159</v>
      </c>
      <c r="B161" s="85" t="s">
        <v>198</v>
      </c>
      <c r="C161" s="92" t="s">
        <v>199</v>
      </c>
      <c r="D161" s="92" t="s">
        <v>6</v>
      </c>
      <c r="E161" s="94">
        <v>35</v>
      </c>
      <c r="F161" s="92" t="s">
        <v>33</v>
      </c>
      <c r="G161" s="92"/>
      <c r="H161" s="92"/>
      <c r="I161" s="92"/>
      <c r="J161" s="91"/>
      <c r="K161" s="91"/>
      <c r="L161" s="91"/>
      <c r="M161" s="95">
        <v>40028</v>
      </c>
      <c r="N161" s="92"/>
    </row>
    <row r="162" spans="1:14" s="84" customFormat="1" x14ac:dyDescent="0.25">
      <c r="A162">
        <v>160</v>
      </c>
      <c r="B162" s="85" t="s">
        <v>200</v>
      </c>
      <c r="C162" s="85" t="s">
        <v>30</v>
      </c>
      <c r="D162" s="92" t="s">
        <v>6</v>
      </c>
      <c r="E162" s="86">
        <v>5</v>
      </c>
      <c r="F162" s="85" t="s">
        <v>33</v>
      </c>
      <c r="G162" s="85"/>
      <c r="H162" s="85"/>
      <c r="I162" s="85"/>
      <c r="J162" s="91"/>
      <c r="K162" s="91"/>
      <c r="L162" s="91"/>
      <c r="M162" s="87">
        <v>39866</v>
      </c>
      <c r="N162" s="106" t="s">
        <v>201</v>
      </c>
    </row>
    <row r="163" spans="1:14" s="84" customFormat="1" x14ac:dyDescent="0.25">
      <c r="A163">
        <v>161</v>
      </c>
      <c r="B163" s="85" t="s">
        <v>1262</v>
      </c>
      <c r="C163" s="85" t="s">
        <v>30</v>
      </c>
      <c r="D163" s="92" t="s">
        <v>1263</v>
      </c>
      <c r="E163" s="86">
        <v>0</v>
      </c>
      <c r="F163" s="85" t="s">
        <v>33</v>
      </c>
      <c r="G163" s="85"/>
      <c r="H163" s="85"/>
      <c r="I163" s="85"/>
      <c r="J163" s="91"/>
      <c r="K163" s="91"/>
      <c r="L163" s="91"/>
      <c r="M163" s="87">
        <v>40263</v>
      </c>
      <c r="N163" s="106" t="s">
        <v>157</v>
      </c>
    </row>
    <row r="164" spans="1:14" s="84" customFormat="1" x14ac:dyDescent="0.25">
      <c r="A164">
        <v>162</v>
      </c>
      <c r="B164" s="85" t="s">
        <v>1264</v>
      </c>
      <c r="C164" s="85" t="s">
        <v>30</v>
      </c>
      <c r="D164" s="92" t="s">
        <v>1263</v>
      </c>
      <c r="E164" s="86">
        <v>0</v>
      </c>
      <c r="F164" s="85" t="s">
        <v>33</v>
      </c>
      <c r="G164" s="85"/>
      <c r="H164" s="85"/>
      <c r="I164" s="85"/>
      <c r="J164" s="91"/>
      <c r="K164" s="91"/>
      <c r="L164" s="91"/>
      <c r="M164" s="87">
        <v>40263</v>
      </c>
      <c r="N164" s="106" t="s">
        <v>157</v>
      </c>
    </row>
    <row r="165" spans="1:14" s="84" customFormat="1" x14ac:dyDescent="0.25">
      <c r="A165">
        <v>163</v>
      </c>
      <c r="B165" s="85" t="s">
        <v>1265</v>
      </c>
      <c r="C165" s="85" t="s">
        <v>30</v>
      </c>
      <c r="D165" s="92" t="s">
        <v>1263</v>
      </c>
      <c r="E165" s="86">
        <v>0</v>
      </c>
      <c r="F165" s="85" t="s">
        <v>33</v>
      </c>
      <c r="G165" s="85"/>
      <c r="H165" s="85"/>
      <c r="I165" s="85"/>
      <c r="J165" s="91"/>
      <c r="K165" s="91"/>
      <c r="L165" s="91"/>
      <c r="M165" s="87">
        <v>40263</v>
      </c>
      <c r="N165" s="106" t="s">
        <v>157</v>
      </c>
    </row>
    <row r="166" spans="1:14" s="84" customFormat="1" x14ac:dyDescent="0.25">
      <c r="A166">
        <v>164</v>
      </c>
      <c r="B166" s="85" t="s">
        <v>1266</v>
      </c>
      <c r="C166" s="85" t="s">
        <v>30</v>
      </c>
      <c r="D166" s="92" t="s">
        <v>1263</v>
      </c>
      <c r="E166" s="86">
        <v>0</v>
      </c>
      <c r="F166" s="85" t="s">
        <v>33</v>
      </c>
      <c r="G166" s="85"/>
      <c r="H166" s="85"/>
      <c r="I166" s="85"/>
      <c r="J166" s="91"/>
      <c r="K166" s="91"/>
      <c r="L166" s="91"/>
      <c r="M166" s="87">
        <v>40263</v>
      </c>
      <c r="N166" s="106" t="s">
        <v>157</v>
      </c>
    </row>
    <row r="167" spans="1:14" s="84" customFormat="1" x14ac:dyDescent="0.25">
      <c r="A167">
        <v>165</v>
      </c>
      <c r="B167" s="85" t="s">
        <v>1267</v>
      </c>
      <c r="C167" s="85" t="s">
        <v>30</v>
      </c>
      <c r="D167" s="92" t="s">
        <v>1263</v>
      </c>
      <c r="E167" s="86">
        <v>0</v>
      </c>
      <c r="F167" s="85" t="s">
        <v>33</v>
      </c>
      <c r="G167" s="85"/>
      <c r="H167" s="85"/>
      <c r="I167" s="85"/>
      <c r="J167" s="91"/>
      <c r="K167" s="91"/>
      <c r="L167" s="91"/>
      <c r="M167" s="87">
        <v>40263</v>
      </c>
      <c r="N167" s="106" t="s">
        <v>157</v>
      </c>
    </row>
    <row r="168" spans="1:14" s="84" customFormat="1" x14ac:dyDescent="0.25">
      <c r="A168">
        <v>166</v>
      </c>
      <c r="B168" s="85" t="s">
        <v>202</v>
      </c>
      <c r="C168" s="85" t="s">
        <v>30</v>
      </c>
      <c r="D168" s="85" t="s">
        <v>203</v>
      </c>
      <c r="E168" s="88">
        <v>0</v>
      </c>
      <c r="F168" s="85" t="s">
        <v>204</v>
      </c>
      <c r="G168" s="85"/>
      <c r="H168" s="85"/>
      <c r="I168" s="85"/>
      <c r="J168" s="91"/>
      <c r="K168" s="91"/>
      <c r="L168" s="91"/>
      <c r="M168" s="87"/>
      <c r="N168" s="106" t="s">
        <v>205</v>
      </c>
    </row>
    <row r="169" spans="1:14" s="84" customFormat="1" x14ac:dyDescent="0.25">
      <c r="A169">
        <v>167</v>
      </c>
      <c r="B169" s="85" t="s">
        <v>206</v>
      </c>
      <c r="C169" s="85" t="s">
        <v>30</v>
      </c>
      <c r="D169" s="85" t="s">
        <v>203</v>
      </c>
      <c r="E169" s="88">
        <v>150</v>
      </c>
      <c r="F169" s="85" t="s">
        <v>207</v>
      </c>
      <c r="G169" s="85"/>
      <c r="H169" s="85"/>
      <c r="I169" s="85"/>
      <c r="J169" s="91"/>
      <c r="K169" s="91"/>
      <c r="L169" s="91"/>
      <c r="M169" s="87"/>
      <c r="N169" s="106" t="s">
        <v>208</v>
      </c>
    </row>
    <row r="170" spans="1:14" s="84" customFormat="1" x14ac:dyDescent="0.25">
      <c r="A170">
        <v>168</v>
      </c>
      <c r="B170" s="85" t="s">
        <v>209</v>
      </c>
      <c r="C170" s="85" t="s">
        <v>30</v>
      </c>
      <c r="D170" s="85" t="s">
        <v>203</v>
      </c>
      <c r="E170" s="88">
        <v>200</v>
      </c>
      <c r="F170" s="85" t="s">
        <v>207</v>
      </c>
      <c r="G170" s="85"/>
      <c r="H170" s="85"/>
      <c r="I170" s="85"/>
      <c r="J170" s="91"/>
      <c r="K170" s="91"/>
      <c r="L170" s="91"/>
      <c r="M170" s="87"/>
      <c r="N170" s="106" t="s">
        <v>208</v>
      </c>
    </row>
    <row r="171" spans="1:14" s="84" customFormat="1" x14ac:dyDescent="0.25">
      <c r="A171">
        <v>169</v>
      </c>
      <c r="B171" s="85" t="s">
        <v>1268</v>
      </c>
      <c r="C171" s="85" t="s">
        <v>30</v>
      </c>
      <c r="D171" s="85" t="s">
        <v>203</v>
      </c>
      <c r="E171" s="102">
        <v>9.1999999999999998E-3</v>
      </c>
      <c r="F171" s="85" t="s">
        <v>150</v>
      </c>
      <c r="G171" s="85"/>
      <c r="H171" s="85"/>
      <c r="I171" s="85"/>
      <c r="J171" s="91"/>
      <c r="K171" s="91"/>
      <c r="L171" s="91"/>
      <c r="M171" s="87">
        <v>39922</v>
      </c>
      <c r="N171" s="106" t="s">
        <v>1269</v>
      </c>
    </row>
    <row r="172" spans="1:14" s="84" customFormat="1" x14ac:dyDescent="0.25">
      <c r="A172">
        <v>170</v>
      </c>
      <c r="B172" s="85" t="s">
        <v>1270</v>
      </c>
      <c r="C172" s="85" t="s">
        <v>30</v>
      </c>
      <c r="D172" s="85" t="s">
        <v>203</v>
      </c>
      <c r="E172" s="102">
        <v>1.1999999999999999E-3</v>
      </c>
      <c r="F172" s="85" t="s">
        <v>150</v>
      </c>
      <c r="G172" s="85"/>
      <c r="H172" s="85"/>
      <c r="I172" s="85"/>
      <c r="J172" s="91"/>
      <c r="K172" s="91"/>
      <c r="L172" s="91"/>
      <c r="M172" s="87">
        <v>39922</v>
      </c>
      <c r="N172" s="106" t="s">
        <v>1271</v>
      </c>
    </row>
    <row r="173" spans="1:14" s="84" customFormat="1" x14ac:dyDescent="0.25">
      <c r="A173">
        <v>171</v>
      </c>
      <c r="B173" s="85" t="s">
        <v>1272</v>
      </c>
      <c r="C173" s="85" t="s">
        <v>30</v>
      </c>
      <c r="D173" s="85" t="s">
        <v>203</v>
      </c>
      <c r="E173" s="102">
        <v>9.1999999999999998E-3</v>
      </c>
      <c r="F173" s="85" t="s">
        <v>150</v>
      </c>
      <c r="G173" s="85"/>
      <c r="H173" s="85"/>
      <c r="I173" s="85"/>
      <c r="J173" s="91"/>
      <c r="K173" s="91"/>
      <c r="L173" s="91"/>
      <c r="M173" s="87">
        <v>39922</v>
      </c>
      <c r="N173" s="106" t="s">
        <v>1269</v>
      </c>
    </row>
    <row r="174" spans="1:14" s="84" customFormat="1" x14ac:dyDescent="0.25">
      <c r="A174">
        <v>172</v>
      </c>
      <c r="B174" s="85" t="s">
        <v>210</v>
      </c>
      <c r="C174" s="85" t="s">
        <v>30</v>
      </c>
      <c r="D174" s="85" t="s">
        <v>211</v>
      </c>
      <c r="E174" s="94">
        <v>0</v>
      </c>
      <c r="F174" s="92" t="s">
        <v>33</v>
      </c>
      <c r="G174" s="92"/>
      <c r="H174" s="92"/>
      <c r="I174" s="92"/>
      <c r="J174" s="91"/>
      <c r="K174" s="91"/>
      <c r="L174" s="91"/>
      <c r="M174" s="95">
        <v>39880</v>
      </c>
      <c r="N174" s="106" t="s">
        <v>157</v>
      </c>
    </row>
    <row r="175" spans="1:14" s="84" customFormat="1" x14ac:dyDescent="0.25">
      <c r="A175">
        <v>173</v>
      </c>
      <c r="B175" s="85" t="s">
        <v>212</v>
      </c>
      <c r="C175" s="85" t="s">
        <v>30</v>
      </c>
      <c r="D175" s="85" t="s">
        <v>211</v>
      </c>
      <c r="E175" s="94">
        <v>0</v>
      </c>
      <c r="F175" s="92" t="s">
        <v>33</v>
      </c>
      <c r="G175" s="92"/>
      <c r="H175" s="92"/>
      <c r="I175" s="92"/>
      <c r="J175" s="91"/>
      <c r="K175" s="91"/>
      <c r="L175" s="91"/>
      <c r="M175" s="95">
        <v>39880</v>
      </c>
      <c r="N175" s="106" t="s">
        <v>157</v>
      </c>
    </row>
    <row r="176" spans="1:14" s="84" customFormat="1" x14ac:dyDescent="0.25">
      <c r="A176">
        <v>174</v>
      </c>
      <c r="B176" s="85" t="s">
        <v>1273</v>
      </c>
      <c r="C176" s="85" t="s">
        <v>1274</v>
      </c>
      <c r="D176" s="85" t="s">
        <v>211</v>
      </c>
      <c r="E176" s="94">
        <v>2</v>
      </c>
      <c r="F176" s="92" t="s">
        <v>33</v>
      </c>
      <c r="G176" s="92"/>
      <c r="H176" s="92"/>
      <c r="I176" s="92"/>
      <c r="J176" s="91"/>
      <c r="K176" s="91"/>
      <c r="L176" s="91"/>
      <c r="M176" s="95">
        <v>39925</v>
      </c>
      <c r="N176" s="106" t="s">
        <v>213</v>
      </c>
    </row>
    <row r="177" spans="1:14" s="84" customFormat="1" x14ac:dyDescent="0.25">
      <c r="A177">
        <v>175</v>
      </c>
      <c r="B177" s="85" t="s">
        <v>1275</v>
      </c>
      <c r="C177" s="85" t="s">
        <v>1274</v>
      </c>
      <c r="D177" s="85" t="s">
        <v>211</v>
      </c>
      <c r="E177" s="94">
        <v>2</v>
      </c>
      <c r="F177" s="92" t="s">
        <v>33</v>
      </c>
      <c r="G177" s="92"/>
      <c r="H177" s="92"/>
      <c r="I177" s="92"/>
      <c r="J177" s="91"/>
      <c r="K177" s="91"/>
      <c r="L177" s="91"/>
      <c r="M177" s="95">
        <v>39925</v>
      </c>
      <c r="N177" s="106" t="s">
        <v>213</v>
      </c>
    </row>
    <row r="178" spans="1:14" s="84" customFormat="1" x14ac:dyDescent="0.25">
      <c r="A178">
        <v>176</v>
      </c>
      <c r="B178" s="85" t="s">
        <v>214</v>
      </c>
      <c r="C178" s="85" t="s">
        <v>30</v>
      </c>
      <c r="D178" s="85" t="s">
        <v>203</v>
      </c>
      <c r="E178" s="88">
        <v>100</v>
      </c>
      <c r="F178" s="85" t="s">
        <v>207</v>
      </c>
      <c r="G178" s="85"/>
      <c r="H178" s="85"/>
      <c r="I178" s="85"/>
      <c r="J178" s="91"/>
      <c r="K178" s="91"/>
      <c r="L178" s="91"/>
      <c r="M178" s="87"/>
      <c r="N178" s="106" t="s">
        <v>215</v>
      </c>
    </row>
    <row r="179" spans="1:14" s="84" customFormat="1" x14ac:dyDescent="0.25">
      <c r="A179">
        <v>177</v>
      </c>
      <c r="B179" s="85" t="s">
        <v>216</v>
      </c>
      <c r="C179" s="85" t="s">
        <v>30</v>
      </c>
      <c r="D179" s="85" t="s">
        <v>203</v>
      </c>
      <c r="E179" s="88">
        <v>50</v>
      </c>
      <c r="F179" s="85" t="s">
        <v>207</v>
      </c>
      <c r="G179" s="85"/>
      <c r="H179" s="85"/>
      <c r="I179" s="85"/>
      <c r="J179" s="91"/>
      <c r="K179" s="91"/>
      <c r="L179" s="91"/>
      <c r="M179" s="87"/>
      <c r="N179" s="106" t="s">
        <v>217</v>
      </c>
    </row>
    <row r="180" spans="1:14" s="84" customFormat="1" x14ac:dyDescent="0.25">
      <c r="A180">
        <v>178</v>
      </c>
      <c r="B180" s="85" t="s">
        <v>218</v>
      </c>
      <c r="C180" s="85" t="s">
        <v>30</v>
      </c>
      <c r="D180" s="85" t="s">
        <v>203</v>
      </c>
      <c r="E180" s="94">
        <v>10</v>
      </c>
      <c r="F180" s="85" t="s">
        <v>207</v>
      </c>
      <c r="G180" s="85"/>
      <c r="H180" s="85"/>
      <c r="I180" s="85"/>
      <c r="J180" s="91"/>
      <c r="K180" s="91"/>
      <c r="L180" s="91"/>
      <c r="M180" s="87">
        <v>39873</v>
      </c>
      <c r="N180" s="106" t="s">
        <v>217</v>
      </c>
    </row>
    <row r="181" spans="1:14" s="84" customFormat="1" x14ac:dyDescent="0.25">
      <c r="A181">
        <v>179</v>
      </c>
      <c r="B181" s="85" t="s">
        <v>219</v>
      </c>
      <c r="C181" s="85" t="s">
        <v>30</v>
      </c>
      <c r="D181" s="85" t="s">
        <v>203</v>
      </c>
      <c r="E181" s="88">
        <v>125</v>
      </c>
      <c r="F181" s="85" t="s">
        <v>207</v>
      </c>
      <c r="G181" s="85"/>
      <c r="H181" s="85"/>
      <c r="I181" s="85"/>
      <c r="J181" s="91"/>
      <c r="K181" s="91"/>
      <c r="L181" s="91"/>
      <c r="M181" s="87"/>
      <c r="N181" s="106" t="s">
        <v>217</v>
      </c>
    </row>
    <row r="182" spans="1:14" s="84" customFormat="1" x14ac:dyDescent="0.25">
      <c r="A182">
        <v>180</v>
      </c>
      <c r="B182" s="85" t="s">
        <v>220</v>
      </c>
      <c r="C182" s="85" t="s">
        <v>30</v>
      </c>
      <c r="D182" s="85" t="s">
        <v>203</v>
      </c>
      <c r="E182" s="100">
        <v>20</v>
      </c>
      <c r="F182" s="85" t="s">
        <v>207</v>
      </c>
      <c r="G182" s="85"/>
      <c r="H182" s="85"/>
      <c r="I182" s="85"/>
      <c r="J182" s="91"/>
      <c r="K182" s="91"/>
      <c r="L182" s="91"/>
      <c r="M182" s="87">
        <v>39898</v>
      </c>
      <c r="N182" s="106"/>
    </row>
    <row r="183" spans="1:14" s="84" customFormat="1" x14ac:dyDescent="0.25">
      <c r="A183">
        <v>181</v>
      </c>
      <c r="B183" s="85" t="s">
        <v>1276</v>
      </c>
      <c r="C183" s="85" t="s">
        <v>30</v>
      </c>
      <c r="D183" s="85" t="s">
        <v>203</v>
      </c>
      <c r="E183" s="88">
        <v>35</v>
      </c>
      <c r="F183" s="85" t="s">
        <v>207</v>
      </c>
      <c r="G183" s="85"/>
      <c r="H183" s="85"/>
      <c r="I183" s="85"/>
      <c r="J183" s="91"/>
      <c r="K183" s="91"/>
      <c r="L183" s="91"/>
      <c r="M183" s="87">
        <v>40288</v>
      </c>
      <c r="N183" s="106" t="s">
        <v>1277</v>
      </c>
    </row>
    <row r="184" spans="1:14" s="84" customFormat="1" x14ac:dyDescent="0.25">
      <c r="A184">
        <v>182</v>
      </c>
      <c r="B184" s="85" t="s">
        <v>221</v>
      </c>
      <c r="C184" s="85" t="s">
        <v>30</v>
      </c>
      <c r="D184" s="85" t="s">
        <v>203</v>
      </c>
      <c r="E184" s="88">
        <v>125</v>
      </c>
      <c r="F184" s="85" t="s">
        <v>207</v>
      </c>
      <c r="G184" s="85"/>
      <c r="H184" s="85"/>
      <c r="I184" s="85"/>
      <c r="J184" s="91"/>
      <c r="K184" s="91"/>
      <c r="L184" s="91"/>
      <c r="M184" s="87"/>
      <c r="N184" s="106" t="s">
        <v>217</v>
      </c>
    </row>
    <row r="185" spans="1:14" s="84" customFormat="1" x14ac:dyDescent="0.25">
      <c r="A185">
        <v>183</v>
      </c>
      <c r="B185" s="85" t="s">
        <v>222</v>
      </c>
      <c r="C185" s="85" t="s">
        <v>64</v>
      </c>
      <c r="D185" s="85" t="s">
        <v>223</v>
      </c>
      <c r="E185" s="107">
        <v>125</v>
      </c>
      <c r="F185" s="85" t="s">
        <v>33</v>
      </c>
      <c r="G185" s="85"/>
      <c r="H185" s="85"/>
      <c r="I185" s="85"/>
      <c r="J185" s="91"/>
      <c r="K185" s="91"/>
      <c r="L185" s="91"/>
      <c r="M185" s="87">
        <v>39874</v>
      </c>
      <c r="N185" s="106" t="s">
        <v>224</v>
      </c>
    </row>
    <row r="186" spans="1:14" s="84" customFormat="1" x14ac:dyDescent="0.25">
      <c r="A186">
        <v>184</v>
      </c>
      <c r="B186" s="85" t="s">
        <v>225</v>
      </c>
      <c r="C186" s="85" t="s">
        <v>64</v>
      </c>
      <c r="D186" s="85" t="s">
        <v>223</v>
      </c>
      <c r="E186" s="107">
        <v>125</v>
      </c>
      <c r="F186" s="85" t="s">
        <v>33</v>
      </c>
      <c r="G186" s="85"/>
      <c r="H186" s="85"/>
      <c r="I186" s="85"/>
      <c r="J186" s="91"/>
      <c r="K186" s="91"/>
      <c r="L186" s="91"/>
      <c r="M186" s="87">
        <v>39874</v>
      </c>
      <c r="N186" s="106" t="s">
        <v>226</v>
      </c>
    </row>
    <row r="187" spans="1:14" s="84" customFormat="1" x14ac:dyDescent="0.25">
      <c r="A187">
        <v>185</v>
      </c>
      <c r="B187" s="85" t="s">
        <v>227</v>
      </c>
      <c r="C187" s="85" t="s">
        <v>64</v>
      </c>
      <c r="D187" s="85" t="s">
        <v>223</v>
      </c>
      <c r="E187" s="107">
        <v>5</v>
      </c>
      <c r="F187" s="85" t="s">
        <v>33</v>
      </c>
      <c r="G187" s="85"/>
      <c r="H187" s="85"/>
      <c r="I187" s="85"/>
      <c r="J187" s="91"/>
      <c r="K187" s="91"/>
      <c r="L187" s="91"/>
      <c r="M187" s="87">
        <v>39874</v>
      </c>
      <c r="N187" s="106" t="s">
        <v>228</v>
      </c>
    </row>
    <row r="188" spans="1:14" s="84" customFormat="1" x14ac:dyDescent="0.25">
      <c r="A188">
        <v>186</v>
      </c>
      <c r="B188" s="85" t="s">
        <v>229</v>
      </c>
      <c r="C188" s="85" t="s">
        <v>64</v>
      </c>
      <c r="D188" s="85" t="s">
        <v>223</v>
      </c>
      <c r="E188" s="107">
        <v>10</v>
      </c>
      <c r="F188" s="85" t="s">
        <v>33</v>
      </c>
      <c r="G188" s="85"/>
      <c r="H188" s="85"/>
      <c r="I188" s="85"/>
      <c r="J188" s="91"/>
      <c r="K188" s="91"/>
      <c r="L188" s="91"/>
      <c r="M188" s="87">
        <v>39874</v>
      </c>
      <c r="N188" s="106" t="s">
        <v>230</v>
      </c>
    </row>
    <row r="189" spans="1:14" s="84" customFormat="1" x14ac:dyDescent="0.25">
      <c r="A189">
        <v>187</v>
      </c>
      <c r="B189" s="85" t="s">
        <v>231</v>
      </c>
      <c r="C189" s="85" t="s">
        <v>64</v>
      </c>
      <c r="D189" s="85" t="s">
        <v>223</v>
      </c>
      <c r="E189" s="107">
        <v>20</v>
      </c>
      <c r="F189" s="85" t="s">
        <v>33</v>
      </c>
      <c r="G189" s="85"/>
      <c r="H189" s="85"/>
      <c r="I189" s="85"/>
      <c r="J189" s="91"/>
      <c r="K189" s="91"/>
      <c r="L189" s="91"/>
      <c r="M189" s="87">
        <v>39874</v>
      </c>
      <c r="N189" s="106" t="s">
        <v>232</v>
      </c>
    </row>
    <row r="190" spans="1:14" s="84" customFormat="1" x14ac:dyDescent="0.25">
      <c r="A190">
        <v>187</v>
      </c>
      <c r="B190" s="85" t="s">
        <v>231</v>
      </c>
      <c r="C190" s="85" t="s">
        <v>64</v>
      </c>
      <c r="D190" s="85" t="s">
        <v>223</v>
      </c>
      <c r="E190" s="107">
        <v>5</v>
      </c>
      <c r="F190" s="85" t="s">
        <v>33</v>
      </c>
      <c r="G190" s="85"/>
      <c r="H190" s="85"/>
      <c r="I190" s="85"/>
      <c r="J190" s="91"/>
      <c r="K190" s="91"/>
      <c r="L190" s="91"/>
      <c r="M190" s="87">
        <v>39874</v>
      </c>
      <c r="N190" s="106" t="s">
        <v>233</v>
      </c>
    </row>
    <row r="191" spans="1:14" s="84" customFormat="1" x14ac:dyDescent="0.25">
      <c r="A191">
        <v>189</v>
      </c>
      <c r="B191" s="85" t="s">
        <v>234</v>
      </c>
      <c r="C191" s="85" t="s">
        <v>64</v>
      </c>
      <c r="D191" s="85" t="s">
        <v>223</v>
      </c>
      <c r="E191" s="107">
        <v>150</v>
      </c>
      <c r="F191" s="85" t="s">
        <v>33</v>
      </c>
      <c r="G191" s="85"/>
      <c r="H191" s="85"/>
      <c r="I191" s="85"/>
      <c r="J191" s="91"/>
      <c r="K191" s="91"/>
      <c r="L191" s="91"/>
      <c r="M191" s="87">
        <v>39874</v>
      </c>
      <c r="N191" s="106" t="s">
        <v>228</v>
      </c>
    </row>
    <row r="192" spans="1:14" s="84" customFormat="1" x14ac:dyDescent="0.25">
      <c r="A192">
        <v>190</v>
      </c>
      <c r="B192" s="85" t="s">
        <v>235</v>
      </c>
      <c r="C192" s="85" t="s">
        <v>64</v>
      </c>
      <c r="D192" s="85" t="s">
        <v>223</v>
      </c>
      <c r="E192" s="107">
        <v>25</v>
      </c>
      <c r="F192" s="85" t="s">
        <v>33</v>
      </c>
      <c r="G192" s="85"/>
      <c r="H192" s="85"/>
      <c r="I192" s="85"/>
      <c r="J192" s="91"/>
      <c r="K192" s="91"/>
      <c r="L192" s="91"/>
      <c r="M192" s="87">
        <v>39874</v>
      </c>
      <c r="N192" s="106" t="s">
        <v>236</v>
      </c>
    </row>
    <row r="193" spans="1:14" s="84" customFormat="1" x14ac:dyDescent="0.25">
      <c r="A193">
        <v>191</v>
      </c>
      <c r="B193" s="85" t="s">
        <v>237</v>
      </c>
      <c r="C193" s="85" t="s">
        <v>30</v>
      </c>
      <c r="D193" s="85" t="s">
        <v>223</v>
      </c>
      <c r="E193" s="107">
        <v>200</v>
      </c>
      <c r="F193" s="85" t="s">
        <v>33</v>
      </c>
      <c r="G193" s="85"/>
      <c r="H193" s="85"/>
      <c r="I193" s="85"/>
      <c r="J193" s="91"/>
      <c r="K193" s="91"/>
      <c r="L193" s="91"/>
      <c r="M193" s="87"/>
      <c r="N193" s="106"/>
    </row>
    <row r="194" spans="1:14" s="84" customFormat="1" x14ac:dyDescent="0.25">
      <c r="A194">
        <v>192</v>
      </c>
      <c r="B194" s="85" t="s">
        <v>238</v>
      </c>
      <c r="C194" s="85" t="s">
        <v>30</v>
      </c>
      <c r="D194" s="85" t="s">
        <v>223</v>
      </c>
      <c r="E194" s="107">
        <v>200</v>
      </c>
      <c r="F194" s="85" t="s">
        <v>33</v>
      </c>
      <c r="G194" s="85"/>
      <c r="H194" s="85"/>
      <c r="I194" s="85"/>
      <c r="J194" s="91"/>
      <c r="K194" s="91"/>
      <c r="L194" s="91"/>
      <c r="M194" s="87"/>
      <c r="N194" s="106"/>
    </row>
    <row r="195" spans="1:14" s="84" customFormat="1" x14ac:dyDescent="0.25">
      <c r="A195">
        <v>193</v>
      </c>
      <c r="B195" s="85" t="s">
        <v>1278</v>
      </c>
      <c r="C195" s="85" t="s">
        <v>1279</v>
      </c>
      <c r="D195" s="85" t="s">
        <v>223</v>
      </c>
      <c r="E195" s="107">
        <v>700</v>
      </c>
      <c r="F195" s="85" t="s">
        <v>552</v>
      </c>
      <c r="G195" s="85"/>
      <c r="H195" s="85"/>
      <c r="I195" s="85"/>
      <c r="J195" s="91"/>
      <c r="K195" s="91"/>
      <c r="L195" s="91"/>
      <c r="M195" s="87">
        <v>40321</v>
      </c>
      <c r="N195" s="106" t="s">
        <v>1280</v>
      </c>
    </row>
    <row r="196" spans="1:14" s="84" customFormat="1" x14ac:dyDescent="0.25">
      <c r="A196">
        <v>194</v>
      </c>
      <c r="B196" s="85" t="s">
        <v>239</v>
      </c>
      <c r="C196" s="85" t="s">
        <v>240</v>
      </c>
      <c r="D196" s="85" t="s">
        <v>223</v>
      </c>
      <c r="E196" s="107">
        <v>3700</v>
      </c>
      <c r="F196" s="85" t="s">
        <v>33</v>
      </c>
      <c r="G196" s="85"/>
      <c r="H196" s="85"/>
      <c r="I196" s="85"/>
      <c r="J196" s="91"/>
      <c r="K196" s="91"/>
      <c r="L196" s="91"/>
      <c r="M196" s="87">
        <v>39922</v>
      </c>
      <c r="N196" s="106"/>
    </row>
    <row r="197" spans="1:14" s="84" customFormat="1" x14ac:dyDescent="0.25">
      <c r="A197">
        <v>195</v>
      </c>
      <c r="B197" s="85" t="s">
        <v>241</v>
      </c>
      <c r="C197" s="85" t="s">
        <v>240</v>
      </c>
      <c r="D197" s="85" t="s">
        <v>223</v>
      </c>
      <c r="E197" s="107">
        <v>3900</v>
      </c>
      <c r="F197" s="85" t="s">
        <v>33</v>
      </c>
      <c r="G197" s="85"/>
      <c r="H197" s="85"/>
      <c r="I197" s="85"/>
      <c r="J197" s="91"/>
      <c r="K197" s="91"/>
      <c r="L197" s="91"/>
      <c r="M197" s="87">
        <v>39922</v>
      </c>
      <c r="N197" s="106"/>
    </row>
    <row r="198" spans="1:14" s="84" customFormat="1" x14ac:dyDescent="0.25">
      <c r="A198">
        <v>196</v>
      </c>
      <c r="B198" s="85" t="s">
        <v>242</v>
      </c>
      <c r="C198" s="85" t="s">
        <v>243</v>
      </c>
      <c r="D198" s="85" t="s">
        <v>223</v>
      </c>
      <c r="E198" s="86">
        <v>725</v>
      </c>
      <c r="F198" s="85" t="s">
        <v>33</v>
      </c>
      <c r="G198" s="85"/>
      <c r="H198" s="85"/>
      <c r="I198" s="85"/>
      <c r="J198" s="91"/>
      <c r="K198" s="91"/>
      <c r="L198" s="91"/>
      <c r="M198" s="87"/>
      <c r="N198" s="106"/>
    </row>
    <row r="199" spans="1:14" s="84" customFormat="1" x14ac:dyDescent="0.25">
      <c r="A199">
        <v>197</v>
      </c>
      <c r="B199" s="85" t="s">
        <v>244</v>
      </c>
      <c r="C199" s="85" t="s">
        <v>243</v>
      </c>
      <c r="D199" s="85" t="s">
        <v>223</v>
      </c>
      <c r="E199" s="104">
        <v>751.92499999999995</v>
      </c>
      <c r="F199" s="85" t="s">
        <v>33</v>
      </c>
      <c r="G199" s="85"/>
      <c r="H199" s="85"/>
      <c r="I199" s="85"/>
      <c r="J199" s="91"/>
      <c r="K199" s="91"/>
      <c r="L199" s="91"/>
      <c r="M199" s="87"/>
      <c r="N199" s="106"/>
    </row>
    <row r="200" spans="1:14" s="84" customFormat="1" x14ac:dyDescent="0.25">
      <c r="A200">
        <v>198</v>
      </c>
      <c r="B200" s="85" t="s">
        <v>245</v>
      </c>
      <c r="C200" s="85" t="s">
        <v>246</v>
      </c>
      <c r="D200" s="85" t="s">
        <v>223</v>
      </c>
      <c r="E200" s="104">
        <v>1150</v>
      </c>
      <c r="F200" s="85" t="s">
        <v>33</v>
      </c>
      <c r="G200" s="85"/>
      <c r="H200" s="85"/>
      <c r="I200" s="85"/>
      <c r="J200" s="91"/>
      <c r="K200" s="91"/>
      <c r="L200" s="91"/>
      <c r="M200" s="87">
        <v>39922</v>
      </c>
      <c r="N200" s="106"/>
    </row>
    <row r="201" spans="1:14" s="84" customFormat="1" x14ac:dyDescent="0.25">
      <c r="A201">
        <v>199</v>
      </c>
      <c r="B201" s="85" t="s">
        <v>1281</v>
      </c>
      <c r="C201" s="85" t="s">
        <v>248</v>
      </c>
      <c r="D201" s="85" t="s">
        <v>223</v>
      </c>
      <c r="E201" s="104">
        <v>1200</v>
      </c>
      <c r="F201" s="85" t="s">
        <v>33</v>
      </c>
      <c r="G201" s="85"/>
      <c r="H201" s="85"/>
      <c r="I201" s="85"/>
      <c r="J201" s="91"/>
      <c r="K201" s="91"/>
      <c r="L201" s="91"/>
      <c r="M201" s="87">
        <v>40321</v>
      </c>
      <c r="N201" s="106"/>
    </row>
    <row r="202" spans="1:14" s="84" customFormat="1" x14ac:dyDescent="0.25">
      <c r="A202">
        <v>200</v>
      </c>
      <c r="B202" s="85" t="s">
        <v>1282</v>
      </c>
      <c r="C202" s="85" t="s">
        <v>248</v>
      </c>
      <c r="D202" s="85" t="s">
        <v>223</v>
      </c>
      <c r="E202" s="104">
        <v>952</v>
      </c>
      <c r="F202" s="85" t="s">
        <v>33</v>
      </c>
      <c r="G202" s="85"/>
      <c r="H202" s="85"/>
      <c r="I202" s="85"/>
      <c r="J202" s="91"/>
      <c r="K202" s="91"/>
      <c r="L202" s="91"/>
      <c r="M202" s="87">
        <v>39937</v>
      </c>
      <c r="N202" s="106"/>
    </row>
    <row r="203" spans="1:14" s="84" customFormat="1" x14ac:dyDescent="0.25">
      <c r="A203">
        <v>201</v>
      </c>
      <c r="B203" s="85" t="s">
        <v>247</v>
      </c>
      <c r="C203" s="85" t="s">
        <v>248</v>
      </c>
      <c r="D203" s="85" t="s">
        <v>223</v>
      </c>
      <c r="E203" s="104">
        <v>1100</v>
      </c>
      <c r="F203" s="85" t="s">
        <v>33</v>
      </c>
      <c r="G203" s="85"/>
      <c r="H203" s="85"/>
      <c r="I203" s="85"/>
      <c r="J203" s="91"/>
      <c r="K203" s="91"/>
      <c r="L203" s="91"/>
      <c r="M203" s="87">
        <v>39926</v>
      </c>
      <c r="N203" s="106"/>
    </row>
    <row r="204" spans="1:14" s="84" customFormat="1" x14ac:dyDescent="0.25">
      <c r="A204">
        <v>202</v>
      </c>
      <c r="B204" s="85" t="s">
        <v>249</v>
      </c>
      <c r="C204" s="85" t="s">
        <v>248</v>
      </c>
      <c r="D204" s="85" t="s">
        <v>223</v>
      </c>
      <c r="E204" s="104">
        <v>1400</v>
      </c>
      <c r="F204" s="85" t="s">
        <v>33</v>
      </c>
      <c r="G204" s="85"/>
      <c r="H204" s="85"/>
      <c r="I204" s="85"/>
      <c r="J204" s="91"/>
      <c r="K204" s="91"/>
      <c r="L204" s="91"/>
      <c r="M204" s="87">
        <v>39906</v>
      </c>
      <c r="N204" s="106"/>
    </row>
    <row r="205" spans="1:14" s="84" customFormat="1" x14ac:dyDescent="0.25">
      <c r="A205">
        <v>203</v>
      </c>
      <c r="B205" s="85" t="s">
        <v>1283</v>
      </c>
      <c r="C205" s="85" t="s">
        <v>250</v>
      </c>
      <c r="D205" s="85" t="s">
        <v>223</v>
      </c>
      <c r="E205" s="94">
        <v>495</v>
      </c>
      <c r="F205" s="85" t="s">
        <v>33</v>
      </c>
      <c r="G205" s="86"/>
      <c r="H205" s="85"/>
      <c r="I205" s="85"/>
      <c r="J205" s="91"/>
      <c r="K205" s="91"/>
      <c r="L205" s="91"/>
      <c r="M205" s="87">
        <v>40288</v>
      </c>
      <c r="N205" s="106"/>
    </row>
    <row r="206" spans="1:14" s="84" customFormat="1" x14ac:dyDescent="0.25">
      <c r="A206">
        <v>204</v>
      </c>
      <c r="B206" s="85" t="s">
        <v>251</v>
      </c>
      <c r="C206" s="85" t="s">
        <v>250</v>
      </c>
      <c r="D206" s="85" t="s">
        <v>223</v>
      </c>
      <c r="E206" s="94">
        <v>750</v>
      </c>
      <c r="F206" s="85" t="s">
        <v>33</v>
      </c>
      <c r="G206" s="94"/>
      <c r="H206" s="85"/>
      <c r="I206" s="85"/>
      <c r="J206" s="91"/>
      <c r="K206" s="91"/>
      <c r="L206" s="91"/>
      <c r="M206" s="87">
        <v>40288</v>
      </c>
      <c r="N206" s="106"/>
    </row>
    <row r="207" spans="1:14" s="84" customFormat="1" x14ac:dyDescent="0.25">
      <c r="A207">
        <v>205</v>
      </c>
      <c r="B207" s="85" t="s">
        <v>1284</v>
      </c>
      <c r="C207" s="85" t="s">
        <v>250</v>
      </c>
      <c r="D207" s="85" t="s">
        <v>223</v>
      </c>
      <c r="E207" s="94">
        <v>850</v>
      </c>
      <c r="F207" s="85" t="s">
        <v>33</v>
      </c>
      <c r="G207" s="85"/>
      <c r="H207" s="85"/>
      <c r="I207" s="85"/>
      <c r="J207" s="91"/>
      <c r="K207" s="91"/>
      <c r="L207" s="91"/>
      <c r="M207" s="87">
        <v>40288</v>
      </c>
      <c r="N207" s="106"/>
    </row>
    <row r="208" spans="1:14" s="84" customFormat="1" x14ac:dyDescent="0.25">
      <c r="A208">
        <v>206</v>
      </c>
      <c r="B208" s="85" t="s">
        <v>1285</v>
      </c>
      <c r="C208" s="85" t="s">
        <v>250</v>
      </c>
      <c r="D208" s="85" t="s">
        <v>223</v>
      </c>
      <c r="E208" s="94">
        <v>950</v>
      </c>
      <c r="F208" s="85" t="s">
        <v>33</v>
      </c>
      <c r="G208" s="85"/>
      <c r="H208" s="85"/>
      <c r="I208" s="85"/>
      <c r="J208" s="91"/>
      <c r="K208" s="91"/>
      <c r="L208" s="91"/>
      <c r="M208" s="87">
        <v>40288</v>
      </c>
      <c r="N208" s="106"/>
    </row>
    <row r="209" spans="1:14" s="84" customFormat="1" x14ac:dyDescent="0.25">
      <c r="A209">
        <v>207</v>
      </c>
      <c r="B209" s="85" t="s">
        <v>252</v>
      </c>
      <c r="C209" s="85" t="s">
        <v>253</v>
      </c>
      <c r="D209" s="85" t="s">
        <v>223</v>
      </c>
      <c r="E209" s="104">
        <v>175</v>
      </c>
      <c r="F209" s="85" t="s">
        <v>33</v>
      </c>
      <c r="G209" s="85"/>
      <c r="H209" s="85"/>
      <c r="I209" s="85"/>
      <c r="J209" s="91"/>
      <c r="K209" s="91"/>
      <c r="L209" s="91"/>
      <c r="M209" s="87"/>
      <c r="N209" s="106" t="s">
        <v>254</v>
      </c>
    </row>
    <row r="210" spans="1:14" s="84" customFormat="1" x14ac:dyDescent="0.25">
      <c r="A210">
        <v>208</v>
      </c>
      <c r="B210" s="85" t="s">
        <v>255</v>
      </c>
      <c r="C210" s="85" t="s">
        <v>256</v>
      </c>
      <c r="D210" s="85" t="s">
        <v>223</v>
      </c>
      <c r="E210" s="104">
        <v>1000</v>
      </c>
      <c r="F210" s="85" t="s">
        <v>33</v>
      </c>
      <c r="G210" s="85"/>
      <c r="H210" s="85"/>
      <c r="I210" s="85"/>
      <c r="J210" s="91"/>
      <c r="K210" s="91"/>
      <c r="L210" s="91"/>
      <c r="M210" s="87"/>
      <c r="N210" s="106"/>
    </row>
    <row r="211" spans="1:14" s="84" customFormat="1" x14ac:dyDescent="0.25">
      <c r="A211">
        <v>209</v>
      </c>
      <c r="B211" s="85" t="s">
        <v>1286</v>
      </c>
      <c r="C211" s="85" t="s">
        <v>1287</v>
      </c>
      <c r="D211" s="85" t="s">
        <v>223</v>
      </c>
      <c r="E211" s="104">
        <v>1250</v>
      </c>
      <c r="F211" s="85" t="s">
        <v>33</v>
      </c>
      <c r="G211" s="85"/>
      <c r="H211" s="85"/>
      <c r="I211" s="85"/>
      <c r="J211" s="91"/>
      <c r="K211" s="91"/>
      <c r="L211" s="91"/>
      <c r="M211" s="87">
        <v>40238</v>
      </c>
      <c r="N211" s="106"/>
    </row>
    <row r="212" spans="1:14" s="84" customFormat="1" x14ac:dyDescent="0.25">
      <c r="A212">
        <v>210</v>
      </c>
      <c r="B212" s="85" t="s">
        <v>257</v>
      </c>
      <c r="C212" s="85" t="s">
        <v>258</v>
      </c>
      <c r="D212" s="85" t="s">
        <v>223</v>
      </c>
      <c r="E212" s="104">
        <v>966</v>
      </c>
      <c r="F212" s="85" t="s">
        <v>33</v>
      </c>
      <c r="G212" s="85"/>
      <c r="H212" s="85"/>
      <c r="I212" s="85"/>
      <c r="J212" s="91"/>
      <c r="K212" s="91"/>
      <c r="L212" s="91"/>
      <c r="M212" s="87"/>
      <c r="N212" s="106" t="s">
        <v>259</v>
      </c>
    </row>
    <row r="213" spans="1:14" s="84" customFormat="1" x14ac:dyDescent="0.25">
      <c r="A213">
        <v>211</v>
      </c>
      <c r="B213" s="85" t="s">
        <v>260</v>
      </c>
      <c r="C213" s="85" t="s">
        <v>258</v>
      </c>
      <c r="D213" s="85" t="s">
        <v>223</v>
      </c>
      <c r="E213" s="104">
        <v>590</v>
      </c>
      <c r="F213" s="85" t="s">
        <v>33</v>
      </c>
      <c r="G213" s="85"/>
      <c r="H213" s="85"/>
      <c r="I213" s="85"/>
      <c r="J213" s="91"/>
      <c r="K213" s="91"/>
      <c r="L213" s="91"/>
      <c r="M213" s="87"/>
      <c r="N213" s="106" t="s">
        <v>261</v>
      </c>
    </row>
    <row r="214" spans="1:14" s="84" customFormat="1" x14ac:dyDescent="0.25">
      <c r="A214">
        <v>212</v>
      </c>
      <c r="B214" s="85" t="s">
        <v>262</v>
      </c>
      <c r="C214" s="85" t="s">
        <v>258</v>
      </c>
      <c r="D214" s="85" t="s">
        <v>223</v>
      </c>
      <c r="E214" s="104">
        <v>762</v>
      </c>
      <c r="F214" s="85" t="s">
        <v>33</v>
      </c>
      <c r="G214" s="85"/>
      <c r="H214" s="85"/>
      <c r="I214" s="85"/>
      <c r="J214" s="91"/>
      <c r="K214" s="91"/>
      <c r="L214" s="91"/>
      <c r="M214" s="87"/>
      <c r="N214" s="106" t="s">
        <v>263</v>
      </c>
    </row>
    <row r="215" spans="1:14" s="84" customFormat="1" x14ac:dyDescent="0.25">
      <c r="A215">
        <v>213</v>
      </c>
      <c r="B215" s="85" t="s">
        <v>1288</v>
      </c>
      <c r="C215" s="85" t="s">
        <v>258</v>
      </c>
      <c r="D215" s="85" t="s">
        <v>223</v>
      </c>
      <c r="E215" s="86">
        <v>536</v>
      </c>
      <c r="F215" s="85" t="s">
        <v>33</v>
      </c>
      <c r="G215" s="85"/>
      <c r="H215" s="85"/>
      <c r="I215" s="85"/>
      <c r="J215" s="91"/>
      <c r="K215" s="91"/>
      <c r="L215" s="91"/>
      <c r="M215" s="87">
        <v>39965</v>
      </c>
      <c r="N215" s="106"/>
    </row>
    <row r="216" spans="1:14" s="84" customFormat="1" x14ac:dyDescent="0.25">
      <c r="A216">
        <v>214</v>
      </c>
      <c r="B216" s="85" t="s">
        <v>264</v>
      </c>
      <c r="C216" s="85" t="s">
        <v>258</v>
      </c>
      <c r="D216" s="85" t="s">
        <v>223</v>
      </c>
      <c r="E216" s="86">
        <v>850</v>
      </c>
      <c r="F216" s="85" t="s">
        <v>33</v>
      </c>
      <c r="G216" s="85"/>
      <c r="H216" s="85"/>
      <c r="I216" s="85"/>
      <c r="J216" s="91"/>
      <c r="K216" s="91"/>
      <c r="L216" s="91"/>
      <c r="M216" s="87"/>
      <c r="N216" s="106"/>
    </row>
    <row r="217" spans="1:14" s="84" customFormat="1" x14ac:dyDescent="0.25">
      <c r="A217">
        <v>215</v>
      </c>
      <c r="B217" s="85" t="s">
        <v>265</v>
      </c>
      <c r="C217" s="85" t="s">
        <v>266</v>
      </c>
      <c r="D217" s="85" t="s">
        <v>223</v>
      </c>
      <c r="E217" s="94">
        <v>647.5</v>
      </c>
      <c r="F217" s="85" t="s">
        <v>33</v>
      </c>
      <c r="G217" s="85"/>
      <c r="H217" s="85"/>
      <c r="I217" s="85"/>
      <c r="J217" s="91"/>
      <c r="K217" s="91"/>
      <c r="L217" s="91"/>
      <c r="M217" s="87">
        <v>39899</v>
      </c>
      <c r="N217" s="106"/>
    </row>
    <row r="218" spans="1:14" s="84" customFormat="1" ht="30" x14ac:dyDescent="0.25">
      <c r="A218">
        <v>216</v>
      </c>
      <c r="B218" s="85" t="s">
        <v>1289</v>
      </c>
      <c r="C218" s="85" t="s">
        <v>1290</v>
      </c>
      <c r="D218" s="85" t="s">
        <v>223</v>
      </c>
      <c r="E218" s="94">
        <v>2500</v>
      </c>
      <c r="F218" s="85" t="s">
        <v>33</v>
      </c>
      <c r="G218" s="85"/>
      <c r="H218" s="85"/>
      <c r="I218" s="85"/>
      <c r="J218" s="91"/>
      <c r="K218" s="91"/>
      <c r="L218" s="91"/>
      <c r="M218" s="87">
        <v>40321</v>
      </c>
      <c r="N218" s="106"/>
    </row>
    <row r="219" spans="1:14" s="84" customFormat="1" x14ac:dyDescent="0.25">
      <c r="A219">
        <v>217</v>
      </c>
      <c r="B219" s="85" t="s">
        <v>267</v>
      </c>
      <c r="C219" s="85" t="s">
        <v>268</v>
      </c>
      <c r="D219" s="85" t="s">
        <v>223</v>
      </c>
      <c r="E219" s="88">
        <v>400</v>
      </c>
      <c r="F219" s="85" t="s">
        <v>33</v>
      </c>
      <c r="G219" s="85"/>
      <c r="H219" s="85"/>
      <c r="I219" s="85"/>
      <c r="J219" s="91"/>
      <c r="K219" s="91"/>
      <c r="L219" s="91"/>
      <c r="M219" s="87"/>
      <c r="N219" s="106" t="s">
        <v>269</v>
      </c>
    </row>
    <row r="220" spans="1:14" s="84" customFormat="1" x14ac:dyDescent="0.25">
      <c r="A220">
        <v>218</v>
      </c>
      <c r="B220" s="85" t="s">
        <v>1291</v>
      </c>
      <c r="C220" s="85" t="s">
        <v>1292</v>
      </c>
      <c r="D220" s="85" t="s">
        <v>223</v>
      </c>
      <c r="E220" s="88">
        <v>870</v>
      </c>
      <c r="F220" s="85" t="s">
        <v>33</v>
      </c>
      <c r="G220" s="85"/>
      <c r="H220" s="85"/>
      <c r="I220" s="85"/>
      <c r="J220" s="91"/>
      <c r="K220" s="91"/>
      <c r="L220" s="91"/>
      <c r="M220" s="87">
        <v>39937</v>
      </c>
      <c r="N220" s="106"/>
    </row>
    <row r="221" spans="1:14" s="84" customFormat="1" x14ac:dyDescent="0.25">
      <c r="A221">
        <v>219</v>
      </c>
      <c r="B221" s="85" t="s">
        <v>1293</v>
      </c>
      <c r="C221" s="85" t="s">
        <v>1292</v>
      </c>
      <c r="D221" s="85" t="s">
        <v>223</v>
      </c>
      <c r="E221" s="88">
        <v>1275</v>
      </c>
      <c r="F221" s="85" t="s">
        <v>33</v>
      </c>
      <c r="G221" s="85"/>
      <c r="H221" s="85"/>
      <c r="I221" s="85"/>
      <c r="J221" s="91"/>
      <c r="K221" s="91"/>
      <c r="L221" s="91"/>
      <c r="M221" s="87">
        <v>39937</v>
      </c>
      <c r="N221" s="106"/>
    </row>
    <row r="222" spans="1:14" s="84" customFormat="1" x14ac:dyDescent="0.25">
      <c r="A222">
        <v>220</v>
      </c>
      <c r="B222" s="85" t="s">
        <v>1294</v>
      </c>
      <c r="C222" s="85" t="s">
        <v>1292</v>
      </c>
      <c r="D222" s="85" t="s">
        <v>223</v>
      </c>
      <c r="E222" s="88">
        <v>1275</v>
      </c>
      <c r="F222" s="85" t="s">
        <v>33</v>
      </c>
      <c r="G222" s="85"/>
      <c r="H222" s="85"/>
      <c r="I222" s="85"/>
      <c r="J222" s="91"/>
      <c r="K222" s="91"/>
      <c r="L222" s="91"/>
      <c r="M222" s="87">
        <v>39937</v>
      </c>
      <c r="N222" s="106"/>
    </row>
    <row r="223" spans="1:14" s="84" customFormat="1" x14ac:dyDescent="0.25">
      <c r="A223">
        <v>221</v>
      </c>
      <c r="B223" s="85" t="s">
        <v>1295</v>
      </c>
      <c r="C223" s="85" t="s">
        <v>1292</v>
      </c>
      <c r="D223" s="85" t="s">
        <v>223</v>
      </c>
      <c r="E223" s="88">
        <v>1945</v>
      </c>
      <c r="F223" s="85" t="s">
        <v>33</v>
      </c>
      <c r="G223" s="85"/>
      <c r="H223" s="85"/>
      <c r="I223" s="85"/>
      <c r="J223" s="91"/>
      <c r="K223" s="91"/>
      <c r="L223" s="91"/>
      <c r="M223" s="87">
        <v>39937</v>
      </c>
      <c r="N223" s="106"/>
    </row>
    <row r="224" spans="1:14" s="84" customFormat="1" x14ac:dyDescent="0.25">
      <c r="A224">
        <v>222</v>
      </c>
      <c r="B224" s="85" t="s">
        <v>1296</v>
      </c>
      <c r="C224" s="85" t="s">
        <v>1292</v>
      </c>
      <c r="D224" s="85" t="s">
        <v>223</v>
      </c>
      <c r="E224" s="88">
        <v>2345</v>
      </c>
      <c r="F224" s="85" t="s">
        <v>33</v>
      </c>
      <c r="G224" s="85"/>
      <c r="H224" s="85"/>
      <c r="I224" s="85"/>
      <c r="J224" s="91"/>
      <c r="K224" s="91"/>
      <c r="L224" s="91"/>
      <c r="M224" s="87">
        <v>39937</v>
      </c>
      <c r="N224" s="106"/>
    </row>
    <row r="225" spans="1:256" s="84" customFormat="1" x14ac:dyDescent="0.25">
      <c r="A225">
        <v>223</v>
      </c>
      <c r="B225" s="85" t="s">
        <v>1297</v>
      </c>
      <c r="C225" s="85" t="s">
        <v>1292</v>
      </c>
      <c r="D225" s="85" t="s">
        <v>223</v>
      </c>
      <c r="E225" s="88">
        <v>2745</v>
      </c>
      <c r="F225" s="85" t="s">
        <v>33</v>
      </c>
      <c r="G225" s="85"/>
      <c r="H225" s="85"/>
      <c r="I225" s="85"/>
      <c r="J225" s="91"/>
      <c r="K225" s="91"/>
      <c r="L225" s="91"/>
      <c r="M225" s="87">
        <v>39937</v>
      </c>
      <c r="N225" s="106"/>
    </row>
    <row r="226" spans="1:256" s="84" customFormat="1" x14ac:dyDescent="0.25">
      <c r="A226">
        <v>224</v>
      </c>
      <c r="B226" s="85" t="s">
        <v>270</v>
      </c>
      <c r="C226" s="85" t="s">
        <v>268</v>
      </c>
      <c r="D226" s="85" t="s">
        <v>223</v>
      </c>
      <c r="E226" s="88">
        <v>400</v>
      </c>
      <c r="F226" s="85" t="s">
        <v>33</v>
      </c>
      <c r="G226" s="85"/>
      <c r="H226" s="85"/>
      <c r="I226" s="85"/>
      <c r="J226" s="91"/>
      <c r="K226" s="91"/>
      <c r="L226" s="91"/>
      <c r="M226" s="87"/>
      <c r="N226" s="106" t="s">
        <v>269</v>
      </c>
    </row>
    <row r="227" spans="1:256" s="84" customFormat="1" x14ac:dyDescent="0.25">
      <c r="A227">
        <v>225</v>
      </c>
      <c r="B227" s="85" t="s">
        <v>1298</v>
      </c>
      <c r="C227" s="85" t="s">
        <v>240</v>
      </c>
      <c r="D227" s="85" t="s">
        <v>223</v>
      </c>
      <c r="E227" s="88">
        <v>150</v>
      </c>
      <c r="F227" s="85" t="s">
        <v>33</v>
      </c>
      <c r="G227" s="85"/>
      <c r="H227" s="85"/>
      <c r="I227" s="85"/>
      <c r="J227" s="91"/>
      <c r="K227" s="91"/>
      <c r="L227" s="91"/>
      <c r="M227" s="87">
        <v>39929</v>
      </c>
      <c r="N227" s="106"/>
    </row>
    <row r="228" spans="1:256" s="84" customFormat="1" x14ac:dyDescent="0.25">
      <c r="A228">
        <v>226</v>
      </c>
      <c r="B228" s="85" t="s">
        <v>271</v>
      </c>
      <c r="C228" s="85" t="s">
        <v>240</v>
      </c>
      <c r="D228" s="85" t="s">
        <v>223</v>
      </c>
      <c r="E228" s="104">
        <v>1050</v>
      </c>
      <c r="F228" s="85" t="s">
        <v>33</v>
      </c>
      <c r="G228" s="85"/>
      <c r="H228" s="85"/>
      <c r="I228" s="85"/>
      <c r="J228" s="91"/>
      <c r="K228" s="91"/>
      <c r="L228" s="91"/>
      <c r="M228" s="87"/>
      <c r="N228" s="106"/>
    </row>
    <row r="229" spans="1:256" s="84" customFormat="1" x14ac:dyDescent="0.25">
      <c r="A229">
        <v>227</v>
      </c>
      <c r="B229" s="85" t="s">
        <v>272</v>
      </c>
      <c r="C229" s="85" t="s">
        <v>240</v>
      </c>
      <c r="D229" s="85" t="s">
        <v>223</v>
      </c>
      <c r="E229" s="104">
        <v>1615</v>
      </c>
      <c r="F229" s="85" t="s">
        <v>33</v>
      </c>
      <c r="G229" s="85"/>
      <c r="H229" s="85"/>
      <c r="I229" s="85"/>
      <c r="J229" s="91"/>
      <c r="K229" s="91"/>
      <c r="L229" s="91"/>
      <c r="M229" s="87"/>
      <c r="N229" s="106"/>
    </row>
    <row r="230" spans="1:256" s="84" customFormat="1" x14ac:dyDescent="0.25">
      <c r="A230">
        <v>228</v>
      </c>
      <c r="B230" s="85" t="s">
        <v>273</v>
      </c>
      <c r="C230" s="85" t="s">
        <v>240</v>
      </c>
      <c r="D230" s="85" t="s">
        <v>223</v>
      </c>
      <c r="E230" s="104">
        <v>1236</v>
      </c>
      <c r="F230" s="85" t="s">
        <v>33</v>
      </c>
      <c r="G230" s="85"/>
      <c r="H230" s="85"/>
      <c r="I230" s="85"/>
      <c r="J230" s="91"/>
      <c r="K230" s="91"/>
      <c r="L230" s="91"/>
      <c r="M230" s="87"/>
      <c r="N230" s="106"/>
    </row>
    <row r="231" spans="1:256" s="84" customFormat="1" x14ac:dyDescent="0.25">
      <c r="A231">
        <v>229</v>
      </c>
      <c r="B231" s="85" t="s">
        <v>1299</v>
      </c>
      <c r="C231" s="85" t="s">
        <v>240</v>
      </c>
      <c r="D231" s="85" t="s">
        <v>223</v>
      </c>
      <c r="E231" s="104">
        <v>1650</v>
      </c>
      <c r="F231" s="85" t="s">
        <v>33</v>
      </c>
      <c r="G231" s="85"/>
      <c r="H231" s="85"/>
      <c r="I231" s="85"/>
      <c r="J231" s="91"/>
      <c r="K231" s="91"/>
      <c r="L231" s="91"/>
      <c r="M231" s="87">
        <v>40257</v>
      </c>
      <c r="N231" s="106"/>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2"/>
      <c r="AR231" s="92"/>
      <c r="AS231" s="92"/>
      <c r="AT231" s="92"/>
      <c r="AU231" s="92"/>
      <c r="AV231" s="92"/>
      <c r="AW231" s="92"/>
      <c r="AX231" s="92"/>
      <c r="AY231" s="92"/>
      <c r="AZ231" s="92"/>
      <c r="BA231" s="92"/>
      <c r="BB231" s="92"/>
      <c r="BC231" s="92"/>
      <c r="BD231" s="92"/>
      <c r="BE231" s="92"/>
      <c r="BF231" s="92"/>
      <c r="BG231" s="92"/>
      <c r="BH231" s="92"/>
      <c r="BI231" s="92"/>
      <c r="BJ231" s="92"/>
      <c r="BK231" s="92"/>
      <c r="BL231" s="92"/>
      <c r="BM231" s="92"/>
      <c r="BN231" s="92"/>
      <c r="BO231" s="92"/>
      <c r="BP231" s="92"/>
      <c r="BQ231" s="92"/>
      <c r="BR231" s="92"/>
      <c r="BS231" s="92"/>
      <c r="BT231" s="92"/>
      <c r="BU231" s="92"/>
      <c r="BV231" s="92"/>
      <c r="BW231" s="92"/>
      <c r="BX231" s="92"/>
      <c r="BY231" s="92"/>
      <c r="BZ231" s="92"/>
      <c r="CA231" s="92"/>
      <c r="CB231" s="92"/>
      <c r="CC231" s="92"/>
      <c r="CD231" s="92"/>
      <c r="CE231" s="92"/>
      <c r="CF231" s="92"/>
      <c r="CG231" s="92"/>
      <c r="CH231" s="92"/>
      <c r="CI231" s="92"/>
      <c r="CJ231" s="92"/>
      <c r="CK231" s="92"/>
      <c r="CL231" s="92"/>
      <c r="CM231" s="92"/>
      <c r="CN231" s="92"/>
      <c r="CO231" s="92"/>
      <c r="CP231" s="92"/>
      <c r="CQ231" s="92"/>
      <c r="CR231" s="92"/>
      <c r="CS231" s="92"/>
      <c r="CT231" s="92"/>
      <c r="CU231" s="92"/>
      <c r="CV231" s="92"/>
      <c r="CW231" s="92"/>
      <c r="CX231" s="92"/>
      <c r="CY231" s="92"/>
      <c r="CZ231" s="92"/>
      <c r="DA231" s="92"/>
      <c r="DB231" s="92"/>
      <c r="DC231" s="92"/>
      <c r="DD231" s="92"/>
      <c r="DE231" s="92"/>
      <c r="DF231" s="92"/>
      <c r="DG231" s="92"/>
      <c r="DH231" s="92"/>
      <c r="DI231" s="92"/>
      <c r="DJ231" s="92"/>
      <c r="DK231" s="92"/>
      <c r="DL231" s="92"/>
      <c r="DM231" s="92"/>
      <c r="DN231" s="92"/>
      <c r="DO231" s="92"/>
      <c r="DP231" s="92"/>
      <c r="DQ231" s="92"/>
      <c r="DR231" s="92"/>
      <c r="DS231" s="92"/>
      <c r="DT231" s="92"/>
      <c r="DU231" s="92"/>
      <c r="DV231" s="92"/>
      <c r="DW231" s="92"/>
      <c r="DX231" s="92"/>
      <c r="DY231" s="92"/>
      <c r="DZ231" s="92"/>
      <c r="EA231" s="92"/>
      <c r="EB231" s="92"/>
      <c r="EC231" s="92"/>
      <c r="ED231" s="92"/>
      <c r="EE231" s="92"/>
      <c r="EF231" s="92"/>
      <c r="EG231" s="92"/>
      <c r="EH231" s="92"/>
      <c r="EI231" s="92"/>
      <c r="EJ231" s="92"/>
      <c r="EK231" s="92"/>
      <c r="EL231" s="92"/>
      <c r="EM231" s="92"/>
      <c r="EN231" s="92"/>
      <c r="EO231" s="92"/>
      <c r="EP231" s="92"/>
      <c r="EQ231" s="92"/>
      <c r="ER231" s="92"/>
      <c r="ES231" s="92"/>
      <c r="ET231" s="92"/>
      <c r="EU231" s="92"/>
      <c r="EV231" s="92"/>
      <c r="EW231" s="92"/>
      <c r="EX231" s="92"/>
      <c r="EY231" s="92"/>
      <c r="EZ231" s="92"/>
      <c r="FA231" s="92"/>
      <c r="FB231" s="92"/>
      <c r="FC231" s="92"/>
      <c r="FD231" s="92"/>
      <c r="FE231" s="92"/>
      <c r="FF231" s="92"/>
      <c r="FG231" s="92"/>
      <c r="FH231" s="92"/>
      <c r="FI231" s="92"/>
      <c r="FJ231" s="92"/>
      <c r="FK231" s="92"/>
      <c r="FL231" s="92"/>
      <c r="FM231" s="92"/>
      <c r="FN231" s="92"/>
      <c r="FO231" s="92"/>
      <c r="FP231" s="92"/>
      <c r="FQ231" s="92"/>
      <c r="FR231" s="92"/>
      <c r="FS231" s="92"/>
      <c r="FT231" s="92"/>
      <c r="FU231" s="92"/>
      <c r="FV231" s="92"/>
      <c r="FW231" s="92"/>
      <c r="FX231" s="92"/>
      <c r="FY231" s="92"/>
      <c r="FZ231" s="92"/>
      <c r="GA231" s="92"/>
      <c r="GB231" s="92"/>
      <c r="GC231" s="92"/>
      <c r="GD231" s="92"/>
      <c r="GE231" s="92"/>
      <c r="GF231" s="92"/>
      <c r="GG231" s="92"/>
      <c r="GH231" s="92"/>
      <c r="GI231" s="92"/>
      <c r="GJ231" s="92"/>
      <c r="GK231" s="92"/>
      <c r="GL231" s="92"/>
      <c r="GM231" s="92"/>
      <c r="GN231" s="92"/>
      <c r="GO231" s="92"/>
      <c r="GP231" s="92"/>
      <c r="GQ231" s="92"/>
      <c r="GR231" s="92"/>
      <c r="GS231" s="92"/>
      <c r="GT231" s="92"/>
      <c r="GU231" s="92"/>
      <c r="GV231" s="92"/>
      <c r="GW231" s="92"/>
      <c r="GX231" s="92"/>
      <c r="GY231" s="92"/>
      <c r="GZ231" s="92"/>
      <c r="HA231" s="92"/>
      <c r="HB231" s="92"/>
      <c r="HC231" s="92"/>
      <c r="HD231" s="92"/>
      <c r="HE231" s="92"/>
      <c r="HF231" s="92"/>
      <c r="HG231" s="92"/>
      <c r="HH231" s="92"/>
      <c r="HI231" s="92"/>
      <c r="HJ231" s="92"/>
      <c r="HK231" s="92"/>
      <c r="HL231" s="92"/>
      <c r="HM231" s="92"/>
      <c r="HN231" s="92"/>
      <c r="HO231" s="92"/>
      <c r="HP231" s="92"/>
      <c r="HQ231" s="92"/>
      <c r="HR231" s="92"/>
      <c r="HS231" s="92"/>
      <c r="HT231" s="92"/>
      <c r="HU231" s="92"/>
      <c r="HV231" s="92"/>
      <c r="HW231" s="92"/>
      <c r="HX231" s="92"/>
      <c r="HY231" s="92"/>
      <c r="HZ231" s="92"/>
      <c r="IA231" s="92"/>
      <c r="IB231" s="92"/>
      <c r="IC231" s="92"/>
      <c r="ID231" s="92"/>
      <c r="IE231" s="92"/>
      <c r="IF231" s="92"/>
      <c r="IG231" s="92"/>
      <c r="IH231" s="92"/>
      <c r="II231" s="92"/>
      <c r="IJ231" s="92"/>
      <c r="IK231" s="92"/>
      <c r="IL231" s="92"/>
      <c r="IM231" s="92"/>
      <c r="IN231" s="92"/>
      <c r="IO231" s="92"/>
      <c r="IP231" s="92"/>
      <c r="IQ231" s="92"/>
      <c r="IR231" s="92"/>
      <c r="IS231" s="92"/>
      <c r="IT231" s="92"/>
      <c r="IU231" s="92"/>
      <c r="IV231" s="92"/>
    </row>
    <row r="232" spans="1:256" s="84" customFormat="1" x14ac:dyDescent="0.25">
      <c r="A232">
        <v>230</v>
      </c>
      <c r="B232" s="85" t="s">
        <v>274</v>
      </c>
      <c r="C232" s="85" t="s">
        <v>240</v>
      </c>
      <c r="D232" s="85" t="s">
        <v>223</v>
      </c>
      <c r="E232" s="104">
        <v>1500</v>
      </c>
      <c r="F232" s="85" t="s">
        <v>33</v>
      </c>
      <c r="G232" s="85"/>
      <c r="H232" s="85"/>
      <c r="I232" s="85"/>
      <c r="J232" s="91"/>
      <c r="K232" s="91"/>
      <c r="L232" s="91"/>
      <c r="M232" s="87">
        <v>40509</v>
      </c>
      <c r="N232" s="106"/>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2"/>
      <c r="AR232" s="92"/>
      <c r="AS232" s="92"/>
      <c r="AT232" s="92"/>
      <c r="AU232" s="92"/>
      <c r="AV232" s="92"/>
      <c r="AW232" s="92"/>
      <c r="AX232" s="92"/>
      <c r="AY232" s="92"/>
      <c r="AZ232" s="92"/>
      <c r="BA232" s="92"/>
      <c r="BB232" s="92"/>
      <c r="BC232" s="92"/>
      <c r="BD232" s="92"/>
      <c r="BE232" s="92"/>
      <c r="BF232" s="92"/>
      <c r="BG232" s="92"/>
      <c r="BH232" s="92"/>
      <c r="BI232" s="92"/>
      <c r="BJ232" s="92"/>
      <c r="BK232" s="92"/>
      <c r="BL232" s="92"/>
      <c r="BM232" s="92"/>
      <c r="BN232" s="92"/>
      <c r="BO232" s="92"/>
      <c r="BP232" s="92"/>
      <c r="BQ232" s="92"/>
      <c r="BR232" s="92"/>
      <c r="BS232" s="92"/>
      <c r="BT232" s="92"/>
      <c r="BU232" s="92"/>
      <c r="BV232" s="92"/>
      <c r="BW232" s="92"/>
      <c r="BX232" s="92"/>
      <c r="BY232" s="92"/>
      <c r="BZ232" s="92"/>
      <c r="CA232" s="92"/>
      <c r="CB232" s="92"/>
      <c r="CC232" s="92"/>
      <c r="CD232" s="92"/>
      <c r="CE232" s="92"/>
      <c r="CF232" s="92"/>
      <c r="CG232" s="92"/>
      <c r="CH232" s="92"/>
      <c r="CI232" s="92"/>
      <c r="CJ232" s="92"/>
      <c r="CK232" s="92"/>
      <c r="CL232" s="92"/>
      <c r="CM232" s="92"/>
      <c r="CN232" s="92"/>
      <c r="CO232" s="92"/>
      <c r="CP232" s="92"/>
      <c r="CQ232" s="92"/>
      <c r="CR232" s="92"/>
      <c r="CS232" s="92"/>
      <c r="CT232" s="92"/>
      <c r="CU232" s="92"/>
      <c r="CV232" s="92"/>
      <c r="CW232" s="92"/>
      <c r="CX232" s="92"/>
      <c r="CY232" s="92"/>
      <c r="CZ232" s="92"/>
      <c r="DA232" s="92"/>
      <c r="DB232" s="92"/>
      <c r="DC232" s="92"/>
      <c r="DD232" s="92"/>
      <c r="DE232" s="92"/>
      <c r="DF232" s="92"/>
      <c r="DG232" s="92"/>
      <c r="DH232" s="92"/>
      <c r="DI232" s="92"/>
      <c r="DJ232" s="92"/>
      <c r="DK232" s="92"/>
      <c r="DL232" s="92"/>
      <c r="DM232" s="92"/>
      <c r="DN232" s="92"/>
      <c r="DO232" s="92"/>
      <c r="DP232" s="92"/>
      <c r="DQ232" s="92"/>
      <c r="DR232" s="92"/>
      <c r="DS232" s="92"/>
      <c r="DT232" s="92"/>
      <c r="DU232" s="92"/>
      <c r="DV232" s="92"/>
      <c r="DW232" s="92"/>
      <c r="DX232" s="92"/>
      <c r="DY232" s="92"/>
      <c r="DZ232" s="92"/>
      <c r="EA232" s="92"/>
      <c r="EB232" s="92"/>
      <c r="EC232" s="92"/>
      <c r="ED232" s="92"/>
      <c r="EE232" s="92"/>
      <c r="EF232" s="92"/>
      <c r="EG232" s="92"/>
      <c r="EH232" s="92"/>
      <c r="EI232" s="92"/>
      <c r="EJ232" s="92"/>
      <c r="EK232" s="92"/>
      <c r="EL232" s="92"/>
      <c r="EM232" s="92"/>
      <c r="EN232" s="92"/>
      <c r="EO232" s="92"/>
      <c r="EP232" s="92"/>
      <c r="EQ232" s="92"/>
      <c r="ER232" s="92"/>
      <c r="ES232" s="92"/>
      <c r="ET232" s="92"/>
      <c r="EU232" s="92"/>
      <c r="EV232" s="92"/>
      <c r="EW232" s="92"/>
      <c r="EX232" s="92"/>
      <c r="EY232" s="92"/>
      <c r="EZ232" s="92"/>
      <c r="FA232" s="92"/>
      <c r="FB232" s="92"/>
      <c r="FC232" s="92"/>
      <c r="FD232" s="92"/>
      <c r="FE232" s="92"/>
      <c r="FF232" s="92"/>
      <c r="FG232" s="92"/>
      <c r="FH232" s="92"/>
      <c r="FI232" s="92"/>
      <c r="FJ232" s="92"/>
      <c r="FK232" s="92"/>
      <c r="FL232" s="92"/>
      <c r="FM232" s="92"/>
      <c r="FN232" s="92"/>
      <c r="FO232" s="92"/>
      <c r="FP232" s="92"/>
      <c r="FQ232" s="92"/>
      <c r="FR232" s="92"/>
      <c r="FS232" s="92"/>
      <c r="FT232" s="92"/>
      <c r="FU232" s="92"/>
      <c r="FV232" s="92"/>
      <c r="FW232" s="92"/>
      <c r="FX232" s="92"/>
      <c r="FY232" s="92"/>
      <c r="FZ232" s="92"/>
      <c r="GA232" s="92"/>
      <c r="GB232" s="92"/>
      <c r="GC232" s="92"/>
      <c r="GD232" s="92"/>
      <c r="GE232" s="92"/>
      <c r="GF232" s="92"/>
      <c r="GG232" s="92"/>
      <c r="GH232" s="92"/>
      <c r="GI232" s="92"/>
      <c r="GJ232" s="92"/>
      <c r="GK232" s="92"/>
      <c r="GL232" s="92"/>
      <c r="GM232" s="92"/>
      <c r="GN232" s="92"/>
      <c r="GO232" s="92"/>
      <c r="GP232" s="92"/>
      <c r="GQ232" s="92"/>
      <c r="GR232" s="92"/>
      <c r="GS232" s="92"/>
      <c r="GT232" s="92"/>
      <c r="GU232" s="92"/>
      <c r="GV232" s="92"/>
      <c r="GW232" s="92"/>
      <c r="GX232" s="92"/>
      <c r="GY232" s="92"/>
      <c r="GZ232" s="92"/>
      <c r="HA232" s="92"/>
      <c r="HB232" s="92"/>
      <c r="HC232" s="92"/>
      <c r="HD232" s="92"/>
      <c r="HE232" s="92"/>
      <c r="HF232" s="92"/>
      <c r="HG232" s="92"/>
      <c r="HH232" s="92"/>
      <c r="HI232" s="92"/>
      <c r="HJ232" s="92"/>
      <c r="HK232" s="92"/>
      <c r="HL232" s="92"/>
      <c r="HM232" s="92"/>
      <c r="HN232" s="92"/>
      <c r="HO232" s="92"/>
      <c r="HP232" s="92"/>
      <c r="HQ232" s="92"/>
      <c r="HR232" s="92"/>
      <c r="HS232" s="92"/>
      <c r="HT232" s="92"/>
      <c r="HU232" s="92"/>
      <c r="HV232" s="92"/>
      <c r="HW232" s="92"/>
      <c r="HX232" s="92"/>
      <c r="HY232" s="92"/>
      <c r="HZ232" s="92"/>
      <c r="IA232" s="92"/>
      <c r="IB232" s="92"/>
      <c r="IC232" s="92"/>
      <c r="ID232" s="92"/>
      <c r="IE232" s="92"/>
      <c r="IF232" s="92"/>
      <c r="IG232" s="92"/>
      <c r="IH232" s="92"/>
      <c r="II232" s="92"/>
      <c r="IJ232" s="92"/>
      <c r="IK232" s="92"/>
      <c r="IL232" s="92"/>
      <c r="IM232" s="92"/>
      <c r="IN232" s="92"/>
      <c r="IO232" s="92"/>
      <c r="IP232" s="92"/>
      <c r="IQ232" s="92"/>
      <c r="IR232" s="92"/>
      <c r="IS232" s="92"/>
      <c r="IT232" s="92"/>
      <c r="IU232" s="92"/>
      <c r="IV232" s="92"/>
    </row>
    <row r="233" spans="1:256" s="92" customFormat="1" x14ac:dyDescent="0.25">
      <c r="A233">
        <v>230</v>
      </c>
      <c r="B233" s="85" t="s">
        <v>274</v>
      </c>
      <c r="C233" s="85" t="s">
        <v>240</v>
      </c>
      <c r="D233" s="85" t="s">
        <v>223</v>
      </c>
      <c r="E233" s="94">
        <v>1650</v>
      </c>
      <c r="F233" s="85" t="s">
        <v>33</v>
      </c>
      <c r="G233" s="85"/>
      <c r="H233" s="85"/>
      <c r="I233" s="85"/>
      <c r="J233" s="91"/>
      <c r="K233" s="91"/>
      <c r="L233" s="91"/>
      <c r="M233" s="95">
        <v>39880</v>
      </c>
      <c r="N233" s="106"/>
      <c r="O233" s="84"/>
      <c r="P233" s="84"/>
      <c r="Q233" s="84"/>
      <c r="R233" s="84"/>
      <c r="S233" s="84"/>
      <c r="T233" s="84"/>
      <c r="U233" s="84"/>
      <c r="V233" s="84"/>
      <c r="W233" s="84"/>
      <c r="X233" s="84"/>
      <c r="Y233" s="84"/>
      <c r="Z233" s="84"/>
      <c r="AA233" s="84"/>
      <c r="AB233" s="84"/>
      <c r="AC233" s="84"/>
      <c r="AD233" s="84"/>
      <c r="AE233" s="84"/>
      <c r="AF233" s="84"/>
      <c r="AG233" s="84"/>
      <c r="AH233" s="84"/>
      <c r="AI233" s="84"/>
      <c r="AJ233" s="84"/>
      <c r="AK233" s="84"/>
      <c r="AL233" s="84"/>
      <c r="AM233" s="84"/>
      <c r="AN233" s="84"/>
      <c r="AO233" s="84"/>
      <c r="AP233" s="84"/>
      <c r="AQ233" s="84"/>
      <c r="AR233" s="84"/>
      <c r="AS233" s="84"/>
      <c r="AT233" s="84"/>
      <c r="AU233" s="84"/>
      <c r="AV233" s="84"/>
      <c r="AW233" s="84"/>
      <c r="AX233" s="84"/>
      <c r="AY233" s="84"/>
      <c r="AZ233" s="84"/>
      <c r="BA233" s="84"/>
      <c r="BB233" s="84"/>
      <c r="BC233" s="84"/>
      <c r="BD233" s="84"/>
      <c r="BE233" s="84"/>
      <c r="BF233" s="84"/>
      <c r="BG233" s="84"/>
      <c r="BH233" s="84"/>
      <c r="BI233" s="84"/>
      <c r="BJ233" s="84"/>
      <c r="BK233" s="84"/>
      <c r="BL233" s="84"/>
      <c r="BM233" s="84"/>
      <c r="BN233" s="84"/>
      <c r="BO233" s="84"/>
      <c r="BP233" s="84"/>
      <c r="BQ233" s="84"/>
      <c r="BR233" s="84"/>
      <c r="BS233" s="84"/>
      <c r="BT233" s="84"/>
      <c r="BU233" s="84"/>
      <c r="BV233" s="84"/>
      <c r="BW233" s="84"/>
      <c r="BX233" s="84"/>
      <c r="BY233" s="84"/>
      <c r="BZ233" s="84"/>
      <c r="CA233" s="84"/>
      <c r="CB233" s="84"/>
      <c r="CC233" s="84"/>
      <c r="CD233" s="84"/>
      <c r="CE233" s="84"/>
      <c r="CF233" s="84"/>
      <c r="CG233" s="84"/>
      <c r="CH233" s="84"/>
      <c r="CI233" s="84"/>
      <c r="CJ233" s="84"/>
      <c r="CK233" s="84"/>
      <c r="CL233" s="84"/>
      <c r="CM233" s="84"/>
      <c r="CN233" s="84"/>
      <c r="CO233" s="84"/>
      <c r="CP233" s="84"/>
      <c r="CQ233" s="84"/>
      <c r="CR233" s="84"/>
      <c r="CS233" s="84"/>
      <c r="CT233" s="84"/>
      <c r="CU233" s="84"/>
      <c r="CV233" s="84"/>
      <c r="CW233" s="84"/>
      <c r="CX233" s="84"/>
      <c r="CY233" s="84"/>
      <c r="CZ233" s="84"/>
      <c r="DA233" s="84"/>
      <c r="DB233" s="84"/>
      <c r="DC233" s="84"/>
      <c r="DD233" s="84"/>
      <c r="DE233" s="84"/>
      <c r="DF233" s="84"/>
      <c r="DG233" s="84"/>
      <c r="DH233" s="84"/>
      <c r="DI233" s="84"/>
      <c r="DJ233" s="84"/>
      <c r="DK233" s="84"/>
      <c r="DL233" s="84"/>
      <c r="DM233" s="84"/>
      <c r="DN233" s="84"/>
      <c r="DO233" s="84"/>
      <c r="DP233" s="84"/>
      <c r="DQ233" s="84"/>
      <c r="DR233" s="84"/>
      <c r="DS233" s="84"/>
      <c r="DT233" s="84"/>
      <c r="DU233" s="84"/>
      <c r="DV233" s="84"/>
      <c r="DW233" s="84"/>
      <c r="DX233" s="84"/>
      <c r="DY233" s="84"/>
      <c r="DZ233" s="84"/>
      <c r="EA233" s="84"/>
      <c r="EB233" s="84"/>
      <c r="EC233" s="84"/>
      <c r="ED233" s="84"/>
      <c r="EE233" s="84"/>
      <c r="EF233" s="84"/>
      <c r="EG233" s="84"/>
      <c r="EH233" s="84"/>
      <c r="EI233" s="84"/>
      <c r="EJ233" s="84"/>
      <c r="EK233" s="84"/>
      <c r="EL233" s="84"/>
      <c r="EM233" s="84"/>
      <c r="EN233" s="84"/>
      <c r="EO233" s="84"/>
      <c r="EP233" s="84"/>
      <c r="EQ233" s="84"/>
      <c r="ER233" s="84"/>
      <c r="ES233" s="84"/>
      <c r="ET233" s="84"/>
      <c r="EU233" s="84"/>
      <c r="EV233" s="84"/>
      <c r="EW233" s="84"/>
      <c r="EX233" s="84"/>
      <c r="EY233" s="84"/>
      <c r="EZ233" s="84"/>
      <c r="FA233" s="84"/>
      <c r="FB233" s="84"/>
      <c r="FC233" s="84"/>
      <c r="FD233" s="84"/>
      <c r="FE233" s="84"/>
      <c r="FF233" s="84"/>
      <c r="FG233" s="84"/>
      <c r="FH233" s="84"/>
      <c r="FI233" s="84"/>
      <c r="FJ233" s="84"/>
      <c r="FK233" s="84"/>
      <c r="FL233" s="84"/>
      <c r="FM233" s="84"/>
      <c r="FN233" s="84"/>
      <c r="FO233" s="84"/>
      <c r="FP233" s="84"/>
      <c r="FQ233" s="84"/>
      <c r="FR233" s="84"/>
      <c r="FS233" s="84"/>
      <c r="FT233" s="84"/>
      <c r="FU233" s="84"/>
      <c r="FV233" s="84"/>
      <c r="FW233" s="84"/>
      <c r="FX233" s="84"/>
      <c r="FY233" s="84"/>
      <c r="FZ233" s="84"/>
      <c r="GA233" s="84"/>
      <c r="GB233" s="84"/>
      <c r="GC233" s="84"/>
      <c r="GD233" s="84"/>
      <c r="GE233" s="84"/>
      <c r="GF233" s="84"/>
      <c r="GG233" s="84"/>
      <c r="GH233" s="84"/>
      <c r="GI233" s="84"/>
      <c r="GJ233" s="84"/>
      <c r="GK233" s="84"/>
      <c r="GL233" s="84"/>
      <c r="GM233" s="84"/>
      <c r="GN233" s="84"/>
      <c r="GO233" s="84"/>
      <c r="GP233" s="84"/>
      <c r="GQ233" s="84"/>
      <c r="GR233" s="84"/>
      <c r="GS233" s="84"/>
      <c r="GT233" s="84"/>
      <c r="GU233" s="84"/>
      <c r="GV233" s="84"/>
      <c r="GW233" s="84"/>
      <c r="GX233" s="84"/>
      <c r="GY233" s="84"/>
      <c r="GZ233" s="84"/>
      <c r="HA233" s="84"/>
      <c r="HB233" s="84"/>
      <c r="HC233" s="84"/>
      <c r="HD233" s="84"/>
      <c r="HE233" s="84"/>
      <c r="HF233" s="84"/>
      <c r="HG233" s="84"/>
      <c r="HH233" s="84"/>
      <c r="HI233" s="84"/>
      <c r="HJ233" s="84"/>
      <c r="HK233" s="84"/>
      <c r="HL233" s="84"/>
      <c r="HM233" s="84"/>
      <c r="HN233" s="84"/>
      <c r="HO233" s="84"/>
      <c r="HP233" s="84"/>
      <c r="HQ233" s="84"/>
      <c r="HR233" s="84"/>
      <c r="HS233" s="84"/>
      <c r="HT233" s="84"/>
      <c r="HU233" s="84"/>
      <c r="HV233" s="84"/>
      <c r="HW233" s="84"/>
      <c r="HX233" s="84"/>
      <c r="HY233" s="84"/>
      <c r="HZ233" s="84"/>
      <c r="IA233" s="84"/>
      <c r="IB233" s="84"/>
      <c r="IC233" s="84"/>
      <c r="ID233" s="84"/>
      <c r="IE233" s="84"/>
      <c r="IF233" s="84"/>
      <c r="IG233" s="84"/>
      <c r="IH233" s="84"/>
      <c r="II233" s="84"/>
      <c r="IJ233" s="84"/>
      <c r="IK233" s="84"/>
      <c r="IL233" s="84"/>
      <c r="IM233" s="84"/>
      <c r="IN233" s="84"/>
      <c r="IO233" s="84"/>
      <c r="IP233" s="84"/>
      <c r="IQ233" s="84"/>
      <c r="IR233" s="84"/>
      <c r="IS233" s="84"/>
      <c r="IT233" s="84"/>
      <c r="IU233" s="84"/>
      <c r="IV233" s="84"/>
    </row>
    <row r="234" spans="1:256" s="92" customFormat="1" x14ac:dyDescent="0.25">
      <c r="A234">
        <v>232</v>
      </c>
      <c r="B234" s="85" t="s">
        <v>1300</v>
      </c>
      <c r="C234" s="85" t="s">
        <v>240</v>
      </c>
      <c r="D234" s="85" t="s">
        <v>223</v>
      </c>
      <c r="E234" s="88">
        <v>150</v>
      </c>
      <c r="F234" s="85" t="s">
        <v>33</v>
      </c>
      <c r="G234" s="85"/>
      <c r="H234" s="85"/>
      <c r="I234" s="85"/>
      <c r="J234" s="91"/>
      <c r="K234" s="91"/>
      <c r="L234" s="91"/>
      <c r="M234" s="87">
        <v>39929</v>
      </c>
      <c r="N234" s="106"/>
      <c r="O234" s="84"/>
      <c r="P234" s="84"/>
      <c r="Q234" s="84"/>
      <c r="R234" s="84"/>
      <c r="S234" s="84"/>
      <c r="T234" s="84"/>
      <c r="U234" s="84"/>
      <c r="V234" s="84"/>
      <c r="W234" s="84"/>
      <c r="X234" s="84"/>
      <c r="Y234" s="84"/>
      <c r="Z234" s="84"/>
      <c r="AA234" s="84"/>
      <c r="AB234" s="84"/>
      <c r="AC234" s="84"/>
      <c r="AD234" s="84"/>
      <c r="AE234" s="84"/>
      <c r="AF234" s="84"/>
      <c r="AG234" s="84"/>
      <c r="AH234" s="84"/>
      <c r="AI234" s="84"/>
      <c r="AJ234" s="84"/>
      <c r="AK234" s="84"/>
      <c r="AL234" s="84"/>
      <c r="AM234" s="84"/>
      <c r="AN234" s="84"/>
      <c r="AO234" s="84"/>
      <c r="AP234" s="84"/>
      <c r="AQ234" s="84"/>
      <c r="AR234" s="84"/>
      <c r="AS234" s="84"/>
      <c r="AT234" s="84"/>
      <c r="AU234" s="84"/>
      <c r="AV234" s="84"/>
      <c r="AW234" s="84"/>
      <c r="AX234" s="84"/>
      <c r="AY234" s="84"/>
      <c r="AZ234" s="84"/>
      <c r="BA234" s="84"/>
      <c r="BB234" s="84"/>
      <c r="BC234" s="84"/>
      <c r="BD234" s="84"/>
      <c r="BE234" s="84"/>
      <c r="BF234" s="84"/>
      <c r="BG234" s="84"/>
      <c r="BH234" s="84"/>
      <c r="BI234" s="84"/>
      <c r="BJ234" s="84"/>
      <c r="BK234" s="84"/>
      <c r="BL234" s="84"/>
      <c r="BM234" s="84"/>
      <c r="BN234" s="84"/>
      <c r="BO234" s="84"/>
      <c r="BP234" s="84"/>
      <c r="BQ234" s="84"/>
      <c r="BR234" s="84"/>
      <c r="BS234" s="84"/>
      <c r="BT234" s="84"/>
      <c r="BU234" s="84"/>
      <c r="BV234" s="84"/>
      <c r="BW234" s="84"/>
      <c r="BX234" s="84"/>
      <c r="BY234" s="84"/>
      <c r="BZ234" s="84"/>
      <c r="CA234" s="84"/>
      <c r="CB234" s="84"/>
      <c r="CC234" s="84"/>
      <c r="CD234" s="84"/>
      <c r="CE234" s="84"/>
      <c r="CF234" s="84"/>
      <c r="CG234" s="84"/>
      <c r="CH234" s="84"/>
      <c r="CI234" s="84"/>
      <c r="CJ234" s="84"/>
      <c r="CK234" s="84"/>
      <c r="CL234" s="84"/>
      <c r="CM234" s="84"/>
      <c r="CN234" s="84"/>
      <c r="CO234" s="84"/>
      <c r="CP234" s="84"/>
      <c r="CQ234" s="84"/>
      <c r="CR234" s="84"/>
      <c r="CS234" s="84"/>
      <c r="CT234" s="84"/>
      <c r="CU234" s="84"/>
      <c r="CV234" s="84"/>
      <c r="CW234" s="84"/>
      <c r="CX234" s="84"/>
      <c r="CY234" s="84"/>
      <c r="CZ234" s="84"/>
      <c r="DA234" s="84"/>
      <c r="DB234" s="84"/>
      <c r="DC234" s="84"/>
      <c r="DD234" s="84"/>
      <c r="DE234" s="84"/>
      <c r="DF234" s="84"/>
      <c r="DG234" s="84"/>
      <c r="DH234" s="84"/>
      <c r="DI234" s="84"/>
      <c r="DJ234" s="84"/>
      <c r="DK234" s="84"/>
      <c r="DL234" s="84"/>
      <c r="DM234" s="84"/>
      <c r="DN234" s="84"/>
      <c r="DO234" s="84"/>
      <c r="DP234" s="84"/>
      <c r="DQ234" s="84"/>
      <c r="DR234" s="84"/>
      <c r="DS234" s="84"/>
      <c r="DT234" s="84"/>
      <c r="DU234" s="84"/>
      <c r="DV234" s="84"/>
      <c r="DW234" s="84"/>
      <c r="DX234" s="84"/>
      <c r="DY234" s="84"/>
      <c r="DZ234" s="84"/>
      <c r="EA234" s="84"/>
      <c r="EB234" s="84"/>
      <c r="EC234" s="84"/>
      <c r="ED234" s="84"/>
      <c r="EE234" s="84"/>
      <c r="EF234" s="84"/>
      <c r="EG234" s="84"/>
      <c r="EH234" s="84"/>
      <c r="EI234" s="84"/>
      <c r="EJ234" s="84"/>
      <c r="EK234" s="84"/>
      <c r="EL234" s="84"/>
      <c r="EM234" s="84"/>
      <c r="EN234" s="84"/>
      <c r="EO234" s="84"/>
      <c r="EP234" s="84"/>
      <c r="EQ234" s="84"/>
      <c r="ER234" s="84"/>
      <c r="ES234" s="84"/>
      <c r="ET234" s="84"/>
      <c r="EU234" s="84"/>
      <c r="EV234" s="84"/>
      <c r="EW234" s="84"/>
      <c r="EX234" s="84"/>
      <c r="EY234" s="84"/>
      <c r="EZ234" s="84"/>
      <c r="FA234" s="84"/>
      <c r="FB234" s="84"/>
      <c r="FC234" s="84"/>
      <c r="FD234" s="84"/>
      <c r="FE234" s="84"/>
      <c r="FF234" s="84"/>
      <c r="FG234" s="84"/>
      <c r="FH234" s="84"/>
      <c r="FI234" s="84"/>
      <c r="FJ234" s="84"/>
      <c r="FK234" s="84"/>
      <c r="FL234" s="84"/>
      <c r="FM234" s="84"/>
      <c r="FN234" s="84"/>
      <c r="FO234" s="84"/>
      <c r="FP234" s="84"/>
      <c r="FQ234" s="84"/>
      <c r="FR234" s="84"/>
      <c r="FS234" s="84"/>
      <c r="FT234" s="84"/>
      <c r="FU234" s="84"/>
      <c r="FV234" s="84"/>
      <c r="FW234" s="84"/>
      <c r="FX234" s="84"/>
      <c r="FY234" s="84"/>
      <c r="FZ234" s="84"/>
      <c r="GA234" s="84"/>
      <c r="GB234" s="84"/>
      <c r="GC234" s="84"/>
      <c r="GD234" s="84"/>
      <c r="GE234" s="84"/>
      <c r="GF234" s="84"/>
      <c r="GG234" s="84"/>
      <c r="GH234" s="84"/>
      <c r="GI234" s="84"/>
      <c r="GJ234" s="84"/>
      <c r="GK234" s="84"/>
      <c r="GL234" s="84"/>
      <c r="GM234" s="84"/>
      <c r="GN234" s="84"/>
      <c r="GO234" s="84"/>
      <c r="GP234" s="84"/>
      <c r="GQ234" s="84"/>
      <c r="GR234" s="84"/>
      <c r="GS234" s="84"/>
      <c r="GT234" s="84"/>
      <c r="GU234" s="84"/>
      <c r="GV234" s="84"/>
      <c r="GW234" s="84"/>
      <c r="GX234" s="84"/>
      <c r="GY234" s="84"/>
      <c r="GZ234" s="84"/>
      <c r="HA234" s="84"/>
      <c r="HB234" s="84"/>
      <c r="HC234" s="84"/>
      <c r="HD234" s="84"/>
      <c r="HE234" s="84"/>
      <c r="HF234" s="84"/>
      <c r="HG234" s="84"/>
      <c r="HH234" s="84"/>
      <c r="HI234" s="84"/>
      <c r="HJ234" s="84"/>
      <c r="HK234" s="84"/>
      <c r="HL234" s="84"/>
      <c r="HM234" s="84"/>
      <c r="HN234" s="84"/>
      <c r="HO234" s="84"/>
      <c r="HP234" s="84"/>
      <c r="HQ234" s="84"/>
      <c r="HR234" s="84"/>
      <c r="HS234" s="84"/>
      <c r="HT234" s="84"/>
      <c r="HU234" s="84"/>
      <c r="HV234" s="84"/>
      <c r="HW234" s="84"/>
      <c r="HX234" s="84"/>
      <c r="HY234" s="84"/>
      <c r="HZ234" s="84"/>
      <c r="IA234" s="84"/>
      <c r="IB234" s="84"/>
      <c r="IC234" s="84"/>
      <c r="ID234" s="84"/>
      <c r="IE234" s="84"/>
      <c r="IF234" s="84"/>
      <c r="IG234" s="84"/>
      <c r="IH234" s="84"/>
      <c r="II234" s="84"/>
      <c r="IJ234" s="84"/>
      <c r="IK234" s="84"/>
      <c r="IL234" s="84"/>
      <c r="IM234" s="84"/>
      <c r="IN234" s="84"/>
      <c r="IO234" s="84"/>
      <c r="IP234" s="84"/>
      <c r="IQ234" s="84"/>
      <c r="IR234" s="84"/>
      <c r="IS234" s="84"/>
      <c r="IT234" s="84"/>
      <c r="IU234" s="84"/>
      <c r="IV234" s="84"/>
    </row>
    <row r="235" spans="1:256" s="84" customFormat="1" x14ac:dyDescent="0.25">
      <c r="A235">
        <v>233</v>
      </c>
      <c r="B235" s="85" t="s">
        <v>1301</v>
      </c>
      <c r="C235" s="85" t="s">
        <v>1302</v>
      </c>
      <c r="D235" s="85" t="s">
        <v>223</v>
      </c>
      <c r="E235" s="88">
        <v>786</v>
      </c>
      <c r="F235" s="85" t="s">
        <v>33</v>
      </c>
      <c r="G235" s="85"/>
      <c r="H235" s="85"/>
      <c r="I235" s="85"/>
      <c r="J235" s="91"/>
      <c r="K235" s="91"/>
      <c r="L235" s="91"/>
      <c r="M235" s="87">
        <v>40286</v>
      </c>
      <c r="N235" s="106"/>
    </row>
    <row r="236" spans="1:256" s="84" customFormat="1" x14ac:dyDescent="0.25">
      <c r="A236">
        <v>234</v>
      </c>
      <c r="B236" s="85" t="s">
        <v>275</v>
      </c>
      <c r="C236" s="85" t="s">
        <v>276</v>
      </c>
      <c r="D236" s="85" t="s">
        <v>223</v>
      </c>
      <c r="E236" s="88">
        <v>500</v>
      </c>
      <c r="F236" s="85" t="s">
        <v>33</v>
      </c>
      <c r="G236" s="85"/>
      <c r="H236" s="85"/>
      <c r="I236" s="85"/>
      <c r="J236" s="91"/>
      <c r="K236" s="91"/>
      <c r="L236" s="91"/>
      <c r="M236" s="87"/>
      <c r="N236" s="106"/>
    </row>
    <row r="237" spans="1:256" s="84" customFormat="1" x14ac:dyDescent="0.25">
      <c r="A237">
        <v>235</v>
      </c>
      <c r="B237" s="85" t="s">
        <v>277</v>
      </c>
      <c r="C237" s="85" t="s">
        <v>276</v>
      </c>
      <c r="D237" s="85" t="s">
        <v>223</v>
      </c>
      <c r="E237" s="88">
        <v>250</v>
      </c>
      <c r="F237" s="85" t="s">
        <v>33</v>
      </c>
      <c r="G237" s="85"/>
      <c r="H237" s="85"/>
      <c r="I237" s="85"/>
      <c r="J237" s="91"/>
      <c r="K237" s="91"/>
      <c r="L237" s="91"/>
      <c r="M237" s="87"/>
      <c r="N237" s="106"/>
    </row>
    <row r="238" spans="1:256" s="84" customFormat="1" x14ac:dyDescent="0.25">
      <c r="A238">
        <v>236</v>
      </c>
      <c r="B238" s="85" t="s">
        <v>278</v>
      </c>
      <c r="C238" s="85" t="s">
        <v>276</v>
      </c>
      <c r="D238" s="85" t="s">
        <v>223</v>
      </c>
      <c r="E238" s="88">
        <v>750</v>
      </c>
      <c r="F238" s="85" t="s">
        <v>33</v>
      </c>
      <c r="G238" s="85"/>
      <c r="H238" s="85"/>
      <c r="I238" s="85"/>
      <c r="J238" s="91"/>
      <c r="K238" s="91"/>
      <c r="L238" s="91"/>
      <c r="M238" s="87"/>
      <c r="N238" s="106"/>
    </row>
    <row r="239" spans="1:256" s="84" customFormat="1" x14ac:dyDescent="0.25">
      <c r="A239">
        <v>237</v>
      </c>
      <c r="B239" s="85" t="s">
        <v>279</v>
      </c>
      <c r="C239" s="85"/>
      <c r="D239" s="85" t="s">
        <v>223</v>
      </c>
      <c r="E239" s="86">
        <v>1990</v>
      </c>
      <c r="F239" s="85"/>
      <c r="G239" s="85"/>
      <c r="H239" s="85"/>
      <c r="I239" s="85"/>
      <c r="J239" s="91"/>
      <c r="K239" s="91"/>
      <c r="L239" s="91"/>
      <c r="M239" s="87"/>
      <c r="N239" s="106"/>
    </row>
    <row r="240" spans="1:256" s="84" customFormat="1" ht="30" x14ac:dyDescent="0.25">
      <c r="A240">
        <v>238</v>
      </c>
      <c r="B240" s="85" t="s">
        <v>280</v>
      </c>
      <c r="C240" s="85" t="s">
        <v>281</v>
      </c>
      <c r="D240" s="85" t="s">
        <v>223</v>
      </c>
      <c r="E240" s="104">
        <v>500</v>
      </c>
      <c r="F240" s="85" t="s">
        <v>33</v>
      </c>
      <c r="G240" s="85"/>
      <c r="H240" s="85"/>
      <c r="I240" s="85"/>
      <c r="J240" s="91"/>
      <c r="K240" s="91"/>
      <c r="L240" s="91"/>
      <c r="M240" s="87"/>
      <c r="N240" s="106"/>
    </row>
    <row r="241" spans="1:14" s="84" customFormat="1" ht="30" x14ac:dyDescent="0.25">
      <c r="A241">
        <v>239</v>
      </c>
      <c r="B241" s="85" t="s">
        <v>1569</v>
      </c>
      <c r="C241" s="85" t="s">
        <v>281</v>
      </c>
      <c r="D241" s="85" t="s">
        <v>223</v>
      </c>
      <c r="E241" s="104">
        <v>535</v>
      </c>
      <c r="F241" s="85" t="s">
        <v>33</v>
      </c>
      <c r="G241" s="85"/>
      <c r="H241" s="85"/>
      <c r="I241" s="85"/>
      <c r="J241" s="91"/>
      <c r="K241" s="91"/>
      <c r="L241" s="91"/>
      <c r="M241" s="87">
        <v>40947</v>
      </c>
      <c r="N241" s="106"/>
    </row>
    <row r="242" spans="1:14" s="84" customFormat="1" ht="30" x14ac:dyDescent="0.25">
      <c r="A242">
        <v>240</v>
      </c>
      <c r="B242" s="85" t="s">
        <v>282</v>
      </c>
      <c r="C242" s="85" t="s">
        <v>283</v>
      </c>
      <c r="D242" s="85" t="s">
        <v>223</v>
      </c>
      <c r="E242" s="104">
        <v>486.5</v>
      </c>
      <c r="F242" s="85" t="s">
        <v>33</v>
      </c>
      <c r="G242" s="85"/>
      <c r="H242" s="85"/>
      <c r="I242" s="85"/>
      <c r="J242" s="91"/>
      <c r="K242" s="91"/>
      <c r="L242" s="91"/>
      <c r="M242" s="87"/>
      <c r="N242" s="106"/>
    </row>
    <row r="243" spans="1:14" s="84" customFormat="1" ht="30" x14ac:dyDescent="0.25">
      <c r="A243">
        <v>241</v>
      </c>
      <c r="B243" s="85" t="s">
        <v>284</v>
      </c>
      <c r="C243" s="85" t="s">
        <v>283</v>
      </c>
      <c r="D243" s="85" t="s">
        <v>223</v>
      </c>
      <c r="E243" s="104">
        <v>582.5</v>
      </c>
      <c r="F243" s="85" t="s">
        <v>33</v>
      </c>
      <c r="G243" s="85"/>
      <c r="H243" s="85"/>
      <c r="I243" s="85"/>
      <c r="J243" s="91"/>
      <c r="K243" s="91"/>
      <c r="L243" s="91"/>
      <c r="M243" s="87"/>
      <c r="N243" s="106" t="s">
        <v>285</v>
      </c>
    </row>
    <row r="244" spans="1:14" s="84" customFormat="1" ht="30" x14ac:dyDescent="0.25">
      <c r="A244">
        <v>242</v>
      </c>
      <c r="B244" s="85" t="s">
        <v>286</v>
      </c>
      <c r="C244" s="85" t="s">
        <v>283</v>
      </c>
      <c r="D244" s="85" t="s">
        <v>223</v>
      </c>
      <c r="E244" s="104">
        <v>572.5</v>
      </c>
      <c r="F244" s="85" t="s">
        <v>33</v>
      </c>
      <c r="G244" s="85"/>
      <c r="H244" s="85"/>
      <c r="I244" s="85"/>
      <c r="J244" s="91"/>
      <c r="K244" s="91"/>
      <c r="L244" s="91"/>
      <c r="M244" s="87"/>
      <c r="N244" s="106" t="s">
        <v>287</v>
      </c>
    </row>
    <row r="245" spans="1:14" s="84" customFormat="1" x14ac:dyDescent="0.25">
      <c r="A245">
        <v>243</v>
      </c>
      <c r="B245" s="85" t="s">
        <v>1303</v>
      </c>
      <c r="C245" s="85" t="s">
        <v>1304</v>
      </c>
      <c r="D245" s="85" t="s">
        <v>223</v>
      </c>
      <c r="E245" s="104">
        <v>693</v>
      </c>
      <c r="F245" s="85" t="s">
        <v>33</v>
      </c>
      <c r="G245" s="85"/>
      <c r="H245" s="85"/>
      <c r="I245" s="85"/>
      <c r="J245" s="91"/>
      <c r="K245" s="91"/>
      <c r="L245" s="91"/>
      <c r="M245" s="87"/>
      <c r="N245" s="106"/>
    </row>
    <row r="246" spans="1:14" s="84" customFormat="1" x14ac:dyDescent="0.25">
      <c r="A246">
        <v>244</v>
      </c>
      <c r="B246" s="85" t="s">
        <v>288</v>
      </c>
      <c r="C246" s="85" t="s">
        <v>64</v>
      </c>
      <c r="D246" s="85" t="s">
        <v>223</v>
      </c>
      <c r="E246" s="88">
        <v>125</v>
      </c>
      <c r="F246" s="85" t="s">
        <v>33</v>
      </c>
      <c r="G246" s="85"/>
      <c r="H246" s="85"/>
      <c r="I246" s="85"/>
      <c r="J246" s="91"/>
      <c r="K246" s="91"/>
      <c r="L246" s="91"/>
      <c r="M246" s="87"/>
      <c r="N246" s="106" t="s">
        <v>289</v>
      </c>
    </row>
    <row r="247" spans="1:14" s="84" customFormat="1" x14ac:dyDescent="0.25">
      <c r="A247">
        <v>245</v>
      </c>
      <c r="B247" s="85" t="s">
        <v>290</v>
      </c>
      <c r="C247" s="85" t="s">
        <v>64</v>
      </c>
      <c r="D247" s="85" t="s">
        <v>223</v>
      </c>
      <c r="E247" s="88">
        <v>150</v>
      </c>
      <c r="F247" s="85" t="s">
        <v>33</v>
      </c>
      <c r="G247" s="85"/>
      <c r="H247" s="85"/>
      <c r="I247" s="85"/>
      <c r="J247" s="91"/>
      <c r="K247" s="91"/>
      <c r="L247" s="91"/>
      <c r="M247" s="87"/>
      <c r="N247" s="106" t="s">
        <v>289</v>
      </c>
    </row>
    <row r="248" spans="1:14" s="84" customFormat="1" x14ac:dyDescent="0.25">
      <c r="A248">
        <v>246</v>
      </c>
      <c r="B248" s="85" t="s">
        <v>291</v>
      </c>
      <c r="C248" s="85" t="s">
        <v>64</v>
      </c>
      <c r="D248" s="85" t="s">
        <v>223</v>
      </c>
      <c r="E248" s="88">
        <v>375</v>
      </c>
      <c r="F248" s="85" t="s">
        <v>33</v>
      </c>
      <c r="G248" s="85"/>
      <c r="H248" s="85"/>
      <c r="I248" s="85"/>
      <c r="J248" s="91"/>
      <c r="K248" s="91"/>
      <c r="L248" s="91"/>
      <c r="M248" s="87"/>
      <c r="N248" s="106" t="s">
        <v>292</v>
      </c>
    </row>
    <row r="249" spans="1:14" s="84" customFormat="1" x14ac:dyDescent="0.25">
      <c r="A249">
        <v>247</v>
      </c>
      <c r="B249" s="85" t="s">
        <v>293</v>
      </c>
      <c r="C249" s="85" t="s">
        <v>64</v>
      </c>
      <c r="D249" s="85" t="s">
        <v>223</v>
      </c>
      <c r="E249" s="88">
        <v>190</v>
      </c>
      <c r="F249" s="85" t="s">
        <v>33</v>
      </c>
      <c r="G249" s="85"/>
      <c r="H249" s="85"/>
      <c r="I249" s="85"/>
      <c r="J249" s="91"/>
      <c r="K249" s="91"/>
      <c r="L249" s="91"/>
      <c r="M249" s="87"/>
      <c r="N249" s="106" t="s">
        <v>292</v>
      </c>
    </row>
    <row r="250" spans="1:14" s="84" customFormat="1" x14ac:dyDescent="0.25">
      <c r="A250">
        <v>248</v>
      </c>
      <c r="B250" s="85" t="s">
        <v>1305</v>
      </c>
      <c r="C250" s="85" t="s">
        <v>1306</v>
      </c>
      <c r="D250" s="85" t="s">
        <v>223</v>
      </c>
      <c r="E250" s="88">
        <v>803</v>
      </c>
      <c r="F250" s="85" t="s">
        <v>33</v>
      </c>
      <c r="G250" s="85"/>
      <c r="H250" s="85"/>
      <c r="I250" s="85"/>
      <c r="J250" s="91"/>
      <c r="K250" s="91"/>
      <c r="L250" s="91"/>
      <c r="M250" s="87">
        <v>40286</v>
      </c>
      <c r="N250" s="106"/>
    </row>
    <row r="251" spans="1:14" s="84" customFormat="1" x14ac:dyDescent="0.25">
      <c r="A251">
        <v>249</v>
      </c>
      <c r="B251" s="85" t="s">
        <v>1307</v>
      </c>
      <c r="C251" s="85" t="s">
        <v>1308</v>
      </c>
      <c r="D251" s="85" t="s">
        <v>223</v>
      </c>
      <c r="E251" s="88">
        <v>760</v>
      </c>
      <c r="F251" s="85" t="s">
        <v>33</v>
      </c>
      <c r="G251" s="85"/>
      <c r="H251" s="85"/>
      <c r="I251" s="85"/>
      <c r="J251" s="91"/>
      <c r="K251" s="91"/>
      <c r="L251" s="91"/>
      <c r="M251" s="87">
        <v>40307</v>
      </c>
      <c r="N251" s="106"/>
    </row>
    <row r="252" spans="1:14" s="84" customFormat="1" ht="30" x14ac:dyDescent="0.25">
      <c r="A252">
        <v>250</v>
      </c>
      <c r="B252" s="85" t="s">
        <v>1309</v>
      </c>
      <c r="C252" s="85" t="s">
        <v>1310</v>
      </c>
      <c r="D252" s="85" t="s">
        <v>223</v>
      </c>
      <c r="E252" s="88">
        <v>400</v>
      </c>
      <c r="F252" s="85" t="s">
        <v>33</v>
      </c>
      <c r="G252" s="85"/>
      <c r="H252" s="85"/>
      <c r="I252" s="85"/>
      <c r="J252" s="91"/>
      <c r="K252" s="91"/>
      <c r="L252" s="91"/>
      <c r="M252" s="87">
        <v>40286</v>
      </c>
      <c r="N252" s="106"/>
    </row>
    <row r="253" spans="1:14" s="84" customFormat="1" x14ac:dyDescent="0.25">
      <c r="A253">
        <v>251</v>
      </c>
      <c r="B253" s="85" t="s">
        <v>294</v>
      </c>
      <c r="C253" s="92" t="s">
        <v>30</v>
      </c>
      <c r="D253" s="92" t="s">
        <v>295</v>
      </c>
      <c r="E253" s="105">
        <v>15</v>
      </c>
      <c r="F253" s="92" t="s">
        <v>296</v>
      </c>
      <c r="G253" s="92"/>
      <c r="H253" s="92"/>
      <c r="I253" s="92"/>
      <c r="J253" s="91"/>
      <c r="K253" s="91"/>
      <c r="L253" s="91"/>
      <c r="M253" s="95"/>
      <c r="N253" s="106" t="s">
        <v>297</v>
      </c>
    </row>
    <row r="254" spans="1:14" s="84" customFormat="1" x14ac:dyDescent="0.25">
      <c r="A254">
        <v>252</v>
      </c>
      <c r="B254" s="85" t="s">
        <v>298</v>
      </c>
      <c r="C254" s="92" t="s">
        <v>30</v>
      </c>
      <c r="D254" s="92" t="s">
        <v>295</v>
      </c>
      <c r="E254" s="88">
        <v>30</v>
      </c>
      <c r="F254" s="92" t="s">
        <v>296</v>
      </c>
      <c r="G254" s="92"/>
      <c r="H254" s="92"/>
      <c r="I254" s="92"/>
      <c r="J254" s="91"/>
      <c r="K254" s="91"/>
      <c r="L254" s="91"/>
      <c r="M254" s="95"/>
      <c r="N254" s="106" t="s">
        <v>297</v>
      </c>
    </row>
    <row r="255" spans="1:14" s="84" customFormat="1" x14ac:dyDescent="0.25">
      <c r="A255">
        <v>253</v>
      </c>
      <c r="B255" s="85" t="s">
        <v>1311</v>
      </c>
      <c r="C255" s="92" t="s">
        <v>100</v>
      </c>
      <c r="D255" s="92" t="s">
        <v>301</v>
      </c>
      <c r="E255" s="93">
        <v>145</v>
      </c>
      <c r="F255" s="92" t="s">
        <v>33</v>
      </c>
      <c r="G255" s="92"/>
      <c r="H255" s="92"/>
      <c r="I255" s="92"/>
      <c r="J255" s="91"/>
      <c r="K255" s="91"/>
      <c r="L255" s="91"/>
      <c r="M255" s="95">
        <v>40321</v>
      </c>
      <c r="N255" s="92"/>
    </row>
    <row r="256" spans="1:14" s="84" customFormat="1" x14ac:dyDescent="0.25">
      <c r="A256">
        <v>254</v>
      </c>
      <c r="B256" s="85" t="s">
        <v>299</v>
      </c>
      <c r="C256" s="85" t="s">
        <v>300</v>
      </c>
      <c r="D256" s="85" t="s">
        <v>301</v>
      </c>
      <c r="E256" s="104">
        <v>300</v>
      </c>
      <c r="F256" s="85" t="s">
        <v>33</v>
      </c>
      <c r="G256" s="85"/>
      <c r="H256" s="85"/>
      <c r="I256" s="85"/>
      <c r="J256" s="91"/>
      <c r="K256" s="91"/>
      <c r="L256" s="91"/>
      <c r="M256" s="87"/>
      <c r="N256" s="106"/>
    </row>
    <row r="257" spans="1:14" s="84" customFormat="1" x14ac:dyDescent="0.25">
      <c r="A257">
        <v>255</v>
      </c>
      <c r="B257" s="85" t="s">
        <v>302</v>
      </c>
      <c r="C257" s="85" t="s">
        <v>303</v>
      </c>
      <c r="D257" s="85" t="s">
        <v>301</v>
      </c>
      <c r="E257" s="86">
        <v>225</v>
      </c>
      <c r="F257" s="85" t="s">
        <v>33</v>
      </c>
      <c r="G257" s="85"/>
      <c r="H257" s="85"/>
      <c r="I257" s="85"/>
      <c r="J257" s="91"/>
      <c r="K257" s="91"/>
      <c r="L257" s="91"/>
      <c r="M257" s="87">
        <v>39867</v>
      </c>
      <c r="N257" s="106"/>
    </row>
    <row r="258" spans="1:14" s="84" customFormat="1" x14ac:dyDescent="0.25">
      <c r="A258">
        <v>256</v>
      </c>
      <c r="B258" s="85" t="s">
        <v>304</v>
      </c>
      <c r="C258" s="85" t="s">
        <v>305</v>
      </c>
      <c r="D258" s="85" t="s">
        <v>301</v>
      </c>
      <c r="E258" s="104">
        <v>210</v>
      </c>
      <c r="F258" s="85" t="s">
        <v>33</v>
      </c>
      <c r="G258" s="85"/>
      <c r="H258" s="85"/>
      <c r="I258" s="85"/>
      <c r="J258" s="91"/>
      <c r="K258" s="91"/>
      <c r="L258" s="91"/>
      <c r="M258" s="87"/>
      <c r="N258" s="106"/>
    </row>
    <row r="259" spans="1:14" s="84" customFormat="1" x14ac:dyDescent="0.25">
      <c r="A259">
        <v>257</v>
      </c>
      <c r="B259" s="85" t="s">
        <v>306</v>
      </c>
      <c r="C259" s="85" t="s">
        <v>305</v>
      </c>
      <c r="D259" s="85" t="s">
        <v>301</v>
      </c>
      <c r="E259" s="104">
        <v>125</v>
      </c>
      <c r="F259" s="85" t="s">
        <v>33</v>
      </c>
      <c r="G259" s="85"/>
      <c r="H259" s="85"/>
      <c r="I259" s="85"/>
      <c r="J259" s="91"/>
      <c r="K259" s="91"/>
      <c r="L259" s="91"/>
      <c r="M259" s="87"/>
      <c r="N259" s="106"/>
    </row>
    <row r="260" spans="1:14" s="84" customFormat="1" x14ac:dyDescent="0.25">
      <c r="A260">
        <v>258</v>
      </c>
      <c r="B260" s="85" t="s">
        <v>307</v>
      </c>
      <c r="C260" s="85" t="s">
        <v>305</v>
      </c>
      <c r="D260" s="85" t="s">
        <v>301</v>
      </c>
      <c r="E260" s="104">
        <v>190</v>
      </c>
      <c r="F260" s="85" t="s">
        <v>33</v>
      </c>
      <c r="G260" s="85"/>
      <c r="H260" s="85"/>
      <c r="I260" s="85"/>
      <c r="J260" s="91"/>
      <c r="K260" s="91"/>
      <c r="L260" s="91"/>
      <c r="M260" s="87"/>
      <c r="N260" s="106"/>
    </row>
    <row r="261" spans="1:14" s="84" customFormat="1" x14ac:dyDescent="0.25">
      <c r="A261">
        <v>259</v>
      </c>
      <c r="B261" s="85" t="s">
        <v>1312</v>
      </c>
      <c r="C261" s="85" t="s">
        <v>1313</v>
      </c>
      <c r="D261" s="85" t="s">
        <v>301</v>
      </c>
      <c r="E261" s="104">
        <v>78</v>
      </c>
      <c r="F261" s="85" t="s">
        <v>33</v>
      </c>
      <c r="G261" s="85"/>
      <c r="H261" s="85"/>
      <c r="I261" s="85"/>
      <c r="J261" s="91"/>
      <c r="K261" s="91"/>
      <c r="L261" s="91"/>
      <c r="M261" s="87">
        <v>40286</v>
      </c>
      <c r="N261" s="106"/>
    </row>
    <row r="262" spans="1:14" s="84" customFormat="1" x14ac:dyDescent="0.25">
      <c r="A262">
        <v>260</v>
      </c>
      <c r="B262" s="85" t="s">
        <v>308</v>
      </c>
      <c r="C262" s="85" t="s">
        <v>309</v>
      </c>
      <c r="D262" s="85" t="s">
        <v>301</v>
      </c>
      <c r="E262" s="94">
        <v>250</v>
      </c>
      <c r="F262" s="85" t="s">
        <v>33</v>
      </c>
      <c r="G262" s="85"/>
      <c r="H262" s="85"/>
      <c r="I262" s="85"/>
      <c r="J262" s="91"/>
      <c r="K262" s="91"/>
      <c r="L262" s="91"/>
      <c r="M262" s="87">
        <v>39873</v>
      </c>
      <c r="N262" s="106"/>
    </row>
    <row r="263" spans="1:14" s="84" customFormat="1" x14ac:dyDescent="0.25">
      <c r="A263">
        <v>261</v>
      </c>
      <c r="B263" s="85" t="s">
        <v>310</v>
      </c>
      <c r="C263" s="85" t="s">
        <v>309</v>
      </c>
      <c r="D263" s="85" t="s">
        <v>301</v>
      </c>
      <c r="E263" s="94">
        <v>145</v>
      </c>
      <c r="F263" s="85" t="s">
        <v>33</v>
      </c>
      <c r="G263" s="85"/>
      <c r="H263" s="85"/>
      <c r="I263" s="85"/>
      <c r="J263" s="91"/>
      <c r="K263" s="91"/>
      <c r="L263" s="91"/>
      <c r="M263" s="87">
        <v>39922</v>
      </c>
      <c r="N263" s="106"/>
    </row>
    <row r="264" spans="1:14" s="84" customFormat="1" x14ac:dyDescent="0.25">
      <c r="A264">
        <v>262</v>
      </c>
      <c r="B264" s="85" t="s">
        <v>311</v>
      </c>
      <c r="C264" s="85" t="s">
        <v>309</v>
      </c>
      <c r="D264" s="85" t="s">
        <v>301</v>
      </c>
      <c r="E264" s="94">
        <v>181</v>
      </c>
      <c r="F264" s="85" t="s">
        <v>33</v>
      </c>
      <c r="G264" s="85"/>
      <c r="H264" s="85"/>
      <c r="I264" s="85"/>
      <c r="J264" s="91"/>
      <c r="K264" s="91"/>
      <c r="L264" s="91"/>
      <c r="M264" s="87">
        <v>39922</v>
      </c>
      <c r="N264" s="106"/>
    </row>
    <row r="265" spans="1:14" s="84" customFormat="1" x14ac:dyDescent="0.25">
      <c r="A265">
        <v>263</v>
      </c>
      <c r="B265" s="85" t="s">
        <v>1314</v>
      </c>
      <c r="C265" s="85" t="s">
        <v>1315</v>
      </c>
      <c r="D265" s="85" t="s">
        <v>301</v>
      </c>
      <c r="E265" s="94">
        <v>375</v>
      </c>
      <c r="F265" s="85" t="s">
        <v>33</v>
      </c>
      <c r="G265" s="85"/>
      <c r="H265" s="85"/>
      <c r="I265" s="85"/>
      <c r="J265" s="91"/>
      <c r="K265" s="91"/>
      <c r="L265" s="91"/>
      <c r="M265" s="87">
        <v>40321</v>
      </c>
      <c r="N265" s="106"/>
    </row>
    <row r="266" spans="1:14" s="84" customFormat="1" x14ac:dyDescent="0.25">
      <c r="A266">
        <v>264</v>
      </c>
      <c r="B266" s="85" t="s">
        <v>312</v>
      </c>
      <c r="C266" s="85" t="s">
        <v>1316</v>
      </c>
      <c r="D266" s="85" t="s">
        <v>301</v>
      </c>
      <c r="E266" s="94">
        <v>100</v>
      </c>
      <c r="F266" s="85" t="s">
        <v>33</v>
      </c>
      <c r="G266" s="85"/>
      <c r="H266" s="85"/>
      <c r="I266" s="85"/>
      <c r="J266" s="91"/>
      <c r="K266" s="91"/>
      <c r="L266" s="91"/>
      <c r="M266" s="87">
        <v>39898</v>
      </c>
      <c r="N266" s="106" t="s">
        <v>313</v>
      </c>
    </row>
    <row r="267" spans="1:14" s="84" customFormat="1" x14ac:dyDescent="0.25">
      <c r="A267">
        <v>265</v>
      </c>
      <c r="B267" s="85" t="s">
        <v>314</v>
      </c>
      <c r="C267" s="85" t="s">
        <v>315</v>
      </c>
      <c r="D267" s="85" t="s">
        <v>301</v>
      </c>
      <c r="E267" s="94">
        <v>135</v>
      </c>
      <c r="F267" s="85" t="s">
        <v>33</v>
      </c>
      <c r="G267" s="85"/>
      <c r="H267" s="85"/>
      <c r="I267" s="85"/>
      <c r="J267" s="91"/>
      <c r="K267" s="91"/>
      <c r="L267" s="91"/>
      <c r="M267" s="87">
        <v>39873</v>
      </c>
      <c r="N267" s="106" t="s">
        <v>313</v>
      </c>
    </row>
    <row r="268" spans="1:14" s="84" customFormat="1" x14ac:dyDescent="0.25">
      <c r="A268">
        <v>266</v>
      </c>
      <c r="B268" s="85" t="s">
        <v>1317</v>
      </c>
      <c r="C268" s="85" t="s">
        <v>316</v>
      </c>
      <c r="D268" s="85" t="s">
        <v>301</v>
      </c>
      <c r="E268" s="94">
        <v>189</v>
      </c>
      <c r="F268" s="85" t="s">
        <v>33</v>
      </c>
      <c r="G268" s="85"/>
      <c r="H268" s="85"/>
      <c r="I268" s="85"/>
      <c r="J268" s="91"/>
      <c r="K268" s="91"/>
      <c r="L268" s="91"/>
      <c r="M268" s="87">
        <v>40321</v>
      </c>
      <c r="N268" s="106"/>
    </row>
    <row r="269" spans="1:14" s="84" customFormat="1" x14ac:dyDescent="0.25">
      <c r="A269">
        <v>267</v>
      </c>
      <c r="B269" s="85" t="s">
        <v>1318</v>
      </c>
      <c r="C269" s="85" t="s">
        <v>316</v>
      </c>
      <c r="D269" s="85" t="s">
        <v>301</v>
      </c>
      <c r="E269" s="104">
        <v>325</v>
      </c>
      <c r="F269" s="85" t="s">
        <v>33</v>
      </c>
      <c r="G269" s="85"/>
      <c r="H269" s="85"/>
      <c r="I269" s="85"/>
      <c r="J269" s="91"/>
      <c r="K269" s="91"/>
      <c r="L269" s="91"/>
      <c r="M269" s="87"/>
      <c r="N269" s="106"/>
    </row>
    <row r="270" spans="1:14" s="84" customFormat="1" x14ac:dyDescent="0.25">
      <c r="A270">
        <v>268</v>
      </c>
      <c r="B270" s="85" t="s">
        <v>1319</v>
      </c>
      <c r="C270" s="85" t="s">
        <v>316</v>
      </c>
      <c r="D270" s="85" t="s">
        <v>301</v>
      </c>
      <c r="E270" s="104">
        <v>305</v>
      </c>
      <c r="F270" s="85" t="s">
        <v>33</v>
      </c>
      <c r="G270" s="85"/>
      <c r="H270" s="85"/>
      <c r="I270" s="85"/>
      <c r="J270" s="91"/>
      <c r="K270" s="91"/>
      <c r="L270" s="91"/>
      <c r="M270" s="87">
        <v>40307</v>
      </c>
      <c r="N270" s="106"/>
    </row>
    <row r="271" spans="1:14" s="84" customFormat="1" x14ac:dyDescent="0.25">
      <c r="A271">
        <v>269</v>
      </c>
      <c r="B271" s="85" t="s">
        <v>1320</v>
      </c>
      <c r="C271" s="85" t="s">
        <v>316</v>
      </c>
      <c r="D271" s="85" t="s">
        <v>301</v>
      </c>
      <c r="E271" s="104">
        <v>500</v>
      </c>
      <c r="F271" s="85" t="s">
        <v>33</v>
      </c>
      <c r="G271" s="85"/>
      <c r="H271" s="85"/>
      <c r="I271" s="85"/>
      <c r="J271" s="91"/>
      <c r="K271" s="91"/>
      <c r="L271" s="91"/>
      <c r="M271" s="87">
        <v>40321</v>
      </c>
      <c r="N271" s="106"/>
    </row>
    <row r="272" spans="1:14" s="84" customFormat="1" x14ac:dyDescent="0.25">
      <c r="A272">
        <v>270</v>
      </c>
      <c r="B272" s="85" t="s">
        <v>1568</v>
      </c>
      <c r="C272" s="85" t="s">
        <v>317</v>
      </c>
      <c r="D272" s="85" t="s">
        <v>301</v>
      </c>
      <c r="E272" s="104">
        <v>117.5</v>
      </c>
      <c r="F272" s="85" t="s">
        <v>33</v>
      </c>
      <c r="G272" s="85"/>
      <c r="H272" s="85"/>
      <c r="I272" s="85"/>
      <c r="J272" s="91"/>
      <c r="K272" s="91"/>
      <c r="L272" s="91"/>
      <c r="M272" s="87">
        <v>40301</v>
      </c>
      <c r="N272" s="106" t="s">
        <v>1567</v>
      </c>
    </row>
    <row r="273" spans="1:14" s="84" customFormat="1" x14ac:dyDescent="0.25">
      <c r="A273">
        <v>271</v>
      </c>
      <c r="B273" s="85" t="s">
        <v>1566</v>
      </c>
      <c r="C273" s="85" t="s">
        <v>1321</v>
      </c>
      <c r="D273" s="85" t="s">
        <v>301</v>
      </c>
      <c r="E273" s="104">
        <v>337.5</v>
      </c>
      <c r="F273" s="85" t="s">
        <v>33</v>
      </c>
      <c r="G273" s="85"/>
      <c r="H273" s="85"/>
      <c r="I273" s="85"/>
      <c r="J273" s="91"/>
      <c r="K273" s="91"/>
      <c r="L273" s="91"/>
      <c r="M273" s="87">
        <v>40301</v>
      </c>
      <c r="N273" s="106" t="s">
        <v>1322</v>
      </c>
    </row>
    <row r="274" spans="1:14" s="84" customFormat="1" x14ac:dyDescent="0.25">
      <c r="A274">
        <v>272</v>
      </c>
      <c r="B274" s="85" t="s">
        <v>1565</v>
      </c>
      <c r="C274" s="85" t="s">
        <v>1321</v>
      </c>
      <c r="D274" s="85" t="s">
        <v>301</v>
      </c>
      <c r="E274" s="104">
        <v>255</v>
      </c>
      <c r="F274" s="85" t="s">
        <v>33</v>
      </c>
      <c r="G274" s="85"/>
      <c r="H274" s="85"/>
      <c r="I274" s="85"/>
      <c r="J274" s="91"/>
      <c r="K274" s="91"/>
      <c r="L274" s="91"/>
      <c r="M274" s="87">
        <v>40636</v>
      </c>
      <c r="N274" s="106" t="s">
        <v>1564</v>
      </c>
    </row>
    <row r="275" spans="1:14" s="84" customFormat="1" x14ac:dyDescent="0.25">
      <c r="A275">
        <v>273</v>
      </c>
      <c r="B275" s="85" t="s">
        <v>318</v>
      </c>
      <c r="C275" s="85" t="s">
        <v>317</v>
      </c>
      <c r="D275" s="85" t="s">
        <v>301</v>
      </c>
      <c r="E275" s="86">
        <v>400</v>
      </c>
      <c r="F275" s="85" t="s">
        <v>33</v>
      </c>
      <c r="G275" s="85"/>
      <c r="H275" s="85"/>
      <c r="I275" s="85"/>
      <c r="J275" s="91"/>
      <c r="K275" s="91"/>
      <c r="L275" s="91"/>
      <c r="M275" s="87">
        <v>39867</v>
      </c>
      <c r="N275" s="106"/>
    </row>
    <row r="276" spans="1:14" s="84" customFormat="1" x14ac:dyDescent="0.25">
      <c r="A276">
        <v>274</v>
      </c>
      <c r="B276" s="85" t="s">
        <v>319</v>
      </c>
      <c r="C276" s="85" t="s">
        <v>317</v>
      </c>
      <c r="D276" s="85" t="s">
        <v>301</v>
      </c>
      <c r="E276" s="104">
        <v>412.5</v>
      </c>
      <c r="F276" s="85" t="s">
        <v>33</v>
      </c>
      <c r="G276" s="85"/>
      <c r="H276" s="85"/>
      <c r="I276" s="85"/>
      <c r="J276" s="91"/>
      <c r="K276" s="91"/>
      <c r="L276" s="91"/>
      <c r="M276" s="87"/>
      <c r="N276" s="106"/>
    </row>
    <row r="277" spans="1:14" s="84" customFormat="1" x14ac:dyDescent="0.25">
      <c r="A277">
        <v>275</v>
      </c>
      <c r="B277" s="85" t="s">
        <v>320</v>
      </c>
      <c r="C277" s="85" t="s">
        <v>317</v>
      </c>
      <c r="D277" s="85" t="s">
        <v>301</v>
      </c>
      <c r="E277" s="104">
        <v>660</v>
      </c>
      <c r="F277" s="85" t="s">
        <v>33</v>
      </c>
      <c r="G277" s="85"/>
      <c r="H277" s="85"/>
      <c r="I277" s="85"/>
      <c r="J277" s="91"/>
      <c r="K277" s="91"/>
      <c r="L277" s="91"/>
      <c r="M277" s="87"/>
      <c r="N277" s="106"/>
    </row>
    <row r="278" spans="1:14" s="84" customFormat="1" x14ac:dyDescent="0.25">
      <c r="A278">
        <v>276</v>
      </c>
      <c r="B278" s="85" t="s">
        <v>321</v>
      </c>
      <c r="C278" s="85" t="s">
        <v>322</v>
      </c>
      <c r="D278" s="85" t="s">
        <v>301</v>
      </c>
      <c r="E278" s="104">
        <v>175</v>
      </c>
      <c r="F278" s="85" t="s">
        <v>33</v>
      </c>
      <c r="G278" s="85"/>
      <c r="H278" s="85"/>
      <c r="I278" s="85"/>
      <c r="J278" s="91"/>
      <c r="K278" s="91"/>
      <c r="L278" s="91"/>
      <c r="M278" s="87"/>
      <c r="N278" s="106"/>
    </row>
    <row r="279" spans="1:14" s="84" customFormat="1" x14ac:dyDescent="0.25">
      <c r="A279">
        <v>277</v>
      </c>
      <c r="B279" s="85" t="s">
        <v>323</v>
      </c>
      <c r="C279" s="85" t="s">
        <v>322</v>
      </c>
      <c r="D279" s="85" t="s">
        <v>301</v>
      </c>
      <c r="E279" s="104">
        <v>200</v>
      </c>
      <c r="F279" s="85" t="s">
        <v>33</v>
      </c>
      <c r="G279" s="85"/>
      <c r="H279" s="85"/>
      <c r="I279" s="85"/>
      <c r="J279" s="91"/>
      <c r="K279" s="91"/>
      <c r="L279" s="91"/>
      <c r="M279" s="87"/>
      <c r="N279" s="106"/>
    </row>
    <row r="280" spans="1:14" s="84" customFormat="1" x14ac:dyDescent="0.25">
      <c r="A280">
        <v>278</v>
      </c>
      <c r="B280" s="85" t="s">
        <v>324</v>
      </c>
      <c r="C280" s="85" t="s">
        <v>322</v>
      </c>
      <c r="D280" s="85" t="s">
        <v>301</v>
      </c>
      <c r="E280" s="104">
        <v>300</v>
      </c>
      <c r="F280" s="85" t="s">
        <v>33</v>
      </c>
      <c r="G280" s="85"/>
      <c r="H280" s="85"/>
      <c r="I280" s="85"/>
      <c r="J280" s="91"/>
      <c r="K280" s="91"/>
      <c r="L280" s="91"/>
      <c r="M280" s="87"/>
      <c r="N280" s="106"/>
    </row>
    <row r="281" spans="1:14" s="84" customFormat="1" x14ac:dyDescent="0.25">
      <c r="A281">
        <v>279</v>
      </c>
      <c r="B281" s="85" t="s">
        <v>325</v>
      </c>
      <c r="C281" s="85" t="s">
        <v>326</v>
      </c>
      <c r="D281" s="85" t="s">
        <v>301</v>
      </c>
      <c r="E281" s="88">
        <v>85</v>
      </c>
      <c r="F281" s="85" t="s">
        <v>33</v>
      </c>
      <c r="G281" s="85"/>
      <c r="H281" s="85"/>
      <c r="I281" s="85"/>
      <c r="J281" s="91"/>
      <c r="K281" s="91"/>
      <c r="L281" s="91"/>
      <c r="M281" s="87"/>
      <c r="N281" s="106"/>
    </row>
    <row r="282" spans="1:14" s="84" customFormat="1" x14ac:dyDescent="0.25">
      <c r="A282">
        <v>280</v>
      </c>
      <c r="B282" s="85" t="s">
        <v>327</v>
      </c>
      <c r="C282" s="85" t="s">
        <v>328</v>
      </c>
      <c r="D282" s="85" t="s">
        <v>301</v>
      </c>
      <c r="E282" s="100">
        <v>0</v>
      </c>
      <c r="F282" s="85" t="s">
        <v>33</v>
      </c>
      <c r="G282" s="85"/>
      <c r="H282" s="85"/>
      <c r="I282" s="85"/>
      <c r="J282" s="91"/>
      <c r="K282" s="91"/>
      <c r="L282" s="91"/>
      <c r="M282" s="87"/>
      <c r="N282" s="106"/>
    </row>
    <row r="283" spans="1:14" s="84" customFormat="1" x14ac:dyDescent="0.25">
      <c r="A283">
        <v>281</v>
      </c>
      <c r="B283" s="85" t="s">
        <v>329</v>
      </c>
      <c r="C283" s="85" t="s">
        <v>30</v>
      </c>
      <c r="D283" s="85" t="s">
        <v>301</v>
      </c>
      <c r="E283" s="100">
        <v>5</v>
      </c>
      <c r="F283" s="85" t="s">
        <v>33</v>
      </c>
      <c r="G283" s="85"/>
      <c r="H283" s="85"/>
      <c r="I283" s="85"/>
      <c r="J283" s="91"/>
      <c r="K283" s="91"/>
      <c r="L283" s="91"/>
      <c r="M283" s="87">
        <v>39898</v>
      </c>
      <c r="N283" s="106"/>
    </row>
    <row r="284" spans="1:14" s="84" customFormat="1" x14ac:dyDescent="0.25">
      <c r="A284">
        <v>282</v>
      </c>
      <c r="B284" s="85" t="s">
        <v>1323</v>
      </c>
      <c r="C284" s="85" t="s">
        <v>1324</v>
      </c>
      <c r="D284" s="85" t="s">
        <v>301</v>
      </c>
      <c r="E284" s="100">
        <v>170</v>
      </c>
      <c r="F284" s="85" t="s">
        <v>552</v>
      </c>
      <c r="G284" s="85"/>
      <c r="H284" s="85"/>
      <c r="I284" s="85"/>
      <c r="J284" s="91"/>
      <c r="K284" s="91"/>
      <c r="L284" s="91"/>
      <c r="M284" s="87">
        <v>40322</v>
      </c>
      <c r="N284" s="106"/>
    </row>
    <row r="285" spans="1:14" s="84" customFormat="1" x14ac:dyDescent="0.25">
      <c r="A285">
        <v>283</v>
      </c>
      <c r="B285" s="85" t="s">
        <v>330</v>
      </c>
      <c r="C285" s="85" t="s">
        <v>331</v>
      </c>
      <c r="D285" s="85" t="s">
        <v>301</v>
      </c>
      <c r="E285" s="94">
        <v>360</v>
      </c>
      <c r="F285" s="85" t="s">
        <v>33</v>
      </c>
      <c r="G285" s="85"/>
      <c r="H285" s="85"/>
      <c r="I285" s="85"/>
      <c r="J285" s="91"/>
      <c r="K285" s="91"/>
      <c r="L285" s="91"/>
      <c r="M285" s="87">
        <v>39867</v>
      </c>
      <c r="N285" s="106"/>
    </row>
    <row r="286" spans="1:14" s="84" customFormat="1" x14ac:dyDescent="0.25">
      <c r="A286">
        <v>284</v>
      </c>
      <c r="B286" s="85" t="s">
        <v>1325</v>
      </c>
      <c r="C286" s="85" t="s">
        <v>331</v>
      </c>
      <c r="D286" s="85" t="s">
        <v>301</v>
      </c>
      <c r="E286" s="94">
        <v>370</v>
      </c>
      <c r="F286" s="85" t="s">
        <v>33</v>
      </c>
      <c r="G286" s="85"/>
      <c r="H286" s="85"/>
      <c r="I286" s="85"/>
      <c r="J286" s="91"/>
      <c r="K286" s="91"/>
      <c r="L286" s="91"/>
      <c r="M286" s="87">
        <v>40268</v>
      </c>
      <c r="N286" s="106"/>
    </row>
    <row r="287" spans="1:14" s="84" customFormat="1" x14ac:dyDescent="0.25">
      <c r="A287">
        <v>285</v>
      </c>
      <c r="B287" s="85" t="s">
        <v>1326</v>
      </c>
      <c r="C287" s="85" t="s">
        <v>30</v>
      </c>
      <c r="D287" s="85" t="s">
        <v>333</v>
      </c>
      <c r="E287" s="94">
        <v>0</v>
      </c>
      <c r="F287" s="85" t="s">
        <v>33</v>
      </c>
      <c r="G287" s="85"/>
      <c r="H287" s="85"/>
      <c r="I287" s="85"/>
      <c r="J287" s="91"/>
      <c r="K287" s="91"/>
      <c r="L287" s="91"/>
      <c r="M287" s="87">
        <v>40257</v>
      </c>
      <c r="N287" s="106" t="s">
        <v>157</v>
      </c>
    </row>
    <row r="288" spans="1:14" s="84" customFormat="1" x14ac:dyDescent="0.25">
      <c r="A288">
        <v>286</v>
      </c>
      <c r="B288" s="85" t="s">
        <v>332</v>
      </c>
      <c r="C288" s="85" t="s">
        <v>30</v>
      </c>
      <c r="D288" s="85" t="s">
        <v>333</v>
      </c>
      <c r="E288" s="94">
        <v>2.5</v>
      </c>
      <c r="F288" s="85" t="s">
        <v>33</v>
      </c>
      <c r="G288" s="85"/>
      <c r="H288" s="85"/>
      <c r="I288" s="85"/>
      <c r="J288" s="91"/>
      <c r="K288" s="91"/>
      <c r="L288" s="91"/>
      <c r="M288" s="87">
        <v>39922</v>
      </c>
      <c r="N288" s="106" t="s">
        <v>334</v>
      </c>
    </row>
    <row r="289" spans="1:14" s="84" customFormat="1" x14ac:dyDescent="0.25">
      <c r="A289">
        <v>287</v>
      </c>
      <c r="B289" s="85" t="s">
        <v>335</v>
      </c>
      <c r="C289" s="85" t="s">
        <v>30</v>
      </c>
      <c r="D289" s="85" t="s">
        <v>333</v>
      </c>
      <c r="E289" s="108">
        <v>0.05</v>
      </c>
      <c r="F289" s="85" t="s">
        <v>36</v>
      </c>
      <c r="G289" s="85"/>
      <c r="H289" s="85"/>
      <c r="I289" s="85"/>
      <c r="J289" s="91"/>
      <c r="K289" s="91"/>
      <c r="L289" s="91"/>
      <c r="M289" s="87"/>
      <c r="N289" s="106"/>
    </row>
    <row r="290" spans="1:14" s="84" customFormat="1" x14ac:dyDescent="0.25">
      <c r="A290">
        <v>288</v>
      </c>
      <c r="B290" s="85" t="s">
        <v>336</v>
      </c>
      <c r="C290" s="85" t="s">
        <v>30</v>
      </c>
      <c r="D290" s="85" t="s">
        <v>333</v>
      </c>
      <c r="E290" s="88">
        <v>0.05</v>
      </c>
      <c r="F290" s="85" t="s">
        <v>36</v>
      </c>
      <c r="G290" s="85"/>
      <c r="H290" s="85"/>
      <c r="I290" s="85"/>
      <c r="J290" s="91"/>
      <c r="K290" s="91"/>
      <c r="L290" s="91"/>
      <c r="M290" s="87"/>
      <c r="N290" s="106" t="s">
        <v>337</v>
      </c>
    </row>
    <row r="291" spans="1:14" s="84" customFormat="1" x14ac:dyDescent="0.25">
      <c r="A291">
        <v>289</v>
      </c>
      <c r="B291" s="85" t="s">
        <v>1327</v>
      </c>
      <c r="C291" s="85" t="s">
        <v>30</v>
      </c>
      <c r="D291" s="92" t="s">
        <v>333</v>
      </c>
      <c r="E291" s="86">
        <v>0</v>
      </c>
      <c r="F291" s="85" t="s">
        <v>33</v>
      </c>
      <c r="G291" s="85"/>
      <c r="H291" s="85"/>
      <c r="I291" s="85"/>
      <c r="J291" s="91"/>
      <c r="K291" s="91"/>
      <c r="L291" s="91"/>
      <c r="M291" s="87">
        <v>40263</v>
      </c>
      <c r="N291" s="106" t="s">
        <v>157</v>
      </c>
    </row>
    <row r="292" spans="1:14" s="84" customFormat="1" x14ac:dyDescent="0.25">
      <c r="A292">
        <v>290</v>
      </c>
      <c r="B292" s="85" t="s">
        <v>338</v>
      </c>
      <c r="C292" s="85" t="s">
        <v>30</v>
      </c>
      <c r="D292" s="85" t="s">
        <v>333</v>
      </c>
      <c r="E292" s="94">
        <v>5</v>
      </c>
      <c r="F292" s="85" t="s">
        <v>33</v>
      </c>
      <c r="G292" s="85"/>
      <c r="H292" s="85"/>
      <c r="I292" s="85"/>
      <c r="J292" s="91"/>
      <c r="K292" s="91"/>
      <c r="L292" s="91"/>
      <c r="M292" s="87"/>
      <c r="N292" s="106"/>
    </row>
    <row r="293" spans="1:14" s="84" customFormat="1" x14ac:dyDescent="0.25">
      <c r="A293">
        <v>291</v>
      </c>
      <c r="B293" s="85" t="s">
        <v>1563</v>
      </c>
      <c r="C293" s="85" t="s">
        <v>30</v>
      </c>
      <c r="D293" s="85" t="s">
        <v>333</v>
      </c>
      <c r="E293" s="94">
        <v>0</v>
      </c>
      <c r="F293" s="85" t="s">
        <v>33</v>
      </c>
      <c r="G293" s="85"/>
      <c r="H293" s="85"/>
      <c r="I293" s="85"/>
      <c r="J293" s="91"/>
      <c r="K293" s="91"/>
      <c r="L293" s="91"/>
      <c r="M293" s="87">
        <v>40670</v>
      </c>
      <c r="N293" s="106" t="s">
        <v>157</v>
      </c>
    </row>
    <row r="294" spans="1:14" s="84" customFormat="1" x14ac:dyDescent="0.25">
      <c r="A294">
        <v>292</v>
      </c>
      <c r="B294" s="85" t="s">
        <v>339</v>
      </c>
      <c r="C294" s="85" t="s">
        <v>30</v>
      </c>
      <c r="D294" s="85" t="s">
        <v>333</v>
      </c>
      <c r="E294" s="94">
        <v>2.5</v>
      </c>
      <c r="F294" s="85" t="s">
        <v>33</v>
      </c>
      <c r="G294" s="85"/>
      <c r="H294" s="85"/>
      <c r="I294" s="85"/>
      <c r="J294" s="91"/>
      <c r="K294" s="91"/>
      <c r="L294" s="91"/>
      <c r="M294" s="87">
        <v>39922</v>
      </c>
      <c r="N294" s="106" t="s">
        <v>334</v>
      </c>
    </row>
    <row r="295" spans="1:14" s="84" customFormat="1" x14ac:dyDescent="0.25">
      <c r="A295">
        <v>293</v>
      </c>
      <c r="B295" s="85" t="s">
        <v>340</v>
      </c>
      <c r="C295" s="85" t="s">
        <v>30</v>
      </c>
      <c r="D295" s="85" t="s">
        <v>333</v>
      </c>
      <c r="E295" s="94">
        <v>20</v>
      </c>
      <c r="F295" s="85" t="s">
        <v>33</v>
      </c>
      <c r="G295" s="85"/>
      <c r="H295" s="85"/>
      <c r="I295" s="85"/>
      <c r="J295" s="91"/>
      <c r="K295" s="91"/>
      <c r="L295" s="91"/>
      <c r="M295" s="87">
        <v>40670</v>
      </c>
      <c r="N295" s="106" t="s">
        <v>1562</v>
      </c>
    </row>
    <row r="296" spans="1:14" s="84" customFormat="1" x14ac:dyDescent="0.25">
      <c r="A296">
        <v>294</v>
      </c>
      <c r="B296" s="85" t="s">
        <v>341</v>
      </c>
      <c r="C296" s="85" t="s">
        <v>30</v>
      </c>
      <c r="D296" s="85" t="s">
        <v>333</v>
      </c>
      <c r="E296" s="94">
        <v>20</v>
      </c>
      <c r="F296" s="85" t="s">
        <v>33</v>
      </c>
      <c r="G296" s="85"/>
      <c r="H296" s="85"/>
      <c r="I296" s="85"/>
      <c r="J296" s="91"/>
      <c r="K296" s="91"/>
      <c r="L296" s="91"/>
      <c r="M296" s="87">
        <v>40670</v>
      </c>
      <c r="N296" s="106" t="s">
        <v>1561</v>
      </c>
    </row>
    <row r="297" spans="1:14" s="84" customFormat="1" x14ac:dyDescent="0.25">
      <c r="A297">
        <v>295</v>
      </c>
      <c r="B297" s="85" t="s">
        <v>342</v>
      </c>
      <c r="C297" s="85" t="s">
        <v>30</v>
      </c>
      <c r="D297" s="85" t="s">
        <v>333</v>
      </c>
      <c r="E297" s="107">
        <v>45</v>
      </c>
      <c r="F297" s="85" t="s">
        <v>33</v>
      </c>
      <c r="G297" s="85"/>
      <c r="H297" s="85"/>
      <c r="I297" s="85"/>
      <c r="J297" s="91"/>
      <c r="K297" s="91"/>
      <c r="L297" s="91"/>
      <c r="M297" s="87">
        <v>40670</v>
      </c>
      <c r="N297" s="106" t="s">
        <v>1560</v>
      </c>
    </row>
    <row r="298" spans="1:14" s="84" customFormat="1" x14ac:dyDescent="0.25">
      <c r="A298">
        <v>296</v>
      </c>
      <c r="B298" s="85" t="s">
        <v>1559</v>
      </c>
      <c r="C298" s="85" t="s">
        <v>30</v>
      </c>
      <c r="D298" s="85" t="s">
        <v>333</v>
      </c>
      <c r="E298" s="94">
        <v>0</v>
      </c>
      <c r="F298" s="85" t="s">
        <v>33</v>
      </c>
      <c r="G298" s="85"/>
      <c r="H298" s="85"/>
      <c r="I298" s="85"/>
      <c r="J298" s="91"/>
      <c r="K298" s="91"/>
      <c r="L298" s="91"/>
      <c r="M298" s="87">
        <v>40670</v>
      </c>
      <c r="N298" s="106" t="s">
        <v>157</v>
      </c>
    </row>
    <row r="299" spans="1:14" s="84" customFormat="1" x14ac:dyDescent="0.25">
      <c r="A299">
        <v>297</v>
      </c>
      <c r="B299" s="85" t="s">
        <v>343</v>
      </c>
      <c r="C299" s="85" t="s">
        <v>30</v>
      </c>
      <c r="D299" s="85" t="s">
        <v>333</v>
      </c>
      <c r="E299" s="94">
        <v>0</v>
      </c>
      <c r="F299" s="85" t="s">
        <v>33</v>
      </c>
      <c r="G299" s="85"/>
      <c r="H299" s="85"/>
      <c r="I299" s="85"/>
      <c r="J299" s="91"/>
      <c r="K299" s="91"/>
      <c r="L299" s="91"/>
      <c r="M299" s="87"/>
      <c r="N299" s="106" t="s">
        <v>157</v>
      </c>
    </row>
    <row r="300" spans="1:14" s="84" customFormat="1" x14ac:dyDescent="0.25">
      <c r="A300">
        <v>298</v>
      </c>
      <c r="B300" s="85" t="s">
        <v>344</v>
      </c>
      <c r="C300" s="85" t="s">
        <v>30</v>
      </c>
      <c r="D300" s="85" t="s">
        <v>333</v>
      </c>
      <c r="E300" s="88">
        <v>110</v>
      </c>
      <c r="F300" s="85" t="s">
        <v>33</v>
      </c>
      <c r="G300" s="85"/>
      <c r="H300" s="85"/>
      <c r="I300" s="85"/>
      <c r="J300" s="91"/>
      <c r="K300" s="91"/>
      <c r="L300" s="91"/>
      <c r="M300" s="87">
        <v>39873</v>
      </c>
      <c r="N300" s="106"/>
    </row>
    <row r="301" spans="1:14" s="84" customFormat="1" x14ac:dyDescent="0.25">
      <c r="A301">
        <v>299</v>
      </c>
      <c r="B301" s="85" t="s">
        <v>345</v>
      </c>
      <c r="C301" s="85" t="s">
        <v>346</v>
      </c>
      <c r="D301" s="85" t="s">
        <v>333</v>
      </c>
      <c r="E301" s="94">
        <v>165</v>
      </c>
      <c r="F301" s="85" t="s">
        <v>33</v>
      </c>
      <c r="G301" s="85"/>
      <c r="H301" s="85"/>
      <c r="I301" s="85"/>
      <c r="J301" s="91"/>
      <c r="K301" s="91"/>
      <c r="L301" s="91"/>
      <c r="M301" s="87">
        <v>39924</v>
      </c>
      <c r="N301" s="106"/>
    </row>
    <row r="302" spans="1:14" s="84" customFormat="1" ht="30" x14ac:dyDescent="0.25">
      <c r="A302">
        <v>300</v>
      </c>
      <c r="B302" s="85" t="s">
        <v>347</v>
      </c>
      <c r="C302" s="85" t="s">
        <v>30</v>
      </c>
      <c r="D302" s="85" t="s">
        <v>333</v>
      </c>
      <c r="E302" s="88">
        <v>110</v>
      </c>
      <c r="F302" s="85" t="s">
        <v>33</v>
      </c>
      <c r="G302" s="85"/>
      <c r="H302" s="85"/>
      <c r="I302" s="85"/>
      <c r="J302" s="91"/>
      <c r="K302" s="91"/>
      <c r="L302" s="91"/>
      <c r="M302" s="87"/>
      <c r="N302" s="106"/>
    </row>
    <row r="303" spans="1:14" s="84" customFormat="1" x14ac:dyDescent="0.25">
      <c r="A303">
        <v>301</v>
      </c>
      <c r="B303" s="85" t="s">
        <v>348</v>
      </c>
      <c r="C303" s="85" t="s">
        <v>349</v>
      </c>
      <c r="D303" s="85" t="s">
        <v>333</v>
      </c>
      <c r="E303" s="88">
        <v>165</v>
      </c>
      <c r="F303" s="85" t="s">
        <v>33</v>
      </c>
      <c r="G303" s="85"/>
      <c r="H303" s="85"/>
      <c r="I303" s="85"/>
      <c r="J303" s="91"/>
      <c r="K303" s="91"/>
      <c r="L303" s="91"/>
      <c r="M303" s="87"/>
      <c r="N303" s="106"/>
    </row>
    <row r="304" spans="1:14" s="84" customFormat="1" x14ac:dyDescent="0.25">
      <c r="A304">
        <v>302</v>
      </c>
      <c r="B304" s="85" t="s">
        <v>350</v>
      </c>
      <c r="C304" s="85" t="s">
        <v>349</v>
      </c>
      <c r="D304" s="85" t="s">
        <v>333</v>
      </c>
      <c r="E304" s="88">
        <v>165</v>
      </c>
      <c r="F304" s="85" t="s">
        <v>33</v>
      </c>
      <c r="G304" s="85"/>
      <c r="H304" s="85"/>
      <c r="I304" s="85"/>
      <c r="J304" s="91"/>
      <c r="K304" s="91"/>
      <c r="L304" s="91"/>
      <c r="M304" s="87"/>
      <c r="N304" s="106"/>
    </row>
    <row r="305" spans="1:14" s="84" customFormat="1" x14ac:dyDescent="0.25">
      <c r="A305">
        <v>303</v>
      </c>
      <c r="B305" s="85" t="s">
        <v>351</v>
      </c>
      <c r="C305" s="85" t="s">
        <v>30</v>
      </c>
      <c r="D305" s="85" t="s">
        <v>333</v>
      </c>
      <c r="E305" s="88">
        <v>60</v>
      </c>
      <c r="F305" s="85" t="s">
        <v>33</v>
      </c>
      <c r="G305" s="85"/>
      <c r="H305" s="85"/>
      <c r="I305" s="85"/>
      <c r="J305" s="91"/>
      <c r="K305" s="91"/>
      <c r="L305" s="91"/>
      <c r="M305" s="87"/>
      <c r="N305" s="106"/>
    </row>
    <row r="306" spans="1:14" s="84" customFormat="1" x14ac:dyDescent="0.25">
      <c r="A306">
        <v>304</v>
      </c>
      <c r="B306" s="85" t="s">
        <v>1328</v>
      </c>
      <c r="C306" s="85" t="s">
        <v>30</v>
      </c>
      <c r="D306" s="85" t="s">
        <v>333</v>
      </c>
      <c r="E306" s="94">
        <v>0</v>
      </c>
      <c r="F306" s="85" t="s">
        <v>33</v>
      </c>
      <c r="G306" s="85"/>
      <c r="H306" s="85"/>
      <c r="I306" s="85"/>
      <c r="J306" s="91"/>
      <c r="K306" s="91"/>
      <c r="L306" s="91"/>
      <c r="M306" s="87"/>
      <c r="N306" s="106" t="s">
        <v>157</v>
      </c>
    </row>
    <row r="307" spans="1:14" s="84" customFormat="1" x14ac:dyDescent="0.25">
      <c r="A307">
        <v>305</v>
      </c>
      <c r="B307" s="85" t="s">
        <v>352</v>
      </c>
      <c r="C307" s="85" t="s">
        <v>30</v>
      </c>
      <c r="D307" s="85" t="s">
        <v>333</v>
      </c>
      <c r="E307" s="94">
        <v>0</v>
      </c>
      <c r="F307" s="85" t="s">
        <v>33</v>
      </c>
      <c r="G307" s="85"/>
      <c r="H307" s="85"/>
      <c r="I307" s="85"/>
      <c r="J307" s="91"/>
      <c r="K307" s="91"/>
      <c r="L307" s="91"/>
      <c r="M307" s="87"/>
      <c r="N307" s="106" t="s">
        <v>157</v>
      </c>
    </row>
    <row r="308" spans="1:14" s="84" customFormat="1" x14ac:dyDescent="0.25">
      <c r="A308">
        <v>306</v>
      </c>
      <c r="B308" s="85" t="s">
        <v>353</v>
      </c>
      <c r="C308" s="85" t="s">
        <v>30</v>
      </c>
      <c r="D308" s="85" t="s">
        <v>333</v>
      </c>
      <c r="E308" s="94">
        <v>0</v>
      </c>
      <c r="F308" s="85" t="s">
        <v>33</v>
      </c>
      <c r="G308" s="85"/>
      <c r="H308" s="85"/>
      <c r="I308" s="85"/>
      <c r="J308" s="91"/>
      <c r="K308" s="91"/>
      <c r="L308" s="91"/>
      <c r="M308" s="87"/>
      <c r="N308" s="106" t="s">
        <v>157</v>
      </c>
    </row>
    <row r="309" spans="1:14" s="84" customFormat="1" x14ac:dyDescent="0.25">
      <c r="A309">
        <v>307</v>
      </c>
      <c r="B309" s="85" t="s">
        <v>354</v>
      </c>
      <c r="C309" s="85" t="s">
        <v>30</v>
      </c>
      <c r="D309" s="85" t="s">
        <v>333</v>
      </c>
      <c r="E309" s="94">
        <v>20</v>
      </c>
      <c r="F309" s="85" t="s">
        <v>33</v>
      </c>
      <c r="G309" s="85"/>
      <c r="H309" s="85"/>
      <c r="I309" s="85"/>
      <c r="J309" s="91"/>
      <c r="K309" s="91"/>
      <c r="L309" s="91"/>
      <c r="M309" s="87"/>
      <c r="N309" s="109"/>
    </row>
    <row r="310" spans="1:14" s="84" customFormat="1" x14ac:dyDescent="0.25">
      <c r="A310">
        <v>308</v>
      </c>
      <c r="B310" s="85" t="s">
        <v>355</v>
      </c>
      <c r="C310" s="85" t="s">
        <v>30</v>
      </c>
      <c r="D310" s="85" t="s">
        <v>356</v>
      </c>
      <c r="E310" s="107">
        <v>65</v>
      </c>
      <c r="F310" s="85" t="s">
        <v>207</v>
      </c>
      <c r="G310" s="85"/>
      <c r="H310" s="85"/>
      <c r="I310" s="85"/>
      <c r="J310" s="91"/>
      <c r="K310" s="91"/>
      <c r="L310" s="91"/>
      <c r="M310" s="87"/>
      <c r="N310" s="106"/>
    </row>
    <row r="311" spans="1:14" s="84" customFormat="1" x14ac:dyDescent="0.25">
      <c r="A311">
        <v>309</v>
      </c>
      <c r="B311" s="85" t="s">
        <v>357</v>
      </c>
      <c r="C311" s="85" t="s">
        <v>30</v>
      </c>
      <c r="D311" s="92" t="s">
        <v>356</v>
      </c>
      <c r="E311" s="88">
        <v>3</v>
      </c>
      <c r="F311" s="92" t="s">
        <v>207</v>
      </c>
      <c r="G311" s="92"/>
      <c r="H311" s="92"/>
      <c r="I311" s="92"/>
      <c r="J311" s="91"/>
      <c r="K311" s="91"/>
      <c r="L311" s="91"/>
      <c r="M311" s="95"/>
      <c r="N311" s="106"/>
    </row>
    <row r="312" spans="1:14" s="84" customFormat="1" x14ac:dyDescent="0.25">
      <c r="A312">
        <v>310</v>
      </c>
      <c r="B312" s="85" t="s">
        <v>358</v>
      </c>
      <c r="C312" s="85" t="s">
        <v>359</v>
      </c>
      <c r="D312" s="92" t="s">
        <v>356</v>
      </c>
      <c r="E312" s="88">
        <v>8.8000000000000007</v>
      </c>
      <c r="F312" s="92" t="s">
        <v>33</v>
      </c>
      <c r="G312" s="92"/>
      <c r="H312" s="92"/>
      <c r="I312" s="92"/>
      <c r="J312" s="91"/>
      <c r="K312" s="91"/>
      <c r="L312" s="91"/>
      <c r="M312" s="95">
        <v>39922</v>
      </c>
      <c r="N312" s="106"/>
    </row>
    <row r="313" spans="1:14" s="84" customFormat="1" x14ac:dyDescent="0.25">
      <c r="A313">
        <v>311</v>
      </c>
      <c r="B313" s="85" t="s">
        <v>360</v>
      </c>
      <c r="C313" s="85" t="s">
        <v>30</v>
      </c>
      <c r="D313" s="85" t="s">
        <v>356</v>
      </c>
      <c r="E313" s="94">
        <v>1</v>
      </c>
      <c r="F313" s="85" t="s">
        <v>361</v>
      </c>
      <c r="G313" s="85"/>
      <c r="H313" s="85"/>
      <c r="I313" s="85"/>
      <c r="J313" s="91"/>
      <c r="K313" s="91"/>
      <c r="L313" s="91"/>
      <c r="M313" s="87"/>
      <c r="N313" s="106"/>
    </row>
    <row r="314" spans="1:14" s="84" customFormat="1" x14ac:dyDescent="0.25">
      <c r="A314">
        <v>312</v>
      </c>
      <c r="B314" s="85" t="s">
        <v>362</v>
      </c>
      <c r="C314" s="85" t="s">
        <v>30</v>
      </c>
      <c r="D314" s="85" t="s">
        <v>356</v>
      </c>
      <c r="E314" s="94">
        <v>1</v>
      </c>
      <c r="F314" s="85" t="s">
        <v>361</v>
      </c>
      <c r="G314" s="85"/>
      <c r="H314" s="85"/>
      <c r="I314" s="85"/>
      <c r="J314" s="91"/>
      <c r="K314" s="91"/>
      <c r="L314" s="91"/>
      <c r="M314" s="87"/>
      <c r="N314" s="106" t="s">
        <v>363</v>
      </c>
    </row>
    <row r="315" spans="1:14" s="84" customFormat="1" x14ac:dyDescent="0.25">
      <c r="A315">
        <v>313</v>
      </c>
      <c r="B315" s="85" t="s">
        <v>364</v>
      </c>
      <c r="C315" s="85" t="s">
        <v>30</v>
      </c>
      <c r="D315" s="85" t="s">
        <v>356</v>
      </c>
      <c r="E315" s="94">
        <v>2</v>
      </c>
      <c r="F315" s="85" t="s">
        <v>361</v>
      </c>
      <c r="G315" s="85"/>
      <c r="H315" s="85"/>
      <c r="I315" s="85"/>
      <c r="J315" s="91"/>
      <c r="K315" s="91"/>
      <c r="L315" s="91"/>
      <c r="M315" s="87"/>
      <c r="N315" s="106" t="s">
        <v>365</v>
      </c>
    </row>
    <row r="316" spans="1:14" s="84" customFormat="1" x14ac:dyDescent="0.25">
      <c r="A316">
        <v>314</v>
      </c>
      <c r="B316" s="85" t="s">
        <v>366</v>
      </c>
      <c r="C316" s="85" t="s">
        <v>30</v>
      </c>
      <c r="D316" s="85" t="s">
        <v>356</v>
      </c>
      <c r="E316" s="94">
        <v>0.5</v>
      </c>
      <c r="F316" s="85" t="s">
        <v>361</v>
      </c>
      <c r="G316" s="85"/>
      <c r="H316" s="85"/>
      <c r="I316" s="85"/>
      <c r="J316" s="91"/>
      <c r="K316" s="91"/>
      <c r="L316" s="91"/>
      <c r="M316" s="87"/>
      <c r="N316" s="106"/>
    </row>
    <row r="317" spans="1:14" s="84" customFormat="1" x14ac:dyDescent="0.25">
      <c r="A317">
        <v>315</v>
      </c>
      <c r="B317" s="85" t="s">
        <v>367</v>
      </c>
      <c r="C317" s="85" t="s">
        <v>30</v>
      </c>
      <c r="D317" s="85" t="s">
        <v>356</v>
      </c>
      <c r="E317" s="94">
        <v>0.05</v>
      </c>
      <c r="F317" s="85" t="s">
        <v>368</v>
      </c>
      <c r="G317" s="85"/>
      <c r="H317" s="85"/>
      <c r="I317" s="85"/>
      <c r="J317" s="91"/>
      <c r="K317" s="91"/>
      <c r="L317" s="91"/>
      <c r="M317" s="87"/>
      <c r="N317" s="106" t="s">
        <v>369</v>
      </c>
    </row>
    <row r="318" spans="1:14" s="84" customFormat="1" x14ac:dyDescent="0.25">
      <c r="A318">
        <v>316</v>
      </c>
      <c r="B318" s="85" t="s">
        <v>1329</v>
      </c>
      <c r="C318" s="85" t="s">
        <v>258</v>
      </c>
      <c r="D318" s="85" t="s">
        <v>356</v>
      </c>
      <c r="E318" s="94">
        <v>383</v>
      </c>
      <c r="F318" s="85" t="s">
        <v>33</v>
      </c>
      <c r="G318" s="85"/>
      <c r="H318" s="85"/>
      <c r="I318" s="85"/>
      <c r="J318" s="91"/>
      <c r="K318" s="91"/>
      <c r="L318" s="91"/>
      <c r="M318" s="87">
        <v>40238</v>
      </c>
      <c r="N318" s="106"/>
    </row>
    <row r="319" spans="1:14" s="84" customFormat="1" x14ac:dyDescent="0.25">
      <c r="A319">
        <v>317</v>
      </c>
      <c r="B319" s="85" t="s">
        <v>370</v>
      </c>
      <c r="C319" s="85" t="s">
        <v>30</v>
      </c>
      <c r="D319" s="85" t="s">
        <v>356</v>
      </c>
      <c r="E319" s="94">
        <v>1</v>
      </c>
      <c r="F319" s="85" t="s">
        <v>371</v>
      </c>
      <c r="G319" s="85"/>
      <c r="H319" s="85"/>
      <c r="I319" s="85"/>
      <c r="J319" s="91"/>
      <c r="K319" s="91"/>
      <c r="L319" s="91"/>
      <c r="M319" s="87"/>
      <c r="N319" s="106" t="s">
        <v>372</v>
      </c>
    </row>
    <row r="320" spans="1:14" s="84" customFormat="1" x14ac:dyDescent="0.25">
      <c r="A320">
        <v>318</v>
      </c>
      <c r="B320" s="85" t="s">
        <v>373</v>
      </c>
      <c r="C320" s="85" t="s">
        <v>30</v>
      </c>
      <c r="D320" s="85" t="s">
        <v>356</v>
      </c>
      <c r="E320" s="96" t="s">
        <v>374</v>
      </c>
      <c r="F320" s="85" t="s">
        <v>375</v>
      </c>
      <c r="G320" s="85"/>
      <c r="H320" s="85">
        <v>1.25</v>
      </c>
      <c r="I320" s="85">
        <v>0</v>
      </c>
      <c r="J320" s="85">
        <v>0</v>
      </c>
      <c r="K320" s="91"/>
      <c r="L320" s="85">
        <f>H320*J320+I320</f>
        <v>0</v>
      </c>
      <c r="M320" s="87">
        <v>39874</v>
      </c>
      <c r="N320" s="106" t="s">
        <v>376</v>
      </c>
    </row>
    <row r="321" spans="1:14" s="84" customFormat="1" x14ac:dyDescent="0.25">
      <c r="A321">
        <v>319</v>
      </c>
      <c r="B321" s="85" t="s">
        <v>377</v>
      </c>
      <c r="C321" s="85" t="s">
        <v>30</v>
      </c>
      <c r="D321" s="85" t="s">
        <v>356</v>
      </c>
      <c r="E321" s="96" t="s">
        <v>41</v>
      </c>
      <c r="F321" s="85" t="s">
        <v>378</v>
      </c>
      <c r="G321" s="85" t="s">
        <v>378</v>
      </c>
      <c r="H321" s="85">
        <v>1.25</v>
      </c>
      <c r="I321" s="85">
        <v>0</v>
      </c>
      <c r="J321" s="85">
        <v>0</v>
      </c>
      <c r="K321" s="85">
        <v>0</v>
      </c>
      <c r="L321" s="88">
        <f>H321*J321*K321+I321</f>
        <v>0</v>
      </c>
      <c r="M321" s="87">
        <v>39869</v>
      </c>
      <c r="N321" s="106" t="s">
        <v>379</v>
      </c>
    </row>
    <row r="322" spans="1:14" s="84" customFormat="1" x14ac:dyDescent="0.25">
      <c r="A322">
        <v>320</v>
      </c>
      <c r="B322" s="85" t="s">
        <v>380</v>
      </c>
      <c r="C322" s="85" t="s">
        <v>30</v>
      </c>
      <c r="D322" s="85" t="s">
        <v>356</v>
      </c>
      <c r="E322" s="88">
        <v>2</v>
      </c>
      <c r="F322" s="85" t="s">
        <v>371</v>
      </c>
      <c r="G322" s="85"/>
      <c r="H322" s="85"/>
      <c r="I322" s="85"/>
      <c r="J322" s="91"/>
      <c r="K322" s="91"/>
      <c r="L322" s="81"/>
      <c r="M322" s="87"/>
      <c r="N322" s="106" t="s">
        <v>372</v>
      </c>
    </row>
    <row r="323" spans="1:14" s="84" customFormat="1" x14ac:dyDescent="0.25">
      <c r="A323">
        <v>321</v>
      </c>
      <c r="B323" s="85" t="s">
        <v>381</v>
      </c>
      <c r="C323" s="85" t="s">
        <v>30</v>
      </c>
      <c r="D323" s="85" t="s">
        <v>356</v>
      </c>
      <c r="E323" s="88">
        <v>0.25</v>
      </c>
      <c r="F323" s="85" t="s">
        <v>361</v>
      </c>
      <c r="G323" s="85"/>
      <c r="H323" s="85"/>
      <c r="I323" s="85"/>
      <c r="J323" s="91"/>
      <c r="K323" s="91"/>
      <c r="L323" s="91"/>
      <c r="M323" s="87"/>
      <c r="N323" s="106" t="s">
        <v>382</v>
      </c>
    </row>
    <row r="324" spans="1:14" s="84" customFormat="1" x14ac:dyDescent="0.25">
      <c r="A324">
        <v>322</v>
      </c>
      <c r="B324" s="85" t="s">
        <v>383</v>
      </c>
      <c r="C324" s="85" t="s">
        <v>30</v>
      </c>
      <c r="D324" s="85" t="s">
        <v>356</v>
      </c>
      <c r="E324" s="94">
        <v>0.5</v>
      </c>
      <c r="F324" s="85" t="s">
        <v>33</v>
      </c>
      <c r="G324" s="85"/>
      <c r="H324" s="85"/>
      <c r="I324" s="85"/>
      <c r="J324" s="91"/>
      <c r="K324" s="91"/>
      <c r="L324" s="91"/>
      <c r="M324" s="87"/>
      <c r="N324" s="106"/>
    </row>
    <row r="325" spans="1:14" s="84" customFormat="1" x14ac:dyDescent="0.25">
      <c r="A325">
        <v>323</v>
      </c>
      <c r="B325" s="85" t="s">
        <v>384</v>
      </c>
      <c r="C325" s="85" t="s">
        <v>30</v>
      </c>
      <c r="D325" s="85" t="s">
        <v>356</v>
      </c>
      <c r="E325" s="94">
        <v>1</v>
      </c>
      <c r="F325" s="85" t="s">
        <v>33</v>
      </c>
      <c r="G325" s="85"/>
      <c r="H325" s="85"/>
      <c r="I325" s="85"/>
      <c r="J325" s="91"/>
      <c r="K325" s="91"/>
      <c r="L325" s="91"/>
      <c r="M325" s="87"/>
      <c r="N325" s="106"/>
    </row>
    <row r="326" spans="1:14" s="84" customFormat="1" x14ac:dyDescent="0.25">
      <c r="A326">
        <v>324</v>
      </c>
      <c r="B326" s="85" t="s">
        <v>385</v>
      </c>
      <c r="C326" s="85" t="s">
        <v>30</v>
      </c>
      <c r="D326" s="85" t="s">
        <v>356</v>
      </c>
      <c r="E326" s="94">
        <v>0.5</v>
      </c>
      <c r="F326" s="85" t="s">
        <v>33</v>
      </c>
      <c r="G326" s="85"/>
      <c r="H326" s="85"/>
      <c r="I326" s="85"/>
      <c r="J326" s="91"/>
      <c r="K326" s="91"/>
      <c r="L326" s="91"/>
      <c r="M326" s="87"/>
      <c r="N326" s="106"/>
    </row>
    <row r="327" spans="1:14" s="84" customFormat="1" x14ac:dyDescent="0.25">
      <c r="A327">
        <v>325</v>
      </c>
      <c r="B327" s="85" t="s">
        <v>386</v>
      </c>
      <c r="C327" s="85" t="s">
        <v>30</v>
      </c>
      <c r="D327" s="85" t="s">
        <v>356</v>
      </c>
      <c r="E327" s="110">
        <v>5</v>
      </c>
      <c r="F327" s="85" t="s">
        <v>33</v>
      </c>
      <c r="G327" s="85"/>
      <c r="H327" s="85"/>
      <c r="I327" s="85"/>
      <c r="J327" s="91"/>
      <c r="K327" s="91"/>
      <c r="L327" s="91"/>
      <c r="M327" s="87"/>
      <c r="N327" s="106" t="s">
        <v>387</v>
      </c>
    </row>
    <row r="328" spans="1:14" s="84" customFormat="1" x14ac:dyDescent="0.25">
      <c r="A328">
        <v>326</v>
      </c>
      <c r="B328" s="85" t="s">
        <v>388</v>
      </c>
      <c r="C328" s="85" t="s">
        <v>30</v>
      </c>
      <c r="D328" s="85" t="s">
        <v>356</v>
      </c>
      <c r="E328" s="110">
        <v>8</v>
      </c>
      <c r="F328" s="85" t="s">
        <v>33</v>
      </c>
      <c r="G328" s="85"/>
      <c r="H328" s="85"/>
      <c r="I328" s="85"/>
      <c r="J328" s="91"/>
      <c r="K328" s="91"/>
      <c r="L328" s="91"/>
      <c r="M328" s="87"/>
      <c r="N328" s="106" t="s">
        <v>389</v>
      </c>
    </row>
    <row r="329" spans="1:14" s="84" customFormat="1" x14ac:dyDescent="0.25">
      <c r="A329">
        <v>327</v>
      </c>
      <c r="B329" s="85" t="s">
        <v>390</v>
      </c>
      <c r="C329" s="85" t="s">
        <v>391</v>
      </c>
      <c r="D329" s="85" t="s">
        <v>356</v>
      </c>
      <c r="E329" s="110">
        <v>85</v>
      </c>
      <c r="F329" s="85" t="s">
        <v>33</v>
      </c>
      <c r="G329" s="85"/>
      <c r="H329" s="85"/>
      <c r="I329" s="85"/>
      <c r="J329" s="91"/>
      <c r="K329" s="91"/>
      <c r="L329" s="91"/>
      <c r="M329" s="87"/>
      <c r="N329" s="106"/>
    </row>
    <row r="330" spans="1:14" s="84" customFormat="1" x14ac:dyDescent="0.25">
      <c r="A330">
        <v>328</v>
      </c>
      <c r="B330" s="85" t="s">
        <v>392</v>
      </c>
      <c r="C330" s="85" t="s">
        <v>30</v>
      </c>
      <c r="D330" s="85" t="s">
        <v>356</v>
      </c>
      <c r="E330" s="110">
        <v>0.5</v>
      </c>
      <c r="F330" s="85" t="s">
        <v>296</v>
      </c>
      <c r="G330" s="85"/>
      <c r="H330" s="85"/>
      <c r="I330" s="85"/>
      <c r="J330" s="91"/>
      <c r="K330" s="91"/>
      <c r="L330" s="91"/>
      <c r="M330" s="87"/>
      <c r="N330" s="106"/>
    </row>
    <row r="331" spans="1:14" s="84" customFormat="1" x14ac:dyDescent="0.25">
      <c r="A331">
        <v>329</v>
      </c>
      <c r="B331" s="85" t="s">
        <v>393</v>
      </c>
      <c r="C331" s="85" t="s">
        <v>30</v>
      </c>
      <c r="D331" s="85" t="s">
        <v>356</v>
      </c>
      <c r="E331" s="110">
        <v>4</v>
      </c>
      <c r="F331" s="85" t="s">
        <v>33</v>
      </c>
      <c r="G331" s="85"/>
      <c r="H331" s="85"/>
      <c r="I331" s="85"/>
      <c r="J331" s="91"/>
      <c r="K331" s="91"/>
      <c r="L331" s="91"/>
      <c r="M331" s="87"/>
      <c r="N331" s="106"/>
    </row>
    <row r="332" spans="1:14" s="84" customFormat="1" x14ac:dyDescent="0.25">
      <c r="A332">
        <v>330</v>
      </c>
      <c r="B332" s="85" t="s">
        <v>394</v>
      </c>
      <c r="C332" s="85" t="s">
        <v>30</v>
      </c>
      <c r="D332" s="85" t="s">
        <v>356</v>
      </c>
      <c r="E332" s="94">
        <v>2</v>
      </c>
      <c r="F332" s="85" t="s">
        <v>33</v>
      </c>
      <c r="G332" s="85"/>
      <c r="H332" s="85"/>
      <c r="I332" s="85"/>
      <c r="J332" s="91"/>
      <c r="K332" s="91"/>
      <c r="L332" s="91"/>
      <c r="M332" s="87"/>
      <c r="N332" s="106"/>
    </row>
    <row r="333" spans="1:14" s="84" customFormat="1" x14ac:dyDescent="0.25">
      <c r="A333">
        <v>331</v>
      </c>
      <c r="B333" s="85" t="s">
        <v>395</v>
      </c>
      <c r="C333" s="85" t="s">
        <v>30</v>
      </c>
      <c r="D333" s="85" t="s">
        <v>356</v>
      </c>
      <c r="E333" s="94">
        <v>0.5</v>
      </c>
      <c r="F333" s="85" t="s">
        <v>33</v>
      </c>
      <c r="G333" s="85"/>
      <c r="H333" s="85"/>
      <c r="I333" s="85"/>
      <c r="J333" s="91"/>
      <c r="K333" s="91"/>
      <c r="L333" s="91"/>
      <c r="M333" s="87"/>
      <c r="N333" s="106"/>
    </row>
    <row r="334" spans="1:14" s="84" customFormat="1" x14ac:dyDescent="0.25">
      <c r="A334">
        <v>332</v>
      </c>
      <c r="B334" s="85" t="s">
        <v>396</v>
      </c>
      <c r="C334" s="85" t="s">
        <v>30</v>
      </c>
      <c r="D334" s="85" t="s">
        <v>356</v>
      </c>
      <c r="E334" s="111">
        <v>20</v>
      </c>
      <c r="F334" s="85" t="s">
        <v>33</v>
      </c>
      <c r="G334" s="85"/>
      <c r="H334" s="85"/>
      <c r="I334" s="85"/>
      <c r="J334" s="91"/>
      <c r="K334" s="91"/>
      <c r="L334" s="91"/>
      <c r="M334" s="87"/>
      <c r="N334" s="106" t="s">
        <v>1558</v>
      </c>
    </row>
    <row r="335" spans="1:14" s="84" customFormat="1" x14ac:dyDescent="0.25">
      <c r="A335">
        <v>333</v>
      </c>
      <c r="B335" s="85" t="s">
        <v>397</v>
      </c>
      <c r="C335" s="85" t="s">
        <v>30</v>
      </c>
      <c r="D335" s="85" t="s">
        <v>356</v>
      </c>
      <c r="E335" s="112">
        <v>40</v>
      </c>
      <c r="F335" s="85" t="s">
        <v>33</v>
      </c>
      <c r="G335" s="85"/>
      <c r="H335" s="85"/>
      <c r="I335" s="85"/>
      <c r="J335" s="91"/>
      <c r="K335" s="91"/>
      <c r="L335" s="91"/>
      <c r="M335" s="87"/>
      <c r="N335" s="106" t="s">
        <v>1558</v>
      </c>
    </row>
    <row r="336" spans="1:14" s="84" customFormat="1" x14ac:dyDescent="0.25">
      <c r="A336">
        <v>334</v>
      </c>
      <c r="B336" s="85" t="s">
        <v>398</v>
      </c>
      <c r="C336" s="85" t="s">
        <v>30</v>
      </c>
      <c r="D336" s="85" t="s">
        <v>356</v>
      </c>
      <c r="E336" s="88">
        <v>2</v>
      </c>
      <c r="F336" s="85" t="s">
        <v>33</v>
      </c>
      <c r="G336" s="85"/>
      <c r="H336" s="85"/>
      <c r="I336" s="85"/>
      <c r="J336" s="91"/>
      <c r="K336" s="91"/>
      <c r="L336" s="91"/>
      <c r="M336" s="87"/>
      <c r="N336" s="106"/>
    </row>
    <row r="337" spans="1:14" s="84" customFormat="1" x14ac:dyDescent="0.25">
      <c r="A337">
        <v>335</v>
      </c>
      <c r="B337" s="85" t="s">
        <v>399</v>
      </c>
      <c r="C337" s="85" t="s">
        <v>30</v>
      </c>
      <c r="D337" s="85" t="s">
        <v>356</v>
      </c>
      <c r="E337" s="88">
        <v>4</v>
      </c>
      <c r="F337" s="85" t="s">
        <v>33</v>
      </c>
      <c r="G337" s="85"/>
      <c r="H337" s="85"/>
      <c r="I337" s="85"/>
      <c r="J337" s="91"/>
      <c r="K337" s="91"/>
      <c r="L337" s="91"/>
      <c r="M337" s="87"/>
      <c r="N337" s="106"/>
    </row>
    <row r="338" spans="1:14" s="84" customFormat="1" x14ac:dyDescent="0.25">
      <c r="A338">
        <v>336</v>
      </c>
      <c r="B338" s="85" t="s">
        <v>400</v>
      </c>
      <c r="C338" s="85" t="s">
        <v>30</v>
      </c>
      <c r="D338" s="85" t="s">
        <v>356</v>
      </c>
      <c r="E338" s="88">
        <v>2</v>
      </c>
      <c r="F338" s="85" t="s">
        <v>33</v>
      </c>
      <c r="G338" s="85"/>
      <c r="H338" s="85"/>
      <c r="I338" s="85"/>
      <c r="J338" s="91"/>
      <c r="K338" s="91"/>
      <c r="L338" s="91"/>
      <c r="M338" s="87"/>
      <c r="N338" s="106"/>
    </row>
    <row r="339" spans="1:14" s="84" customFormat="1" x14ac:dyDescent="0.25">
      <c r="A339">
        <v>337</v>
      </c>
      <c r="B339" s="85" t="s">
        <v>401</v>
      </c>
      <c r="C339" s="85" t="s">
        <v>30</v>
      </c>
      <c r="D339" s="85" t="s">
        <v>356</v>
      </c>
      <c r="E339" s="107">
        <v>25</v>
      </c>
      <c r="F339" s="85" t="s">
        <v>33</v>
      </c>
      <c r="G339" s="85"/>
      <c r="H339" s="85"/>
      <c r="I339" s="85"/>
      <c r="J339" s="91"/>
      <c r="K339" s="91"/>
      <c r="L339" s="91"/>
      <c r="M339" s="87"/>
      <c r="N339" s="106" t="s">
        <v>402</v>
      </c>
    </row>
    <row r="340" spans="1:14" s="84" customFormat="1" x14ac:dyDescent="0.25">
      <c r="A340">
        <v>338</v>
      </c>
      <c r="B340" s="85" t="s">
        <v>403</v>
      </c>
      <c r="C340" s="85" t="s">
        <v>30</v>
      </c>
      <c r="D340" s="85" t="s">
        <v>356</v>
      </c>
      <c r="E340" s="112">
        <v>25</v>
      </c>
      <c r="F340" s="85" t="s">
        <v>33</v>
      </c>
      <c r="G340" s="85"/>
      <c r="H340" s="85"/>
      <c r="I340" s="85"/>
      <c r="J340" s="91"/>
      <c r="K340" s="91"/>
      <c r="L340" s="91"/>
      <c r="M340" s="87">
        <v>39875</v>
      </c>
      <c r="N340" s="106" t="s">
        <v>404</v>
      </c>
    </row>
    <row r="341" spans="1:14" s="84" customFormat="1" x14ac:dyDescent="0.25">
      <c r="A341">
        <v>339</v>
      </c>
      <c r="B341" s="85" t="s">
        <v>405</v>
      </c>
      <c r="C341" s="85" t="s">
        <v>30</v>
      </c>
      <c r="D341" s="85" t="s">
        <v>356</v>
      </c>
      <c r="E341" s="107">
        <v>7.5</v>
      </c>
      <c r="F341" s="85" t="s">
        <v>33</v>
      </c>
      <c r="G341" s="85"/>
      <c r="H341" s="85"/>
      <c r="I341" s="85"/>
      <c r="J341" s="91"/>
      <c r="K341" s="91"/>
      <c r="L341" s="91"/>
      <c r="M341" s="87"/>
      <c r="N341" s="106"/>
    </row>
    <row r="342" spans="1:14" s="84" customFormat="1" x14ac:dyDescent="0.25">
      <c r="A342">
        <v>340</v>
      </c>
      <c r="B342" s="85" t="s">
        <v>1557</v>
      </c>
      <c r="C342" s="85" t="s">
        <v>30</v>
      </c>
      <c r="D342" s="85" t="s">
        <v>356</v>
      </c>
      <c r="E342" s="107">
        <v>2.5</v>
      </c>
      <c r="F342" s="85" t="s">
        <v>33</v>
      </c>
      <c r="G342" s="85"/>
      <c r="H342" s="85"/>
      <c r="I342" s="85"/>
      <c r="J342" s="91"/>
      <c r="K342" s="91"/>
      <c r="L342" s="91"/>
      <c r="M342" s="87">
        <v>40706</v>
      </c>
      <c r="N342" s="106" t="s">
        <v>1556</v>
      </c>
    </row>
    <row r="343" spans="1:14" s="84" customFormat="1" x14ac:dyDescent="0.25">
      <c r="A343">
        <v>341</v>
      </c>
      <c r="B343" s="85" t="s">
        <v>406</v>
      </c>
      <c r="C343" s="85" t="s">
        <v>30</v>
      </c>
      <c r="D343" s="85" t="s">
        <v>356</v>
      </c>
      <c r="E343" s="110">
        <v>3</v>
      </c>
      <c r="F343" s="85" t="s">
        <v>33</v>
      </c>
      <c r="G343" s="85"/>
      <c r="H343" s="85"/>
      <c r="I343" s="85"/>
      <c r="J343" s="91"/>
      <c r="K343" s="91"/>
      <c r="L343" s="91"/>
      <c r="M343" s="87"/>
      <c r="N343" s="106"/>
    </row>
    <row r="344" spans="1:14" s="84" customFormat="1" x14ac:dyDescent="0.25">
      <c r="A344">
        <v>342</v>
      </c>
      <c r="B344" s="85" t="s">
        <v>407</v>
      </c>
      <c r="C344" s="85" t="s">
        <v>30</v>
      </c>
      <c r="D344" s="85" t="s">
        <v>356</v>
      </c>
      <c r="E344" s="110">
        <v>1</v>
      </c>
      <c r="F344" s="85" t="s">
        <v>33</v>
      </c>
      <c r="G344" s="85"/>
      <c r="H344" s="85"/>
      <c r="I344" s="85"/>
      <c r="J344" s="91"/>
      <c r="K344" s="91"/>
      <c r="L344" s="91"/>
      <c r="M344" s="87"/>
      <c r="N344" s="106"/>
    </row>
    <row r="345" spans="1:14" s="84" customFormat="1" x14ac:dyDescent="0.25">
      <c r="A345">
        <v>343</v>
      </c>
      <c r="B345" s="85" t="s">
        <v>408</v>
      </c>
      <c r="C345" s="85" t="s">
        <v>30</v>
      </c>
      <c r="D345" s="85" t="s">
        <v>356</v>
      </c>
      <c r="E345" s="110">
        <v>3</v>
      </c>
      <c r="F345" s="85"/>
      <c r="G345" s="85"/>
      <c r="H345" s="85"/>
      <c r="I345" s="85"/>
      <c r="J345" s="91"/>
      <c r="K345" s="91"/>
      <c r="L345" s="91"/>
      <c r="M345" s="87"/>
      <c r="N345" s="106"/>
    </row>
    <row r="346" spans="1:14" s="84" customFormat="1" x14ac:dyDescent="0.25">
      <c r="A346">
        <v>344</v>
      </c>
      <c r="B346" s="85" t="s">
        <v>409</v>
      </c>
      <c r="C346" s="85" t="s">
        <v>30</v>
      </c>
      <c r="D346" s="85" t="s">
        <v>356</v>
      </c>
      <c r="E346" s="110">
        <v>1</v>
      </c>
      <c r="F346" s="85" t="s">
        <v>33</v>
      </c>
      <c r="G346" s="85"/>
      <c r="H346" s="85"/>
      <c r="I346" s="85"/>
      <c r="J346" s="91"/>
      <c r="K346" s="91"/>
      <c r="L346" s="91"/>
      <c r="M346" s="87"/>
      <c r="N346" s="106"/>
    </row>
    <row r="347" spans="1:14" s="84" customFormat="1" x14ac:dyDescent="0.25">
      <c r="A347">
        <v>345</v>
      </c>
      <c r="B347" s="85" t="s">
        <v>410</v>
      </c>
      <c r="C347" s="85" t="s">
        <v>30</v>
      </c>
      <c r="D347" s="85" t="s">
        <v>356</v>
      </c>
      <c r="E347" s="88">
        <v>0.25</v>
      </c>
      <c r="F347" s="85" t="s">
        <v>361</v>
      </c>
      <c r="G347" s="85"/>
      <c r="H347" s="85"/>
      <c r="I347" s="85"/>
      <c r="J347" s="91"/>
      <c r="K347" s="91"/>
      <c r="L347" s="91"/>
      <c r="M347" s="87"/>
      <c r="N347" s="106"/>
    </row>
    <row r="348" spans="1:14" s="84" customFormat="1" x14ac:dyDescent="0.25">
      <c r="A348">
        <v>346</v>
      </c>
      <c r="B348" s="85" t="s">
        <v>1330</v>
      </c>
      <c r="C348" s="85" t="s">
        <v>30</v>
      </c>
      <c r="D348" s="85" t="s">
        <v>356</v>
      </c>
      <c r="E348" s="110">
        <v>1</v>
      </c>
      <c r="F348" s="85" t="s">
        <v>296</v>
      </c>
      <c r="G348" s="85"/>
      <c r="H348" s="85"/>
      <c r="I348" s="85"/>
      <c r="J348" s="91"/>
      <c r="K348" s="91"/>
      <c r="L348" s="91"/>
      <c r="M348" s="87">
        <v>40286</v>
      </c>
      <c r="N348" s="106"/>
    </row>
    <row r="349" spans="1:14" s="84" customFormat="1" x14ac:dyDescent="0.25">
      <c r="A349">
        <v>347</v>
      </c>
      <c r="B349" s="85" t="s">
        <v>411</v>
      </c>
      <c r="C349" s="85" t="s">
        <v>30</v>
      </c>
      <c r="D349" s="85" t="s">
        <v>356</v>
      </c>
      <c r="E349" s="110">
        <v>0.5</v>
      </c>
      <c r="F349" s="85" t="s">
        <v>296</v>
      </c>
      <c r="G349" s="85"/>
      <c r="H349" s="85"/>
      <c r="I349" s="85"/>
      <c r="J349" s="91"/>
      <c r="K349" s="91"/>
      <c r="L349" s="91"/>
      <c r="M349" s="87"/>
      <c r="N349" s="106"/>
    </row>
    <row r="350" spans="1:14" s="84" customFormat="1" x14ac:dyDescent="0.25">
      <c r="A350">
        <v>348</v>
      </c>
      <c r="B350" s="85" t="s">
        <v>412</v>
      </c>
      <c r="C350" s="85" t="s">
        <v>30</v>
      </c>
      <c r="D350" s="85" t="s">
        <v>356</v>
      </c>
      <c r="E350" s="88">
        <v>1</v>
      </c>
      <c r="F350" s="85" t="s">
        <v>296</v>
      </c>
      <c r="G350" s="85"/>
      <c r="H350" s="85"/>
      <c r="I350" s="85"/>
      <c r="J350" s="91"/>
      <c r="K350" s="91"/>
      <c r="L350" s="91"/>
      <c r="M350" s="87"/>
      <c r="N350" s="106"/>
    </row>
    <row r="351" spans="1:14" s="84" customFormat="1" x14ac:dyDescent="0.25">
      <c r="A351">
        <v>349</v>
      </c>
      <c r="B351" s="85" t="s">
        <v>413</v>
      </c>
      <c r="C351" s="85" t="s">
        <v>30</v>
      </c>
      <c r="D351" s="85" t="s">
        <v>356</v>
      </c>
      <c r="E351" s="88">
        <v>3</v>
      </c>
      <c r="F351" s="85" t="s">
        <v>296</v>
      </c>
      <c r="G351" s="85"/>
      <c r="H351" s="85"/>
      <c r="I351" s="85"/>
      <c r="J351" s="91"/>
      <c r="K351" s="91"/>
      <c r="L351" s="91"/>
      <c r="M351" s="87"/>
      <c r="N351" s="106"/>
    </row>
    <row r="352" spans="1:14" s="84" customFormat="1" x14ac:dyDescent="0.25">
      <c r="A352">
        <v>350</v>
      </c>
      <c r="B352" s="85" t="s">
        <v>414</v>
      </c>
      <c r="C352" s="85" t="s">
        <v>30</v>
      </c>
      <c r="D352" s="85" t="s">
        <v>356</v>
      </c>
      <c r="E352" s="88">
        <v>1</v>
      </c>
      <c r="F352" s="85" t="s">
        <v>296</v>
      </c>
      <c r="G352" s="85"/>
      <c r="H352" s="85"/>
      <c r="I352" s="85"/>
      <c r="J352" s="91"/>
      <c r="K352" s="91"/>
      <c r="L352" s="91"/>
      <c r="M352" s="87"/>
      <c r="N352" s="106"/>
    </row>
    <row r="353" spans="1:15" s="84" customFormat="1" ht="30" x14ac:dyDescent="0.25">
      <c r="A353">
        <v>351</v>
      </c>
      <c r="B353" s="85" t="s">
        <v>1331</v>
      </c>
      <c r="C353" s="85" t="s">
        <v>1332</v>
      </c>
      <c r="D353" s="85" t="s">
        <v>8</v>
      </c>
      <c r="E353" s="115" t="s">
        <v>1333</v>
      </c>
      <c r="F353" s="85" t="s">
        <v>1334</v>
      </c>
      <c r="G353" s="85"/>
      <c r="H353" s="85">
        <v>14.3</v>
      </c>
      <c r="I353" s="85">
        <v>82</v>
      </c>
      <c r="J353" s="91"/>
      <c r="K353" s="91"/>
      <c r="L353" s="91"/>
      <c r="M353" s="87">
        <v>40321</v>
      </c>
      <c r="N353" s="106" t="s">
        <v>1335</v>
      </c>
    </row>
    <row r="354" spans="1:15" s="84" customFormat="1" x14ac:dyDescent="0.25">
      <c r="A354">
        <v>352</v>
      </c>
      <c r="B354" s="85" t="s">
        <v>9</v>
      </c>
      <c r="C354" s="85" t="s">
        <v>30</v>
      </c>
      <c r="D354" s="85" t="s">
        <v>8</v>
      </c>
      <c r="E354" s="108">
        <v>0.15</v>
      </c>
      <c r="F354" s="85" t="s">
        <v>375</v>
      </c>
      <c r="G354" s="85"/>
      <c r="H354" s="85"/>
      <c r="I354" s="85"/>
      <c r="J354" s="91"/>
      <c r="K354" s="91"/>
      <c r="L354" s="91"/>
      <c r="M354" s="87">
        <v>39889</v>
      </c>
      <c r="N354" s="98" t="s">
        <v>415</v>
      </c>
    </row>
    <row r="355" spans="1:15" s="84" customFormat="1" x14ac:dyDescent="0.25">
      <c r="A355">
        <v>353</v>
      </c>
      <c r="B355" s="85" t="s">
        <v>1336</v>
      </c>
      <c r="C355" s="85" t="s">
        <v>1337</v>
      </c>
      <c r="D355" s="85" t="s">
        <v>8</v>
      </c>
      <c r="E355" s="108">
        <v>14</v>
      </c>
      <c r="F355" s="85" t="s">
        <v>33</v>
      </c>
      <c r="G355" s="85"/>
      <c r="H355" s="85"/>
      <c r="I355" s="85"/>
      <c r="J355" s="91"/>
      <c r="K355" s="91"/>
      <c r="L355" s="91"/>
      <c r="M355" s="87">
        <v>40286</v>
      </c>
      <c r="N355" s="98"/>
    </row>
    <row r="356" spans="1:15" s="84" customFormat="1" x14ac:dyDescent="0.25">
      <c r="A356">
        <v>354</v>
      </c>
      <c r="B356" s="85" t="s">
        <v>416</v>
      </c>
      <c r="C356" s="85" t="s">
        <v>30</v>
      </c>
      <c r="D356" s="85" t="s">
        <v>8</v>
      </c>
      <c r="E356" s="108">
        <v>50</v>
      </c>
      <c r="F356" s="85" t="s">
        <v>33</v>
      </c>
      <c r="G356" s="85"/>
      <c r="H356" s="85"/>
      <c r="I356" s="85"/>
      <c r="J356" s="91"/>
      <c r="K356" s="91"/>
      <c r="L356" s="91"/>
      <c r="M356" s="87"/>
      <c r="N356" s="106"/>
    </row>
    <row r="357" spans="1:15" s="84" customFormat="1" x14ac:dyDescent="0.25">
      <c r="A357">
        <v>355</v>
      </c>
      <c r="B357" s="85" t="s">
        <v>417</v>
      </c>
      <c r="C357" s="85" t="s">
        <v>30</v>
      </c>
      <c r="D357" s="85" t="s">
        <v>8</v>
      </c>
      <c r="E357" s="88">
        <v>20</v>
      </c>
      <c r="F357" s="85"/>
      <c r="G357" s="85"/>
      <c r="H357" s="85"/>
      <c r="I357" s="85"/>
      <c r="J357" s="91"/>
      <c r="K357" s="91"/>
      <c r="L357" s="91"/>
      <c r="M357" s="87"/>
      <c r="N357" s="106"/>
    </row>
    <row r="358" spans="1:15" s="84" customFormat="1" x14ac:dyDescent="0.25">
      <c r="A358">
        <v>356</v>
      </c>
      <c r="B358" s="85" t="s">
        <v>418</v>
      </c>
      <c r="C358" s="85" t="s">
        <v>30</v>
      </c>
      <c r="D358" s="85" t="s">
        <v>8</v>
      </c>
      <c r="E358" s="104">
        <v>6.5</v>
      </c>
      <c r="F358" s="85" t="s">
        <v>33</v>
      </c>
      <c r="G358" s="85"/>
      <c r="H358" s="85"/>
      <c r="I358" s="85"/>
      <c r="J358" s="91"/>
      <c r="K358" s="91"/>
      <c r="L358" s="91"/>
      <c r="M358" s="87"/>
      <c r="N358" s="106"/>
    </row>
    <row r="359" spans="1:15" s="84" customFormat="1" x14ac:dyDescent="0.25">
      <c r="A359">
        <v>357</v>
      </c>
      <c r="B359" s="85" t="s">
        <v>419</v>
      </c>
      <c r="C359" s="85" t="s">
        <v>420</v>
      </c>
      <c r="D359" s="85" t="s">
        <v>8</v>
      </c>
      <c r="E359" s="86">
        <v>726</v>
      </c>
      <c r="F359" s="85" t="s">
        <v>33</v>
      </c>
      <c r="G359" s="85"/>
      <c r="H359" s="85"/>
      <c r="I359" s="85"/>
      <c r="J359" s="91"/>
      <c r="K359" s="91"/>
      <c r="L359" s="91"/>
      <c r="M359" s="87">
        <v>39898</v>
      </c>
      <c r="N359" s="106"/>
    </row>
    <row r="360" spans="1:15" s="84" customFormat="1" x14ac:dyDescent="0.25">
      <c r="A360">
        <v>358</v>
      </c>
      <c r="B360" s="85" t="s">
        <v>421</v>
      </c>
      <c r="C360" s="85" t="s">
        <v>420</v>
      </c>
      <c r="D360" s="85" t="s">
        <v>8</v>
      </c>
      <c r="E360" s="116">
        <v>726</v>
      </c>
      <c r="F360" s="85"/>
      <c r="G360" s="85"/>
      <c r="H360" s="85"/>
      <c r="I360" s="85"/>
      <c r="J360" s="91"/>
      <c r="K360" s="91"/>
      <c r="L360" s="91"/>
      <c r="M360" s="87">
        <v>39898</v>
      </c>
      <c r="N360" s="106"/>
    </row>
    <row r="361" spans="1:15" s="84" customFormat="1" x14ac:dyDescent="0.25">
      <c r="A361">
        <v>359</v>
      </c>
      <c r="B361" s="85" t="s">
        <v>422</v>
      </c>
      <c r="C361" s="85" t="s">
        <v>420</v>
      </c>
      <c r="D361" s="85" t="s">
        <v>8</v>
      </c>
      <c r="E361" s="116">
        <v>726</v>
      </c>
      <c r="F361" s="85"/>
      <c r="G361" s="85"/>
      <c r="H361" s="85"/>
      <c r="I361" s="85"/>
      <c r="J361" s="91"/>
      <c r="K361" s="91"/>
      <c r="L361" s="91"/>
      <c r="M361" s="87">
        <v>39898</v>
      </c>
      <c r="N361" s="106"/>
    </row>
    <row r="362" spans="1:15" s="84" customFormat="1" x14ac:dyDescent="0.25">
      <c r="A362">
        <v>360</v>
      </c>
      <c r="B362" s="85" t="s">
        <v>423</v>
      </c>
      <c r="C362" s="85" t="s">
        <v>420</v>
      </c>
      <c r="D362" s="85" t="s">
        <v>8</v>
      </c>
      <c r="E362" s="116">
        <v>264</v>
      </c>
      <c r="F362" s="85"/>
      <c r="G362" s="85"/>
      <c r="H362" s="85"/>
      <c r="I362" s="85"/>
      <c r="J362" s="91"/>
      <c r="K362" s="91"/>
      <c r="L362" s="91"/>
      <c r="M362" s="87">
        <v>39898</v>
      </c>
      <c r="N362" s="106"/>
    </row>
    <row r="363" spans="1:15" s="84" customFormat="1" x14ac:dyDescent="0.25">
      <c r="A363">
        <v>361</v>
      </c>
      <c r="B363" s="85" t="s">
        <v>424</v>
      </c>
      <c r="C363" s="85" t="s">
        <v>420</v>
      </c>
      <c r="D363" s="85" t="s">
        <v>8</v>
      </c>
      <c r="E363" s="116">
        <v>429</v>
      </c>
      <c r="F363" s="85"/>
      <c r="G363" s="85"/>
      <c r="H363" s="85"/>
      <c r="I363" s="85"/>
      <c r="J363" s="91"/>
      <c r="K363" s="91"/>
      <c r="L363" s="91"/>
      <c r="M363" s="87">
        <v>39898</v>
      </c>
      <c r="N363" s="106"/>
    </row>
    <row r="364" spans="1:15" s="84" customFormat="1" x14ac:dyDescent="0.25">
      <c r="A364">
        <v>362</v>
      </c>
      <c r="B364" s="85" t="s">
        <v>425</v>
      </c>
      <c r="C364" s="85" t="s">
        <v>420</v>
      </c>
      <c r="D364" s="85" t="s">
        <v>8</v>
      </c>
      <c r="E364" s="116">
        <v>429</v>
      </c>
      <c r="F364" s="85"/>
      <c r="G364" s="85"/>
      <c r="H364" s="85"/>
      <c r="I364" s="85"/>
      <c r="J364" s="91"/>
      <c r="K364" s="91"/>
      <c r="L364" s="91"/>
      <c r="M364" s="87">
        <v>39898</v>
      </c>
      <c r="N364" s="106"/>
    </row>
    <row r="365" spans="1:15" s="84" customFormat="1" x14ac:dyDescent="0.25">
      <c r="A365">
        <v>363</v>
      </c>
      <c r="B365" s="85" t="s">
        <v>426</v>
      </c>
      <c r="C365" s="85" t="s">
        <v>420</v>
      </c>
      <c r="D365" s="85" t="s">
        <v>8</v>
      </c>
      <c r="E365" s="116">
        <v>726</v>
      </c>
      <c r="F365" s="85"/>
      <c r="G365" s="85"/>
      <c r="H365" s="85"/>
      <c r="I365" s="85"/>
      <c r="J365" s="91"/>
      <c r="K365" s="91"/>
      <c r="L365" s="91"/>
      <c r="M365" s="87">
        <v>39898</v>
      </c>
      <c r="N365" s="106"/>
    </row>
    <row r="366" spans="1:15" s="84" customFormat="1" x14ac:dyDescent="0.25">
      <c r="A366">
        <v>364</v>
      </c>
      <c r="B366" s="85" t="s">
        <v>427</v>
      </c>
      <c r="C366" s="85" t="s">
        <v>428</v>
      </c>
      <c r="D366" s="85" t="s">
        <v>8</v>
      </c>
      <c r="E366" s="86">
        <v>315</v>
      </c>
      <c r="F366" s="85" t="s">
        <v>33</v>
      </c>
      <c r="G366" s="85"/>
      <c r="H366" s="85"/>
      <c r="I366" s="85"/>
      <c r="J366" s="91"/>
      <c r="K366" s="91"/>
      <c r="L366" s="91"/>
      <c r="M366" s="87">
        <v>39898</v>
      </c>
      <c r="N366" s="106" t="s">
        <v>429</v>
      </c>
    </row>
    <row r="367" spans="1:15" s="84" customFormat="1" x14ac:dyDescent="0.25">
      <c r="A367">
        <v>365</v>
      </c>
      <c r="B367" s="85" t="s">
        <v>430</v>
      </c>
      <c r="C367" s="85" t="s">
        <v>428</v>
      </c>
      <c r="D367" s="85" t="s">
        <v>8</v>
      </c>
      <c r="E367" s="86">
        <v>380</v>
      </c>
      <c r="F367" s="85" t="s">
        <v>33</v>
      </c>
      <c r="G367" s="85"/>
      <c r="H367" s="85"/>
      <c r="I367" s="85"/>
      <c r="J367" s="91"/>
      <c r="K367" s="91"/>
      <c r="L367" s="91"/>
      <c r="M367" s="87">
        <v>39898</v>
      </c>
      <c r="N367" s="106" t="s">
        <v>431</v>
      </c>
    </row>
    <row r="368" spans="1:15" s="84" customFormat="1" x14ac:dyDescent="0.25">
      <c r="A368">
        <v>366</v>
      </c>
      <c r="B368" s="85" t="s">
        <v>432</v>
      </c>
      <c r="C368" s="85" t="s">
        <v>428</v>
      </c>
      <c r="D368" s="85" t="s">
        <v>8</v>
      </c>
      <c r="E368" s="86">
        <v>215</v>
      </c>
      <c r="F368" s="85" t="s">
        <v>33</v>
      </c>
      <c r="G368" s="85"/>
      <c r="H368" s="85"/>
      <c r="I368" s="85"/>
      <c r="J368" s="91"/>
      <c r="K368" s="91"/>
      <c r="L368" s="91"/>
      <c r="M368" s="87">
        <v>39898</v>
      </c>
      <c r="N368" s="106" t="s">
        <v>433</v>
      </c>
      <c r="O368" s="117"/>
    </row>
    <row r="369" spans="1:15" s="84" customFormat="1" x14ac:dyDescent="0.25">
      <c r="A369">
        <v>367</v>
      </c>
      <c r="B369" s="85" t="s">
        <v>434</v>
      </c>
      <c r="C369" s="85" t="s">
        <v>64</v>
      </c>
      <c r="D369" s="85" t="s">
        <v>8</v>
      </c>
      <c r="E369" s="86">
        <v>0</v>
      </c>
      <c r="F369" s="85" t="s">
        <v>33</v>
      </c>
      <c r="G369" s="85"/>
      <c r="H369" s="85"/>
      <c r="I369" s="85"/>
      <c r="J369" s="91"/>
      <c r="K369" s="91"/>
      <c r="L369" s="91"/>
      <c r="M369" s="87">
        <v>39866</v>
      </c>
      <c r="N369" s="106"/>
      <c r="O369" s="117"/>
    </row>
    <row r="370" spans="1:15" s="84" customFormat="1" x14ac:dyDescent="0.25">
      <c r="A370">
        <v>368</v>
      </c>
      <c r="B370" s="85" t="s">
        <v>435</v>
      </c>
      <c r="C370" s="85" t="s">
        <v>30</v>
      </c>
      <c r="D370" s="85" t="s">
        <v>8</v>
      </c>
      <c r="E370" s="118">
        <v>2</v>
      </c>
      <c r="F370" s="85" t="s">
        <v>436</v>
      </c>
      <c r="G370" s="85"/>
      <c r="H370" s="85"/>
      <c r="I370" s="85"/>
      <c r="J370" s="91"/>
      <c r="K370" s="91"/>
      <c r="L370" s="91"/>
      <c r="M370" s="87">
        <v>39898</v>
      </c>
      <c r="N370" s="106" t="s">
        <v>1555</v>
      </c>
      <c r="O370" s="117"/>
    </row>
    <row r="371" spans="1:15" s="84" customFormat="1" x14ac:dyDescent="0.25">
      <c r="A371">
        <v>369</v>
      </c>
      <c r="B371" s="85" t="s">
        <v>437</v>
      </c>
      <c r="C371" s="85" t="s">
        <v>30</v>
      </c>
      <c r="D371" s="85" t="s">
        <v>8</v>
      </c>
      <c r="E371" s="118">
        <v>1.2</v>
      </c>
      <c r="F371" s="85" t="s">
        <v>436</v>
      </c>
      <c r="G371" s="85"/>
      <c r="H371" s="85"/>
      <c r="I371" s="85"/>
      <c r="J371" s="91"/>
      <c r="K371" s="91"/>
      <c r="L371" s="91"/>
      <c r="M371" s="87">
        <v>39898</v>
      </c>
      <c r="N371" s="106" t="s">
        <v>1554</v>
      </c>
    </row>
    <row r="372" spans="1:15" s="84" customFormat="1" x14ac:dyDescent="0.25">
      <c r="A372">
        <v>370</v>
      </c>
      <c r="B372" s="85" t="s">
        <v>438</v>
      </c>
      <c r="C372" s="85" t="s">
        <v>30</v>
      </c>
      <c r="D372" s="85" t="s">
        <v>8</v>
      </c>
      <c r="E372" s="118">
        <v>2.5</v>
      </c>
      <c r="F372" s="85" t="s">
        <v>436</v>
      </c>
      <c r="G372" s="85"/>
      <c r="H372" s="85"/>
      <c r="I372" s="85"/>
      <c r="J372" s="91"/>
      <c r="K372" s="91"/>
      <c r="L372" s="91"/>
      <c r="M372" s="87">
        <v>39898</v>
      </c>
      <c r="N372" s="106" t="s">
        <v>1553</v>
      </c>
    </row>
    <row r="373" spans="1:15" s="84" customFormat="1" x14ac:dyDescent="0.25">
      <c r="A373">
        <v>371</v>
      </c>
      <c r="B373" s="85" t="s">
        <v>1338</v>
      </c>
      <c r="C373" s="85" t="s">
        <v>30</v>
      </c>
      <c r="D373" s="92" t="s">
        <v>8</v>
      </c>
      <c r="E373" s="86">
        <v>0</v>
      </c>
      <c r="F373" s="85" t="s">
        <v>33</v>
      </c>
      <c r="G373" s="85"/>
      <c r="H373" s="85"/>
      <c r="I373" s="85"/>
      <c r="J373" s="91"/>
      <c r="K373" s="91"/>
      <c r="L373" s="91"/>
      <c r="M373" s="87">
        <v>40263</v>
      </c>
      <c r="N373" s="106" t="s">
        <v>157</v>
      </c>
    </row>
    <row r="374" spans="1:15" s="84" customFormat="1" x14ac:dyDescent="0.25">
      <c r="A374">
        <v>372</v>
      </c>
      <c r="B374" s="85" t="s">
        <v>1339</v>
      </c>
      <c r="C374" s="85" t="s">
        <v>30</v>
      </c>
      <c r="D374" s="92" t="s">
        <v>8</v>
      </c>
      <c r="E374" s="115" t="s">
        <v>1340</v>
      </c>
      <c r="F374" s="85"/>
      <c r="G374" s="85"/>
      <c r="H374" s="85">
        <v>1E-3</v>
      </c>
      <c r="I374" s="85">
        <v>0</v>
      </c>
      <c r="J374" s="91"/>
      <c r="K374" s="91"/>
      <c r="L374" s="91"/>
      <c r="M374" s="87">
        <v>40302</v>
      </c>
      <c r="N374" s="106" t="s">
        <v>1341</v>
      </c>
    </row>
    <row r="375" spans="1:15" s="84" customFormat="1" x14ac:dyDescent="0.25">
      <c r="A375">
        <v>373</v>
      </c>
      <c r="B375" s="85" t="s">
        <v>439</v>
      </c>
      <c r="C375" s="85" t="s">
        <v>30</v>
      </c>
      <c r="D375" s="85" t="s">
        <v>8</v>
      </c>
      <c r="E375" s="104">
        <v>8</v>
      </c>
      <c r="F375" s="85" t="s">
        <v>33</v>
      </c>
      <c r="G375" s="85"/>
      <c r="H375" s="85"/>
      <c r="I375" s="85"/>
      <c r="J375" s="91"/>
      <c r="K375" s="91"/>
      <c r="L375" s="91"/>
      <c r="M375" s="87"/>
      <c r="N375" s="106"/>
    </row>
    <row r="376" spans="1:15" s="84" customFormat="1" x14ac:dyDescent="0.25">
      <c r="A376">
        <v>374</v>
      </c>
      <c r="B376" s="85" t="s">
        <v>10</v>
      </c>
      <c r="C376" s="85" t="s">
        <v>30</v>
      </c>
      <c r="D376" s="85" t="s">
        <v>8</v>
      </c>
      <c r="E376" s="104">
        <v>8</v>
      </c>
      <c r="F376" s="85" t="s">
        <v>33</v>
      </c>
      <c r="G376" s="85"/>
      <c r="H376" s="85"/>
      <c r="I376" s="85"/>
      <c r="J376" s="91"/>
      <c r="K376" s="91"/>
      <c r="L376" s="91"/>
      <c r="M376" s="87"/>
      <c r="N376" s="106"/>
    </row>
    <row r="377" spans="1:15" s="84" customFormat="1" x14ac:dyDescent="0.25">
      <c r="A377">
        <v>375</v>
      </c>
      <c r="B377" s="85" t="s">
        <v>1342</v>
      </c>
      <c r="C377" s="85" t="s">
        <v>30</v>
      </c>
      <c r="D377" s="85" t="s">
        <v>8</v>
      </c>
      <c r="E377" s="104">
        <v>30</v>
      </c>
      <c r="F377" s="85" t="s">
        <v>33</v>
      </c>
      <c r="G377" s="85"/>
      <c r="H377" s="85"/>
      <c r="I377" s="85"/>
      <c r="J377" s="91"/>
      <c r="K377" s="91"/>
      <c r="L377" s="91"/>
      <c r="M377" s="87">
        <v>40325</v>
      </c>
      <c r="N377" s="106" t="s">
        <v>1343</v>
      </c>
    </row>
    <row r="378" spans="1:15" s="84" customFormat="1" x14ac:dyDescent="0.25">
      <c r="A378">
        <v>376</v>
      </c>
      <c r="B378" s="85" t="s">
        <v>440</v>
      </c>
      <c r="C378" s="85" t="s">
        <v>30</v>
      </c>
      <c r="D378" s="85" t="s">
        <v>8</v>
      </c>
      <c r="E378" s="104">
        <v>13</v>
      </c>
      <c r="F378" s="85" t="s">
        <v>33</v>
      </c>
      <c r="G378" s="85"/>
      <c r="H378" s="85"/>
      <c r="I378" s="85"/>
      <c r="J378" s="91"/>
      <c r="K378" s="91"/>
      <c r="L378" s="91"/>
      <c r="M378" s="87"/>
      <c r="N378" s="106"/>
    </row>
    <row r="379" spans="1:15" s="84" customFormat="1" x14ac:dyDescent="0.25">
      <c r="A379">
        <v>377</v>
      </c>
      <c r="B379" s="85" t="s">
        <v>441</v>
      </c>
      <c r="C379" s="85" t="s">
        <v>30</v>
      </c>
      <c r="D379" s="85" t="s">
        <v>8</v>
      </c>
      <c r="E379" s="104">
        <v>10</v>
      </c>
      <c r="F379" s="85" t="s">
        <v>33</v>
      </c>
      <c r="G379" s="85"/>
      <c r="H379" s="85"/>
      <c r="I379" s="85"/>
      <c r="J379" s="91"/>
      <c r="K379" s="91"/>
      <c r="L379" s="91"/>
      <c r="M379" s="87"/>
      <c r="N379" s="106"/>
    </row>
    <row r="380" spans="1:15" s="84" customFormat="1" x14ac:dyDescent="0.25">
      <c r="A380">
        <v>378</v>
      </c>
      <c r="B380" s="85" t="s">
        <v>442</v>
      </c>
      <c r="C380" s="85" t="s">
        <v>30</v>
      </c>
      <c r="D380" s="85" t="s">
        <v>8</v>
      </c>
      <c r="E380" s="104">
        <v>19.5</v>
      </c>
      <c r="F380" s="85" t="s">
        <v>33</v>
      </c>
      <c r="G380" s="85"/>
      <c r="H380" s="85"/>
      <c r="I380" s="85">
        <v>355</v>
      </c>
      <c r="J380" s="91"/>
      <c r="K380" s="91"/>
      <c r="L380" s="91"/>
      <c r="M380" s="87"/>
      <c r="N380" s="106"/>
    </row>
    <row r="381" spans="1:15" s="84" customFormat="1" x14ac:dyDescent="0.25">
      <c r="A381">
        <v>379</v>
      </c>
      <c r="B381" s="85" t="s">
        <v>443</v>
      </c>
      <c r="C381" s="85" t="s">
        <v>30</v>
      </c>
      <c r="D381" s="85" t="s">
        <v>8</v>
      </c>
      <c r="E381" s="104">
        <v>15</v>
      </c>
      <c r="F381" s="85" t="s">
        <v>33</v>
      </c>
      <c r="G381" s="85"/>
      <c r="H381" s="85"/>
      <c r="I381" s="85">
        <v>470</v>
      </c>
      <c r="J381" s="91"/>
      <c r="K381" s="91"/>
      <c r="L381" s="91"/>
      <c r="M381" s="87"/>
      <c r="N381" s="106"/>
    </row>
    <row r="382" spans="1:15" s="84" customFormat="1" x14ac:dyDescent="0.25">
      <c r="A382">
        <v>380</v>
      </c>
      <c r="B382" s="85" t="s">
        <v>444</v>
      </c>
      <c r="C382" s="85" t="s">
        <v>30</v>
      </c>
      <c r="D382" s="85" t="s">
        <v>8</v>
      </c>
      <c r="E382" s="104">
        <v>20</v>
      </c>
      <c r="F382" s="85" t="s">
        <v>33</v>
      </c>
      <c r="G382" s="85"/>
      <c r="H382" s="85"/>
      <c r="I382" s="85"/>
      <c r="J382" s="91"/>
      <c r="K382" s="91"/>
      <c r="L382" s="91"/>
      <c r="M382" s="87"/>
      <c r="N382" s="106"/>
    </row>
    <row r="383" spans="1:15" s="84" customFormat="1" x14ac:dyDescent="0.25">
      <c r="A383">
        <v>381</v>
      </c>
      <c r="B383" s="85" t="s">
        <v>1344</v>
      </c>
      <c r="C383" s="85" t="s">
        <v>30</v>
      </c>
      <c r="D383" s="85" t="s">
        <v>8</v>
      </c>
      <c r="E383" s="104">
        <v>120</v>
      </c>
      <c r="F383" s="85" t="s">
        <v>33</v>
      </c>
      <c r="G383" s="85"/>
      <c r="H383" s="85"/>
      <c r="I383" s="85"/>
      <c r="J383" s="91"/>
      <c r="K383" s="91"/>
      <c r="L383" s="91"/>
      <c r="M383" s="87">
        <v>40325</v>
      </c>
      <c r="N383" s="106" t="s">
        <v>1343</v>
      </c>
    </row>
    <row r="384" spans="1:15" s="84" customFormat="1" x14ac:dyDescent="0.25">
      <c r="A384">
        <v>382</v>
      </c>
      <c r="B384" s="85" t="s">
        <v>445</v>
      </c>
      <c r="C384" s="85" t="s">
        <v>30</v>
      </c>
      <c r="D384" s="85" t="s">
        <v>8</v>
      </c>
      <c r="E384" s="104">
        <v>45.5</v>
      </c>
      <c r="F384" s="85" t="s">
        <v>33</v>
      </c>
      <c r="G384" s="85"/>
      <c r="H384" s="85"/>
      <c r="I384" s="85"/>
      <c r="J384" s="91"/>
      <c r="K384" s="91"/>
      <c r="L384" s="91"/>
      <c r="M384" s="87"/>
      <c r="N384" s="106" t="s">
        <v>1345</v>
      </c>
    </row>
    <row r="385" spans="1:14" s="84" customFormat="1" x14ac:dyDescent="0.25">
      <c r="A385">
        <v>383</v>
      </c>
      <c r="B385" s="85" t="s">
        <v>446</v>
      </c>
      <c r="C385" s="85" t="s">
        <v>30</v>
      </c>
      <c r="D385" s="85" t="s">
        <v>8</v>
      </c>
      <c r="E385" s="104">
        <v>35</v>
      </c>
      <c r="F385" s="85" t="s">
        <v>33</v>
      </c>
      <c r="G385" s="85"/>
      <c r="H385" s="85"/>
      <c r="I385" s="85"/>
      <c r="J385" s="91"/>
      <c r="K385" s="91"/>
      <c r="L385" s="91"/>
      <c r="M385" s="87"/>
      <c r="N385" s="106" t="s">
        <v>1345</v>
      </c>
    </row>
    <row r="386" spans="1:14" s="84" customFormat="1" x14ac:dyDescent="0.25">
      <c r="A386">
        <v>384</v>
      </c>
      <c r="B386" s="85" t="s">
        <v>447</v>
      </c>
      <c r="C386" s="85" t="s">
        <v>30</v>
      </c>
      <c r="D386" s="85" t="s">
        <v>8</v>
      </c>
      <c r="E386" s="94">
        <v>0</v>
      </c>
      <c r="F386" s="85" t="s">
        <v>33</v>
      </c>
      <c r="G386" s="85"/>
      <c r="H386" s="85"/>
      <c r="I386" s="85"/>
      <c r="J386" s="91"/>
      <c r="K386" s="91"/>
      <c r="L386" s="91"/>
      <c r="M386" s="87"/>
      <c r="N386" s="106" t="s">
        <v>157</v>
      </c>
    </row>
    <row r="387" spans="1:14" s="84" customFormat="1" x14ac:dyDescent="0.25">
      <c r="A387">
        <v>385</v>
      </c>
      <c r="B387" s="85" t="s">
        <v>1346</v>
      </c>
      <c r="C387" s="85" t="s">
        <v>30</v>
      </c>
      <c r="D387" s="92" t="s">
        <v>8</v>
      </c>
      <c r="E387" s="86">
        <v>0</v>
      </c>
      <c r="F387" s="85" t="s">
        <v>33</v>
      </c>
      <c r="G387" s="85"/>
      <c r="H387" s="85"/>
      <c r="I387" s="85"/>
      <c r="J387" s="91"/>
      <c r="K387" s="91"/>
      <c r="L387" s="91"/>
      <c r="M387" s="87">
        <v>40263</v>
      </c>
      <c r="N387" s="106" t="s">
        <v>157</v>
      </c>
    </row>
    <row r="388" spans="1:14" s="84" customFormat="1" x14ac:dyDescent="0.25">
      <c r="A388">
        <v>386</v>
      </c>
      <c r="B388" s="85" t="s">
        <v>1347</v>
      </c>
      <c r="C388" s="85" t="s">
        <v>30</v>
      </c>
      <c r="D388" s="92" t="s">
        <v>8</v>
      </c>
      <c r="E388" s="86">
        <v>30</v>
      </c>
      <c r="F388" s="85" t="s">
        <v>204</v>
      </c>
      <c r="G388" s="85"/>
      <c r="H388" s="85"/>
      <c r="I388" s="85"/>
      <c r="J388" s="91"/>
      <c r="K388" s="91"/>
      <c r="L388" s="91"/>
      <c r="M388" s="87">
        <v>40286</v>
      </c>
      <c r="N388" s="106"/>
    </row>
    <row r="389" spans="1:14" s="84" customFormat="1" x14ac:dyDescent="0.25">
      <c r="A389">
        <v>387</v>
      </c>
      <c r="B389" s="85" t="s">
        <v>448</v>
      </c>
      <c r="C389" s="85" t="s">
        <v>30</v>
      </c>
      <c r="D389" s="85" t="s">
        <v>8</v>
      </c>
      <c r="E389" s="100">
        <v>30</v>
      </c>
      <c r="F389" s="85" t="s">
        <v>33</v>
      </c>
      <c r="G389" s="85"/>
      <c r="H389" s="85"/>
      <c r="I389" s="85"/>
      <c r="J389" s="91"/>
      <c r="K389" s="91"/>
      <c r="L389" s="91"/>
      <c r="M389" s="87"/>
      <c r="N389" s="106" t="s">
        <v>449</v>
      </c>
    </row>
    <row r="390" spans="1:14" s="84" customFormat="1" x14ac:dyDescent="0.25">
      <c r="A390">
        <v>388</v>
      </c>
      <c r="B390" s="85" t="s">
        <v>450</v>
      </c>
      <c r="C390" s="85" t="s">
        <v>30</v>
      </c>
      <c r="D390" s="85" t="s">
        <v>8</v>
      </c>
      <c r="E390" s="100">
        <v>0</v>
      </c>
      <c r="F390" s="85" t="s">
        <v>33</v>
      </c>
      <c r="G390" s="85"/>
      <c r="H390" s="85"/>
      <c r="I390" s="85"/>
      <c r="J390" s="91"/>
      <c r="K390" s="91"/>
      <c r="L390" s="91"/>
      <c r="M390" s="87"/>
      <c r="N390" s="106" t="s">
        <v>157</v>
      </c>
    </row>
    <row r="391" spans="1:14" s="84" customFormat="1" x14ac:dyDescent="0.25">
      <c r="A391">
        <v>389</v>
      </c>
      <c r="B391" s="85" t="s">
        <v>451</v>
      </c>
      <c r="C391" s="85" t="s">
        <v>30</v>
      </c>
      <c r="D391" s="85" t="s">
        <v>8</v>
      </c>
      <c r="E391" s="119">
        <v>3.5000000000000001E-3</v>
      </c>
      <c r="F391" s="85" t="s">
        <v>452</v>
      </c>
      <c r="G391" s="85"/>
      <c r="H391" s="85"/>
      <c r="I391" s="85"/>
      <c r="J391" s="91"/>
      <c r="K391" s="91"/>
      <c r="L391" s="91"/>
      <c r="M391" s="87">
        <v>39898</v>
      </c>
      <c r="N391" s="106" t="s">
        <v>453</v>
      </c>
    </row>
    <row r="392" spans="1:14" s="84" customFormat="1" x14ac:dyDescent="0.25">
      <c r="A392">
        <v>390</v>
      </c>
      <c r="B392" s="85" t="s">
        <v>454</v>
      </c>
      <c r="C392" s="85" t="s">
        <v>30</v>
      </c>
      <c r="D392" s="85" t="s">
        <v>8</v>
      </c>
      <c r="E392" s="119">
        <v>3.5000000000000001E-3</v>
      </c>
      <c r="F392" s="85" t="s">
        <v>452</v>
      </c>
      <c r="G392" s="85"/>
      <c r="H392" s="85"/>
      <c r="I392" s="85"/>
      <c r="J392" s="91"/>
      <c r="K392" s="91"/>
      <c r="L392" s="91"/>
      <c r="M392" s="87">
        <v>39898</v>
      </c>
      <c r="N392" s="106" t="s">
        <v>453</v>
      </c>
    </row>
    <row r="393" spans="1:14" s="84" customFormat="1" x14ac:dyDescent="0.25">
      <c r="A393">
        <v>391</v>
      </c>
      <c r="B393" s="85" t="s">
        <v>455</v>
      </c>
      <c r="C393" s="85" t="s">
        <v>30</v>
      </c>
      <c r="D393" s="85" t="s">
        <v>8</v>
      </c>
      <c r="E393" s="119">
        <v>3.5000000000000001E-3</v>
      </c>
      <c r="F393" s="85" t="s">
        <v>452</v>
      </c>
      <c r="G393" s="85"/>
      <c r="H393" s="85"/>
      <c r="I393" s="85"/>
      <c r="J393" s="91"/>
      <c r="K393" s="91"/>
      <c r="L393" s="91"/>
      <c r="M393" s="87">
        <v>39898</v>
      </c>
      <c r="N393" s="106" t="s">
        <v>453</v>
      </c>
    </row>
    <row r="394" spans="1:14" s="84" customFormat="1" x14ac:dyDescent="0.25">
      <c r="A394">
        <v>392</v>
      </c>
      <c r="B394" s="85" t="s">
        <v>1348</v>
      </c>
      <c r="C394" s="85" t="s">
        <v>30</v>
      </c>
      <c r="D394" s="92" t="s">
        <v>8</v>
      </c>
      <c r="E394" s="86">
        <v>0</v>
      </c>
      <c r="F394" s="85" t="s">
        <v>33</v>
      </c>
      <c r="G394" s="85"/>
      <c r="H394" s="85"/>
      <c r="I394" s="85"/>
      <c r="J394" s="91"/>
      <c r="K394" s="91"/>
      <c r="L394" s="91"/>
      <c r="M394" s="87">
        <v>40263</v>
      </c>
      <c r="N394" s="106" t="s">
        <v>157</v>
      </c>
    </row>
    <row r="395" spans="1:14" s="84" customFormat="1" x14ac:dyDescent="0.25">
      <c r="A395">
        <v>393</v>
      </c>
      <c r="B395" s="85" t="s">
        <v>456</v>
      </c>
      <c r="C395" s="85" t="s">
        <v>30</v>
      </c>
      <c r="D395" s="85" t="s">
        <v>8</v>
      </c>
      <c r="E395" s="94">
        <v>0</v>
      </c>
      <c r="F395" s="85" t="s">
        <v>33</v>
      </c>
      <c r="G395" s="85"/>
      <c r="H395" s="85"/>
      <c r="I395" s="85"/>
      <c r="J395" s="91"/>
      <c r="K395" s="91"/>
      <c r="L395" s="91"/>
      <c r="M395" s="87"/>
      <c r="N395" s="106" t="s">
        <v>157</v>
      </c>
    </row>
    <row r="396" spans="1:14" s="84" customFormat="1" x14ac:dyDescent="0.25">
      <c r="A396">
        <v>394</v>
      </c>
      <c r="B396" s="85" t="s">
        <v>457</v>
      </c>
      <c r="C396" s="85" t="s">
        <v>30</v>
      </c>
      <c r="D396" s="92" t="s">
        <v>8</v>
      </c>
      <c r="E396" s="120">
        <v>3.0000000000000001E-3</v>
      </c>
      <c r="F396" s="92" t="s">
        <v>452</v>
      </c>
      <c r="G396" s="92"/>
      <c r="H396" s="92"/>
      <c r="I396" s="92"/>
      <c r="J396" s="91"/>
      <c r="K396" s="91"/>
      <c r="L396" s="91"/>
      <c r="M396" s="95"/>
      <c r="N396" s="92" t="s">
        <v>458</v>
      </c>
    </row>
    <row r="397" spans="1:14" s="84" customFormat="1" x14ac:dyDescent="0.25">
      <c r="A397">
        <v>395</v>
      </c>
      <c r="B397" s="85" t="s">
        <v>459</v>
      </c>
      <c r="C397" s="85" t="s">
        <v>30</v>
      </c>
      <c r="D397" s="85" t="s">
        <v>8</v>
      </c>
      <c r="E397" s="94">
        <v>0</v>
      </c>
      <c r="F397" s="85" t="s">
        <v>33</v>
      </c>
      <c r="G397" s="85"/>
      <c r="H397" s="85"/>
      <c r="I397" s="85"/>
      <c r="J397" s="91"/>
      <c r="K397" s="91"/>
      <c r="L397" s="91"/>
      <c r="M397" s="87"/>
      <c r="N397" s="85" t="s">
        <v>460</v>
      </c>
    </row>
    <row r="398" spans="1:14" s="84" customFormat="1" x14ac:dyDescent="0.25">
      <c r="A398">
        <v>396</v>
      </c>
      <c r="B398" s="85" t="s">
        <v>461</v>
      </c>
      <c r="C398" s="85" t="s">
        <v>30</v>
      </c>
      <c r="D398" s="85" t="s">
        <v>8</v>
      </c>
      <c r="E398" s="88">
        <v>10</v>
      </c>
      <c r="F398" s="85" t="s">
        <v>33</v>
      </c>
      <c r="G398" s="85"/>
      <c r="H398" s="85"/>
      <c r="I398" s="85"/>
      <c r="J398" s="91"/>
      <c r="K398" s="91"/>
      <c r="L398" s="91"/>
      <c r="M398" s="87"/>
      <c r="N398" s="85"/>
    </row>
    <row r="399" spans="1:14" s="84" customFormat="1" x14ac:dyDescent="0.25">
      <c r="A399">
        <v>397</v>
      </c>
      <c r="B399" s="85" t="s">
        <v>462</v>
      </c>
      <c r="C399" s="92" t="s">
        <v>463</v>
      </c>
      <c r="D399" s="92" t="s">
        <v>8</v>
      </c>
      <c r="E399" s="94">
        <v>28.5</v>
      </c>
      <c r="F399" s="92" t="s">
        <v>33</v>
      </c>
      <c r="G399" s="92"/>
      <c r="H399" s="92"/>
      <c r="I399" s="92"/>
      <c r="J399" s="91"/>
      <c r="K399" s="91"/>
      <c r="L399" s="91"/>
      <c r="M399" s="95">
        <v>40028</v>
      </c>
      <c r="N399" s="92"/>
    </row>
    <row r="400" spans="1:14" s="84" customFormat="1" x14ac:dyDescent="0.25">
      <c r="A400">
        <v>398</v>
      </c>
      <c r="B400" s="85" t="s">
        <v>464</v>
      </c>
      <c r="C400" s="92" t="s">
        <v>463</v>
      </c>
      <c r="D400" s="92" t="s">
        <v>8</v>
      </c>
      <c r="E400" s="94">
        <v>12</v>
      </c>
      <c r="F400" s="92" t="s">
        <v>33</v>
      </c>
      <c r="G400" s="92"/>
      <c r="H400" s="92"/>
      <c r="I400" s="92"/>
      <c r="J400" s="91"/>
      <c r="K400" s="91"/>
      <c r="L400" s="91"/>
      <c r="M400" s="95">
        <v>40028</v>
      </c>
      <c r="N400" s="92"/>
    </row>
    <row r="401" spans="1:14" s="84" customFormat="1" x14ac:dyDescent="0.25">
      <c r="A401">
        <v>399</v>
      </c>
      <c r="B401" s="85" t="s">
        <v>465</v>
      </c>
      <c r="C401" s="85" t="s">
        <v>30</v>
      </c>
      <c r="D401" s="85" t="s">
        <v>8</v>
      </c>
      <c r="E401" s="88">
        <v>5</v>
      </c>
      <c r="F401" s="85" t="s">
        <v>33</v>
      </c>
      <c r="G401" s="85"/>
      <c r="H401" s="85"/>
      <c r="I401" s="85"/>
      <c r="J401" s="91"/>
      <c r="K401" s="91"/>
      <c r="L401" s="91"/>
      <c r="M401" s="87"/>
      <c r="N401" s="85"/>
    </row>
    <row r="402" spans="1:14" s="84" customFormat="1" x14ac:dyDescent="0.25">
      <c r="A402">
        <v>400</v>
      </c>
      <c r="B402" s="85" t="s">
        <v>466</v>
      </c>
      <c r="C402" s="85" t="s">
        <v>30</v>
      </c>
      <c r="D402" s="85" t="s">
        <v>8</v>
      </c>
      <c r="E402" s="88">
        <v>5</v>
      </c>
      <c r="F402" s="85" t="s">
        <v>33</v>
      </c>
      <c r="G402" s="85"/>
      <c r="H402" s="85"/>
      <c r="I402" s="85"/>
      <c r="J402" s="91"/>
      <c r="K402" s="91"/>
      <c r="L402" s="91"/>
      <c r="M402" s="87">
        <v>39882</v>
      </c>
      <c r="N402" s="85"/>
    </row>
    <row r="403" spans="1:14" s="84" customFormat="1" x14ac:dyDescent="0.25">
      <c r="A403">
        <v>401</v>
      </c>
      <c r="B403" s="85" t="s">
        <v>467</v>
      </c>
      <c r="C403" s="85" t="s">
        <v>30</v>
      </c>
      <c r="D403" s="85" t="s">
        <v>8</v>
      </c>
      <c r="E403" s="88">
        <v>5</v>
      </c>
      <c r="F403" s="85" t="s">
        <v>33</v>
      </c>
      <c r="G403" s="85"/>
      <c r="H403" s="85"/>
      <c r="I403" s="85"/>
      <c r="J403" s="91"/>
      <c r="K403" s="91"/>
      <c r="L403" s="91"/>
      <c r="M403" s="87"/>
      <c r="N403" s="85"/>
    </row>
    <row r="404" spans="1:14" s="84" customFormat="1" x14ac:dyDescent="0.25">
      <c r="A404">
        <v>402</v>
      </c>
      <c r="B404" s="85" t="s">
        <v>1349</v>
      </c>
      <c r="C404" s="85" t="s">
        <v>30</v>
      </c>
      <c r="D404" s="85" t="s">
        <v>8</v>
      </c>
      <c r="E404" s="88">
        <v>1</v>
      </c>
      <c r="F404" s="85" t="s">
        <v>33</v>
      </c>
      <c r="G404" s="85"/>
      <c r="H404" s="85"/>
      <c r="I404" s="85"/>
      <c r="J404" s="91"/>
      <c r="K404" s="91"/>
      <c r="L404" s="91"/>
      <c r="M404" s="87">
        <v>40286</v>
      </c>
      <c r="N404" s="85"/>
    </row>
    <row r="405" spans="1:14" s="84" customFormat="1" x14ac:dyDescent="0.25">
      <c r="A405">
        <v>403</v>
      </c>
      <c r="B405" s="85" t="s">
        <v>468</v>
      </c>
      <c r="C405" s="85" t="s">
        <v>64</v>
      </c>
      <c r="D405" s="85" t="s">
        <v>8</v>
      </c>
      <c r="E405" s="94">
        <v>0</v>
      </c>
      <c r="F405" s="85" t="s">
        <v>33</v>
      </c>
      <c r="G405" s="85"/>
      <c r="H405" s="85"/>
      <c r="I405" s="85"/>
      <c r="J405" s="91"/>
      <c r="K405" s="91"/>
      <c r="L405" s="91"/>
      <c r="M405" s="87"/>
      <c r="N405" s="85"/>
    </row>
    <row r="406" spans="1:14" s="84" customFormat="1" x14ac:dyDescent="0.25">
      <c r="A406">
        <v>404</v>
      </c>
      <c r="B406" s="85" t="s">
        <v>1350</v>
      </c>
      <c r="C406" s="85" t="s">
        <v>1351</v>
      </c>
      <c r="D406" s="85" t="s">
        <v>8</v>
      </c>
      <c r="E406" s="94">
        <v>105</v>
      </c>
      <c r="F406" s="85" t="s">
        <v>33</v>
      </c>
      <c r="G406" s="85"/>
      <c r="H406" s="85"/>
      <c r="I406" s="85"/>
      <c r="J406" s="91"/>
      <c r="K406" s="91"/>
      <c r="L406" s="91"/>
      <c r="M406" s="87">
        <v>40286</v>
      </c>
      <c r="N406" s="85"/>
    </row>
    <row r="407" spans="1:14" s="84" customFormat="1" x14ac:dyDescent="0.25">
      <c r="A407">
        <v>405</v>
      </c>
      <c r="B407" s="85" t="s">
        <v>469</v>
      </c>
      <c r="C407" s="85" t="s">
        <v>30</v>
      </c>
      <c r="D407" s="85" t="s">
        <v>8</v>
      </c>
      <c r="E407" s="94">
        <v>0</v>
      </c>
      <c r="F407" s="85" t="s">
        <v>33</v>
      </c>
      <c r="G407" s="85"/>
      <c r="H407" s="85"/>
      <c r="I407" s="85"/>
      <c r="J407" s="91"/>
      <c r="K407" s="91"/>
      <c r="L407" s="91"/>
      <c r="M407" s="87"/>
      <c r="N407" s="85" t="s">
        <v>460</v>
      </c>
    </row>
    <row r="408" spans="1:14" s="84" customFormat="1" x14ac:dyDescent="0.25">
      <c r="A408">
        <v>406</v>
      </c>
      <c r="B408" s="85" t="s">
        <v>470</v>
      </c>
      <c r="C408" s="85" t="s">
        <v>30</v>
      </c>
      <c r="D408" s="85" t="s">
        <v>8</v>
      </c>
      <c r="E408" s="94">
        <v>0</v>
      </c>
      <c r="F408" s="85" t="s">
        <v>33</v>
      </c>
      <c r="G408" s="85"/>
      <c r="H408" s="85"/>
      <c r="I408" s="85"/>
      <c r="J408" s="91"/>
      <c r="K408" s="91"/>
      <c r="L408" s="91"/>
      <c r="M408" s="87"/>
      <c r="N408" s="85" t="s">
        <v>460</v>
      </c>
    </row>
    <row r="409" spans="1:14" s="84" customFormat="1" x14ac:dyDescent="0.25">
      <c r="A409">
        <v>407</v>
      </c>
      <c r="B409" s="85" t="s">
        <v>471</v>
      </c>
      <c r="C409" s="85" t="s">
        <v>30</v>
      </c>
      <c r="D409" s="85" t="s">
        <v>8</v>
      </c>
      <c r="E409" s="94">
        <v>300</v>
      </c>
      <c r="F409" s="85" t="s">
        <v>33</v>
      </c>
      <c r="G409" s="85"/>
      <c r="H409" s="85"/>
      <c r="I409" s="85"/>
      <c r="J409" s="91"/>
      <c r="K409" s="91"/>
      <c r="L409" s="91"/>
      <c r="M409" s="87"/>
      <c r="N409" s="85" t="s">
        <v>472</v>
      </c>
    </row>
    <row r="410" spans="1:14" s="84" customFormat="1" x14ac:dyDescent="0.25">
      <c r="A410">
        <v>408</v>
      </c>
      <c r="B410" s="85" t="s">
        <v>473</v>
      </c>
      <c r="C410" s="85" t="s">
        <v>30</v>
      </c>
      <c r="D410" s="85" t="s">
        <v>8</v>
      </c>
      <c r="E410" s="94">
        <v>0</v>
      </c>
      <c r="F410" s="85" t="s">
        <v>33</v>
      </c>
      <c r="G410" s="85"/>
      <c r="H410" s="85"/>
      <c r="I410" s="85"/>
      <c r="J410" s="91"/>
      <c r="K410" s="91"/>
      <c r="L410" s="91"/>
      <c r="M410" s="87"/>
      <c r="N410" s="92" t="s">
        <v>157</v>
      </c>
    </row>
    <row r="411" spans="1:14" s="84" customFormat="1" x14ac:dyDescent="0.25">
      <c r="A411">
        <v>409</v>
      </c>
      <c r="B411" s="85" t="s">
        <v>474</v>
      </c>
      <c r="C411" s="85" t="s">
        <v>30</v>
      </c>
      <c r="D411" s="85" t="s">
        <v>8</v>
      </c>
      <c r="E411" s="94">
        <v>300</v>
      </c>
      <c r="F411" s="85" t="s">
        <v>33</v>
      </c>
      <c r="G411" s="85"/>
      <c r="H411" s="85"/>
      <c r="I411" s="85"/>
      <c r="J411" s="91"/>
      <c r="K411" s="91"/>
      <c r="L411" s="91"/>
      <c r="M411" s="87"/>
      <c r="N411" s="85" t="s">
        <v>475</v>
      </c>
    </row>
    <row r="412" spans="1:14" s="84" customFormat="1" x14ac:dyDescent="0.25">
      <c r="A412">
        <v>410</v>
      </c>
      <c r="B412" s="85" t="s">
        <v>476</v>
      </c>
      <c r="C412" s="85" t="s">
        <v>30</v>
      </c>
      <c r="D412" s="85" t="s">
        <v>477</v>
      </c>
      <c r="E412" s="94">
        <v>1E-4</v>
      </c>
      <c r="F412" s="85" t="s">
        <v>478</v>
      </c>
      <c r="G412" s="85"/>
      <c r="H412" s="85"/>
      <c r="I412" s="85"/>
      <c r="J412" s="91"/>
      <c r="K412" s="91"/>
      <c r="L412" s="91"/>
      <c r="M412" s="87"/>
      <c r="N412" s="85" t="s">
        <v>479</v>
      </c>
    </row>
    <row r="413" spans="1:14" s="84" customFormat="1" x14ac:dyDescent="0.25">
      <c r="A413">
        <v>411</v>
      </c>
      <c r="B413" s="85" t="s">
        <v>480</v>
      </c>
      <c r="C413" s="85" t="s">
        <v>30</v>
      </c>
      <c r="D413" s="85" t="s">
        <v>477</v>
      </c>
      <c r="E413" s="94">
        <v>0.75</v>
      </c>
      <c r="F413" s="85" t="s">
        <v>478</v>
      </c>
      <c r="G413" s="85"/>
      <c r="H413" s="85"/>
      <c r="I413" s="85"/>
      <c r="J413" s="91"/>
      <c r="K413" s="91"/>
      <c r="L413" s="91"/>
      <c r="M413" s="87"/>
      <c r="N413" s="85" t="s">
        <v>481</v>
      </c>
    </row>
    <row r="414" spans="1:14" s="84" customFormat="1" x14ac:dyDescent="0.25">
      <c r="A414">
        <v>412</v>
      </c>
      <c r="B414" s="85" t="s">
        <v>482</v>
      </c>
      <c r="C414" s="85" t="s">
        <v>30</v>
      </c>
      <c r="D414" s="85" t="s">
        <v>483</v>
      </c>
      <c r="E414" s="86">
        <v>1</v>
      </c>
      <c r="F414" s="85" t="s">
        <v>478</v>
      </c>
      <c r="G414" s="85"/>
      <c r="H414" s="85"/>
      <c r="I414" s="85"/>
      <c r="J414" s="91"/>
      <c r="K414" s="91"/>
      <c r="L414" s="91"/>
      <c r="M414" s="87">
        <v>39866</v>
      </c>
      <c r="N414" s="92"/>
    </row>
    <row r="415" spans="1:14" s="84" customFormat="1" x14ac:dyDescent="0.25">
      <c r="A415">
        <v>413</v>
      </c>
      <c r="B415" s="85" t="s">
        <v>484</v>
      </c>
      <c r="C415" s="85" t="s">
        <v>30</v>
      </c>
      <c r="D415" s="85" t="s">
        <v>483</v>
      </c>
      <c r="E415" s="94">
        <v>15</v>
      </c>
      <c r="F415" s="85" t="s">
        <v>33</v>
      </c>
      <c r="G415" s="85"/>
      <c r="H415" s="85"/>
      <c r="I415" s="85"/>
      <c r="J415" s="91"/>
      <c r="K415" s="91"/>
      <c r="L415" s="91"/>
      <c r="M415" s="87">
        <v>39890</v>
      </c>
      <c r="N415" s="92"/>
    </row>
    <row r="416" spans="1:14" s="84" customFormat="1" x14ac:dyDescent="0.25">
      <c r="A416">
        <v>414</v>
      </c>
      <c r="B416" s="85" t="s">
        <v>485</v>
      </c>
      <c r="C416" s="85" t="s">
        <v>30</v>
      </c>
      <c r="D416" s="85" t="s">
        <v>483</v>
      </c>
      <c r="E416" s="94">
        <v>7</v>
      </c>
      <c r="F416" s="85" t="s">
        <v>33</v>
      </c>
      <c r="G416" s="85"/>
      <c r="H416" s="85"/>
      <c r="I416" s="85"/>
      <c r="J416" s="91"/>
      <c r="K416" s="91"/>
      <c r="L416" s="91"/>
      <c r="M416" s="87">
        <v>39873</v>
      </c>
      <c r="N416" s="92"/>
    </row>
    <row r="417" spans="1:14" s="84" customFormat="1" x14ac:dyDescent="0.25">
      <c r="A417">
        <v>415</v>
      </c>
      <c r="B417" s="85" t="s">
        <v>1352</v>
      </c>
      <c r="C417" s="85" t="s">
        <v>30</v>
      </c>
      <c r="D417" s="85" t="s">
        <v>487</v>
      </c>
      <c r="E417" s="94">
        <v>0.15</v>
      </c>
      <c r="F417" s="85" t="s">
        <v>33</v>
      </c>
      <c r="G417" s="85"/>
      <c r="H417" s="85"/>
      <c r="I417" s="85"/>
      <c r="J417" s="91"/>
      <c r="K417" s="91"/>
      <c r="L417" s="91"/>
      <c r="M417" s="87">
        <v>40321</v>
      </c>
      <c r="N417" s="92" t="s">
        <v>1353</v>
      </c>
    </row>
    <row r="418" spans="1:14" s="84" customFormat="1" x14ac:dyDescent="0.25">
      <c r="A418">
        <v>416</v>
      </c>
      <c r="B418" s="85" t="s">
        <v>486</v>
      </c>
      <c r="C418" s="85" t="s">
        <v>30</v>
      </c>
      <c r="D418" s="85" t="s">
        <v>487</v>
      </c>
      <c r="E418" s="115" t="s">
        <v>1333</v>
      </c>
      <c r="F418" s="85" t="s">
        <v>36</v>
      </c>
      <c r="G418" s="85"/>
      <c r="H418" s="85">
        <v>0.125</v>
      </c>
      <c r="I418" s="85">
        <v>8</v>
      </c>
      <c r="J418" s="85">
        <v>0</v>
      </c>
      <c r="K418" s="91"/>
      <c r="L418" s="115">
        <f>(H418*J418+I418)</f>
        <v>8</v>
      </c>
      <c r="M418" s="87">
        <v>39901</v>
      </c>
      <c r="N418" s="92" t="s">
        <v>488</v>
      </c>
    </row>
    <row r="419" spans="1:14" s="84" customFormat="1" x14ac:dyDescent="0.25">
      <c r="A419">
        <v>417</v>
      </c>
      <c r="B419" s="85" t="s">
        <v>1354</v>
      </c>
      <c r="C419" s="85" t="s">
        <v>30</v>
      </c>
      <c r="D419" s="85" t="s">
        <v>487</v>
      </c>
      <c r="E419" s="107">
        <v>1.25</v>
      </c>
      <c r="F419" s="85" t="s">
        <v>33</v>
      </c>
      <c r="G419" s="85"/>
      <c r="H419" s="85"/>
      <c r="I419" s="85"/>
      <c r="J419" s="85"/>
      <c r="K419" s="91"/>
      <c r="L419" s="115"/>
      <c r="M419" s="87">
        <v>40286</v>
      </c>
      <c r="N419" s="92"/>
    </row>
    <row r="420" spans="1:14" s="84" customFormat="1" x14ac:dyDescent="0.25">
      <c r="A420">
        <v>418</v>
      </c>
      <c r="B420" s="85" t="s">
        <v>489</v>
      </c>
      <c r="C420" s="85" t="s">
        <v>30</v>
      </c>
      <c r="D420" s="85" t="s">
        <v>487</v>
      </c>
      <c r="E420" s="107">
        <v>0.05</v>
      </c>
      <c r="F420" s="85" t="s">
        <v>33</v>
      </c>
      <c r="G420" s="85"/>
      <c r="H420" s="85"/>
      <c r="I420" s="85"/>
      <c r="J420" s="91"/>
      <c r="K420" s="91"/>
      <c r="L420" s="91"/>
      <c r="M420" s="87"/>
      <c r="N420" s="92" t="s">
        <v>490</v>
      </c>
    </row>
    <row r="421" spans="1:14" s="84" customFormat="1" x14ac:dyDescent="0.25">
      <c r="A421">
        <v>419</v>
      </c>
      <c r="B421" s="85" t="s">
        <v>491</v>
      </c>
      <c r="C421" s="92" t="s">
        <v>30</v>
      </c>
      <c r="D421" s="92" t="s">
        <v>487</v>
      </c>
      <c r="E421" s="115" t="s">
        <v>374</v>
      </c>
      <c r="F421" s="85" t="s">
        <v>36</v>
      </c>
      <c r="G421" s="85"/>
      <c r="H421" s="85">
        <v>3.2000000000000001E-2</v>
      </c>
      <c r="I421" s="85">
        <v>1.1200000000000001</v>
      </c>
      <c r="J421" s="85">
        <v>0</v>
      </c>
      <c r="K421" s="91"/>
      <c r="L421" s="85">
        <f>H421*J421+I421</f>
        <v>1.1200000000000001</v>
      </c>
      <c r="M421" s="95"/>
      <c r="N421" s="92" t="s">
        <v>492</v>
      </c>
    </row>
    <row r="422" spans="1:14" s="84" customFormat="1" x14ac:dyDescent="0.25">
      <c r="A422">
        <v>420</v>
      </c>
      <c r="B422" s="85" t="s">
        <v>493</v>
      </c>
      <c r="C422" s="92" t="s">
        <v>30</v>
      </c>
      <c r="D422" s="92" t="s">
        <v>487</v>
      </c>
      <c r="E422" s="115" t="s">
        <v>374</v>
      </c>
      <c r="F422" s="85" t="s">
        <v>36</v>
      </c>
      <c r="G422" s="85"/>
      <c r="H422" s="85">
        <v>0.05</v>
      </c>
      <c r="I422" s="85">
        <v>2.34</v>
      </c>
      <c r="J422" s="85">
        <v>0</v>
      </c>
      <c r="K422" s="91"/>
      <c r="L422" s="85">
        <f>H422*J422+I422</f>
        <v>2.34</v>
      </c>
      <c r="M422" s="95"/>
      <c r="N422" s="92" t="s">
        <v>494</v>
      </c>
    </row>
    <row r="423" spans="1:14" s="84" customFormat="1" x14ac:dyDescent="0.25">
      <c r="A423">
        <v>421</v>
      </c>
      <c r="B423" s="85" t="s">
        <v>495</v>
      </c>
      <c r="C423" s="92" t="s">
        <v>30</v>
      </c>
      <c r="D423" s="92" t="s">
        <v>487</v>
      </c>
      <c r="E423" s="115" t="s">
        <v>41</v>
      </c>
      <c r="F423" s="85" t="s">
        <v>36</v>
      </c>
      <c r="G423" s="85" t="s">
        <v>36</v>
      </c>
      <c r="H423" s="85">
        <v>0.04</v>
      </c>
      <c r="I423" s="85">
        <v>1.1599999999999999</v>
      </c>
      <c r="J423" s="85">
        <v>0</v>
      </c>
      <c r="K423" s="85">
        <v>0</v>
      </c>
      <c r="L423" s="88">
        <f>H423*J423*K423+I423</f>
        <v>1.1599999999999999</v>
      </c>
      <c r="M423" s="95">
        <v>39886</v>
      </c>
      <c r="N423" s="92" t="s">
        <v>496</v>
      </c>
    </row>
    <row r="424" spans="1:14" s="84" customFormat="1" ht="30" x14ac:dyDescent="0.25">
      <c r="A424">
        <v>422</v>
      </c>
      <c r="B424" s="85" t="s">
        <v>497</v>
      </c>
      <c r="C424" s="92" t="s">
        <v>30</v>
      </c>
      <c r="D424" s="92" t="s">
        <v>487</v>
      </c>
      <c r="E424" s="115" t="s">
        <v>374</v>
      </c>
      <c r="F424" s="85" t="s">
        <v>36</v>
      </c>
      <c r="G424" s="85"/>
      <c r="H424" s="85">
        <v>0.27</v>
      </c>
      <c r="I424" s="85">
        <v>0</v>
      </c>
      <c r="J424" s="85">
        <v>0</v>
      </c>
      <c r="K424" s="91"/>
      <c r="L424" s="85">
        <f>H424*J424+I424</f>
        <v>0</v>
      </c>
      <c r="M424" s="95">
        <v>39901</v>
      </c>
      <c r="N424" s="92" t="s">
        <v>498</v>
      </c>
    </row>
    <row r="425" spans="1:14" s="84" customFormat="1" x14ac:dyDescent="0.25">
      <c r="A425">
        <v>423</v>
      </c>
      <c r="B425" s="85" t="s">
        <v>499</v>
      </c>
      <c r="C425" s="92" t="s">
        <v>30</v>
      </c>
      <c r="D425" s="92" t="s">
        <v>487</v>
      </c>
      <c r="E425" s="115">
        <v>0.1</v>
      </c>
      <c r="F425" s="85" t="s">
        <v>33</v>
      </c>
      <c r="G425" s="85"/>
      <c r="H425" s="85"/>
      <c r="I425" s="85"/>
      <c r="J425" s="91"/>
      <c r="K425" s="91"/>
      <c r="L425" s="91"/>
      <c r="M425" s="95">
        <v>39889</v>
      </c>
      <c r="N425" s="92" t="s">
        <v>500</v>
      </c>
    </row>
    <row r="426" spans="1:14" s="84" customFormat="1" x14ac:dyDescent="0.25">
      <c r="A426">
        <v>424</v>
      </c>
      <c r="B426" s="85" t="s">
        <v>501</v>
      </c>
      <c r="C426" s="85" t="s">
        <v>30</v>
      </c>
      <c r="D426" s="85" t="s">
        <v>502</v>
      </c>
      <c r="E426" s="88">
        <v>0</v>
      </c>
      <c r="F426" s="85" t="s">
        <v>33</v>
      </c>
      <c r="G426" s="85"/>
      <c r="H426" s="85"/>
      <c r="I426" s="85"/>
      <c r="J426" s="91"/>
      <c r="K426" s="91"/>
      <c r="L426" s="91"/>
      <c r="M426" s="87"/>
      <c r="N426" s="92" t="s">
        <v>503</v>
      </c>
    </row>
    <row r="427" spans="1:14" s="84" customFormat="1" x14ac:dyDescent="0.25">
      <c r="A427">
        <v>425</v>
      </c>
      <c r="B427" s="85" t="s">
        <v>504</v>
      </c>
      <c r="C427" s="85" t="s">
        <v>30</v>
      </c>
      <c r="D427" s="85" t="s">
        <v>502</v>
      </c>
      <c r="E427" s="96">
        <v>1</v>
      </c>
      <c r="F427" s="85" t="s">
        <v>33</v>
      </c>
      <c r="G427" s="85"/>
      <c r="H427" s="85"/>
      <c r="I427" s="85"/>
      <c r="J427" s="91"/>
      <c r="K427" s="91"/>
      <c r="L427" s="91"/>
      <c r="M427" s="87">
        <v>39873</v>
      </c>
      <c r="N427" s="92"/>
    </row>
    <row r="428" spans="1:14" s="84" customFormat="1" x14ac:dyDescent="0.25">
      <c r="A428">
        <v>426</v>
      </c>
      <c r="B428" s="85" t="s">
        <v>506</v>
      </c>
      <c r="C428" s="85" t="s">
        <v>30</v>
      </c>
      <c r="D428" s="85" t="s">
        <v>502</v>
      </c>
      <c r="E428" s="86" t="s">
        <v>54</v>
      </c>
      <c r="F428" s="85" t="s">
        <v>36</v>
      </c>
      <c r="G428" s="85"/>
      <c r="H428" s="90">
        <v>0.01</v>
      </c>
      <c r="I428" s="90">
        <v>0.61</v>
      </c>
      <c r="J428" s="85">
        <v>0</v>
      </c>
      <c r="K428" s="91"/>
      <c r="L428" s="88">
        <f>H428*J428^2+I428</f>
        <v>0.61</v>
      </c>
      <c r="M428" s="87">
        <v>39866</v>
      </c>
      <c r="N428" s="85" t="s">
        <v>507</v>
      </c>
    </row>
    <row r="429" spans="1:14" s="84" customFormat="1" x14ac:dyDescent="0.25">
      <c r="A429">
        <v>427</v>
      </c>
      <c r="B429" s="85" t="s">
        <v>508</v>
      </c>
      <c r="C429" s="85" t="s">
        <v>30</v>
      </c>
      <c r="D429" s="85" t="s">
        <v>502</v>
      </c>
      <c r="E429" s="88">
        <v>3</v>
      </c>
      <c r="F429" s="85" t="s">
        <v>33</v>
      </c>
      <c r="G429" s="85"/>
      <c r="H429" s="85"/>
      <c r="I429" s="85"/>
      <c r="J429" s="91"/>
      <c r="K429" s="91"/>
      <c r="L429" s="91"/>
      <c r="M429" s="87"/>
      <c r="N429" s="92" t="s">
        <v>509</v>
      </c>
    </row>
    <row r="430" spans="1:14" s="84" customFormat="1" x14ac:dyDescent="0.25">
      <c r="A430">
        <v>428</v>
      </c>
      <c r="B430" s="85" t="s">
        <v>510</v>
      </c>
      <c r="C430" s="85" t="s">
        <v>511</v>
      </c>
      <c r="D430" s="85" t="s">
        <v>502</v>
      </c>
      <c r="E430" s="86">
        <v>232</v>
      </c>
      <c r="F430" s="85" t="s">
        <v>33</v>
      </c>
      <c r="G430" s="85"/>
      <c r="H430" s="85"/>
      <c r="I430" s="85"/>
      <c r="J430" s="91"/>
      <c r="K430" s="91"/>
      <c r="L430" s="91"/>
      <c r="M430" s="87">
        <v>39866</v>
      </c>
      <c r="N430" s="92"/>
    </row>
    <row r="431" spans="1:14" s="84" customFormat="1" x14ac:dyDescent="0.25">
      <c r="A431">
        <v>429</v>
      </c>
      <c r="B431" s="85" t="s">
        <v>512</v>
      </c>
      <c r="C431" s="85" t="s">
        <v>30</v>
      </c>
      <c r="D431" s="85" t="s">
        <v>502</v>
      </c>
      <c r="E431" s="120">
        <v>5.0000000000000001E-3</v>
      </c>
      <c r="F431" s="85" t="s">
        <v>452</v>
      </c>
      <c r="G431" s="85"/>
      <c r="H431" s="85"/>
      <c r="I431" s="85"/>
      <c r="J431" s="91"/>
      <c r="K431" s="91"/>
      <c r="L431" s="91"/>
      <c r="M431" s="87"/>
      <c r="N431" s="92"/>
    </row>
    <row r="432" spans="1:14" s="84" customFormat="1" x14ac:dyDescent="0.25">
      <c r="A432">
        <v>430</v>
      </c>
      <c r="B432" s="85" t="s">
        <v>513</v>
      </c>
      <c r="C432" s="85" t="s">
        <v>30</v>
      </c>
      <c r="D432" s="85" t="s">
        <v>502</v>
      </c>
      <c r="E432" s="94">
        <v>50</v>
      </c>
      <c r="F432" s="85" t="s">
        <v>204</v>
      </c>
      <c r="G432" s="85"/>
      <c r="H432" s="85"/>
      <c r="I432" s="85"/>
      <c r="J432" s="91"/>
      <c r="K432" s="91"/>
      <c r="L432" s="91"/>
      <c r="M432" s="87"/>
      <c r="N432" s="92" t="s">
        <v>514</v>
      </c>
    </row>
    <row r="433" spans="1:14" s="84" customFormat="1" x14ac:dyDescent="0.25">
      <c r="A433">
        <v>431</v>
      </c>
      <c r="B433" s="85" t="s">
        <v>515</v>
      </c>
      <c r="C433" s="85" t="s">
        <v>30</v>
      </c>
      <c r="D433" s="85" t="s">
        <v>502</v>
      </c>
      <c r="E433" s="88">
        <v>0.15</v>
      </c>
      <c r="F433" s="85" t="s">
        <v>375</v>
      </c>
      <c r="G433" s="85"/>
      <c r="H433" s="85"/>
      <c r="I433" s="85"/>
      <c r="J433" s="91"/>
      <c r="K433" s="91"/>
      <c r="L433" s="91"/>
      <c r="M433" s="87"/>
      <c r="N433" s="85"/>
    </row>
    <row r="434" spans="1:14" s="84" customFormat="1" x14ac:dyDescent="0.25">
      <c r="A434">
        <v>432</v>
      </c>
      <c r="B434" s="85" t="s">
        <v>516</v>
      </c>
      <c r="C434" s="85" t="s">
        <v>30</v>
      </c>
      <c r="D434" s="85" t="s">
        <v>502</v>
      </c>
      <c r="E434" s="94">
        <v>0</v>
      </c>
      <c r="F434" s="85" t="s">
        <v>517</v>
      </c>
      <c r="G434" s="85"/>
      <c r="H434" s="85"/>
      <c r="I434" s="85"/>
      <c r="J434" s="91"/>
      <c r="K434" s="91"/>
      <c r="L434" s="91"/>
      <c r="M434" s="87"/>
      <c r="N434" s="92" t="s">
        <v>157</v>
      </c>
    </row>
    <row r="435" spans="1:14" s="84" customFormat="1" x14ac:dyDescent="0.25">
      <c r="A435">
        <v>433</v>
      </c>
      <c r="B435" s="85" t="s">
        <v>518</v>
      </c>
      <c r="C435" s="85" t="s">
        <v>30</v>
      </c>
      <c r="D435" s="85" t="s">
        <v>502</v>
      </c>
      <c r="E435" s="107">
        <v>10</v>
      </c>
      <c r="F435" s="85" t="s">
        <v>204</v>
      </c>
      <c r="G435" s="85"/>
      <c r="H435" s="85"/>
      <c r="I435" s="85"/>
      <c r="J435" s="91"/>
      <c r="K435" s="91"/>
      <c r="L435" s="91"/>
      <c r="M435" s="87"/>
      <c r="N435" s="92"/>
    </row>
    <row r="436" spans="1:14" s="84" customFormat="1" x14ac:dyDescent="0.25">
      <c r="A436">
        <v>434</v>
      </c>
      <c r="B436" s="85" t="s">
        <v>519</v>
      </c>
      <c r="C436" s="85" t="s">
        <v>30</v>
      </c>
      <c r="D436" s="85" t="s">
        <v>502</v>
      </c>
      <c r="E436" s="94">
        <v>0.05</v>
      </c>
      <c r="F436" s="85" t="s">
        <v>378</v>
      </c>
      <c r="G436" s="85"/>
      <c r="H436" s="85"/>
      <c r="I436" s="85"/>
      <c r="J436" s="91"/>
      <c r="K436" s="91"/>
      <c r="L436" s="91"/>
      <c r="M436" s="87"/>
      <c r="N436" s="92"/>
    </row>
    <row r="437" spans="1:14" s="84" customFormat="1" x14ac:dyDescent="0.25">
      <c r="A437">
        <v>435</v>
      </c>
      <c r="B437" s="85" t="s">
        <v>520</v>
      </c>
      <c r="C437" s="85" t="s">
        <v>30</v>
      </c>
      <c r="D437" s="85" t="s">
        <v>502</v>
      </c>
      <c r="E437" s="94">
        <v>0</v>
      </c>
      <c r="F437" s="85" t="s">
        <v>33</v>
      </c>
      <c r="G437" s="85"/>
      <c r="H437" s="85"/>
      <c r="I437" s="85"/>
      <c r="J437" s="91"/>
      <c r="K437" s="91"/>
      <c r="L437" s="91"/>
      <c r="M437" s="87"/>
      <c r="N437" s="92" t="s">
        <v>157</v>
      </c>
    </row>
    <row r="438" spans="1:14" s="84" customFormat="1" x14ac:dyDescent="0.25">
      <c r="A438">
        <v>436</v>
      </c>
      <c r="B438" s="85" t="s">
        <v>966</v>
      </c>
      <c r="C438" s="85" t="s">
        <v>30</v>
      </c>
      <c r="D438" s="85" t="s">
        <v>502</v>
      </c>
      <c r="E438" s="94">
        <v>0</v>
      </c>
      <c r="F438" s="85" t="s">
        <v>33</v>
      </c>
      <c r="G438" s="85"/>
      <c r="H438" s="85"/>
      <c r="I438" s="85"/>
      <c r="J438" s="91"/>
      <c r="K438" s="91"/>
      <c r="L438" s="91"/>
      <c r="M438" s="87">
        <v>40286</v>
      </c>
      <c r="N438" s="92" t="s">
        <v>1355</v>
      </c>
    </row>
    <row r="439" spans="1:14" s="84" customFormat="1" x14ac:dyDescent="0.25">
      <c r="A439">
        <v>437</v>
      </c>
      <c r="B439" s="85" t="s">
        <v>521</v>
      </c>
      <c r="C439" s="85" t="s">
        <v>80</v>
      </c>
      <c r="D439" s="85" t="s">
        <v>502</v>
      </c>
      <c r="E439" s="96">
        <v>85</v>
      </c>
      <c r="F439" s="85" t="s">
        <v>33</v>
      </c>
      <c r="G439" s="85"/>
      <c r="H439" s="85"/>
      <c r="I439" s="85"/>
      <c r="J439" s="91"/>
      <c r="K439" s="91"/>
      <c r="L439" s="91"/>
      <c r="M439" s="87">
        <v>39873</v>
      </c>
      <c r="N439" s="92"/>
    </row>
    <row r="440" spans="1:14" s="84" customFormat="1" ht="30" x14ac:dyDescent="0.25">
      <c r="A440">
        <v>438</v>
      </c>
      <c r="B440" s="85" t="s">
        <v>523</v>
      </c>
      <c r="C440" s="85" t="s">
        <v>505</v>
      </c>
      <c r="D440" s="85" t="s">
        <v>11</v>
      </c>
      <c r="E440" s="96">
        <v>110</v>
      </c>
      <c r="F440" s="85" t="s">
        <v>33</v>
      </c>
      <c r="G440" s="85"/>
      <c r="H440" s="85"/>
      <c r="I440" s="85"/>
      <c r="J440" s="91"/>
      <c r="K440" s="91"/>
      <c r="L440" s="91"/>
      <c r="M440" s="87">
        <v>39924</v>
      </c>
      <c r="N440" s="92" t="s">
        <v>524</v>
      </c>
    </row>
    <row r="441" spans="1:14" s="84" customFormat="1" x14ac:dyDescent="0.25">
      <c r="A441">
        <v>439</v>
      </c>
      <c r="B441" s="85" t="s">
        <v>522</v>
      </c>
      <c r="C441" s="85" t="s">
        <v>80</v>
      </c>
      <c r="D441" s="85" t="s">
        <v>11</v>
      </c>
      <c r="E441" s="96">
        <v>360</v>
      </c>
      <c r="F441" s="85" t="s">
        <v>33</v>
      </c>
      <c r="G441" s="85"/>
      <c r="H441" s="85"/>
      <c r="I441" s="85"/>
      <c r="J441" s="91"/>
      <c r="K441" s="91"/>
      <c r="L441" s="91"/>
      <c r="M441" s="87">
        <v>39873</v>
      </c>
      <c r="N441" s="92"/>
    </row>
    <row r="442" spans="1:14" s="84" customFormat="1" x14ac:dyDescent="0.25">
      <c r="A442">
        <v>440</v>
      </c>
      <c r="B442" s="85" t="s">
        <v>1356</v>
      </c>
      <c r="C442" s="85" t="s">
        <v>137</v>
      </c>
      <c r="D442" s="85" t="s">
        <v>11</v>
      </c>
      <c r="E442" s="96">
        <v>61</v>
      </c>
      <c r="F442" s="85" t="s">
        <v>33</v>
      </c>
      <c r="G442" s="85"/>
      <c r="H442" s="85"/>
      <c r="I442" s="85"/>
      <c r="J442" s="91"/>
      <c r="K442" s="91"/>
      <c r="L442" s="91"/>
      <c r="M442" s="87">
        <v>40286</v>
      </c>
      <c r="N442" s="92"/>
    </row>
    <row r="443" spans="1:14" s="84" customFormat="1" x14ac:dyDescent="0.25">
      <c r="A443">
        <v>441</v>
      </c>
      <c r="B443" s="85" t="s">
        <v>525</v>
      </c>
      <c r="C443" s="92" t="s">
        <v>30</v>
      </c>
      <c r="D443" s="92" t="s">
        <v>526</v>
      </c>
      <c r="E443" s="115" t="s">
        <v>374</v>
      </c>
      <c r="F443" s="92" t="s">
        <v>36</v>
      </c>
      <c r="G443" s="92"/>
      <c r="H443" s="92">
        <v>1.1000000000000001</v>
      </c>
      <c r="I443" s="92">
        <v>0.22</v>
      </c>
      <c r="J443" s="85">
        <v>0</v>
      </c>
      <c r="K443" s="91"/>
      <c r="L443" s="85">
        <f>H443*J443+I443</f>
        <v>0.22</v>
      </c>
      <c r="M443" s="95">
        <v>39880</v>
      </c>
      <c r="N443" s="92" t="s">
        <v>527</v>
      </c>
    </row>
    <row r="444" spans="1:14" s="84" customFormat="1" x14ac:dyDescent="0.25">
      <c r="A444">
        <v>442</v>
      </c>
      <c r="B444" s="85" t="s">
        <v>528</v>
      </c>
      <c r="C444" s="92" t="s">
        <v>30</v>
      </c>
      <c r="D444" s="92" t="s">
        <v>526</v>
      </c>
      <c r="E444" s="115" t="s">
        <v>41</v>
      </c>
      <c r="F444" s="92" t="s">
        <v>36</v>
      </c>
      <c r="G444" s="92"/>
      <c r="H444" s="92">
        <v>0.02</v>
      </c>
      <c r="I444" s="92">
        <v>2.23</v>
      </c>
      <c r="J444" s="85">
        <v>0</v>
      </c>
      <c r="K444" s="85">
        <v>0</v>
      </c>
      <c r="L444" s="88">
        <f>H444*J444*K444+I444</f>
        <v>2.23</v>
      </c>
      <c r="M444" s="95">
        <v>39880</v>
      </c>
      <c r="N444" s="92" t="s">
        <v>529</v>
      </c>
    </row>
    <row r="445" spans="1:14" s="84" customFormat="1" x14ac:dyDescent="0.25">
      <c r="A445">
        <v>443</v>
      </c>
      <c r="B445" s="85" t="s">
        <v>1552</v>
      </c>
      <c r="C445" s="85" t="s">
        <v>30</v>
      </c>
      <c r="D445" s="85" t="s">
        <v>526</v>
      </c>
      <c r="E445" s="94" t="s">
        <v>374</v>
      </c>
      <c r="F445" s="85" t="s">
        <v>36</v>
      </c>
      <c r="G445" s="92"/>
      <c r="H445" s="92">
        <v>0.17599999999999999</v>
      </c>
      <c r="I445" s="92">
        <v>5.6000000000000001E-2</v>
      </c>
      <c r="J445" s="85">
        <v>0</v>
      </c>
      <c r="K445" s="91"/>
      <c r="L445" s="85">
        <f>H445*J445+I445</f>
        <v>5.6000000000000001E-2</v>
      </c>
      <c r="M445" s="95">
        <v>39883</v>
      </c>
      <c r="N445" s="92" t="s">
        <v>530</v>
      </c>
    </row>
    <row r="446" spans="1:14" s="84" customFormat="1" x14ac:dyDescent="0.25">
      <c r="A446">
        <v>444</v>
      </c>
      <c r="B446" s="85" t="s">
        <v>531</v>
      </c>
      <c r="C446" s="85" t="s">
        <v>30</v>
      </c>
      <c r="D446" s="85" t="s">
        <v>526</v>
      </c>
      <c r="E446" s="94">
        <v>0.5</v>
      </c>
      <c r="F446" s="85"/>
      <c r="G446" s="92"/>
      <c r="H446" s="92"/>
      <c r="I446" s="92"/>
      <c r="J446" s="91"/>
      <c r="K446" s="91"/>
      <c r="L446" s="91"/>
      <c r="M446" s="95">
        <v>39922</v>
      </c>
      <c r="N446" s="92" t="s">
        <v>532</v>
      </c>
    </row>
    <row r="447" spans="1:14" s="84" customFormat="1" x14ac:dyDescent="0.25">
      <c r="A447">
        <v>445</v>
      </c>
      <c r="B447" s="85" t="s">
        <v>1551</v>
      </c>
      <c r="C447" s="85" t="s">
        <v>30</v>
      </c>
      <c r="D447" s="85" t="s">
        <v>526</v>
      </c>
      <c r="E447" s="94" t="s">
        <v>41</v>
      </c>
      <c r="F447" s="85" t="s">
        <v>36</v>
      </c>
      <c r="G447" s="92" t="s">
        <v>36</v>
      </c>
      <c r="H447" s="92">
        <v>3.2000000000000001E-2</v>
      </c>
      <c r="I447" s="92">
        <v>1.33</v>
      </c>
      <c r="J447" s="85">
        <v>0</v>
      </c>
      <c r="K447" s="85">
        <v>0</v>
      </c>
      <c r="L447" s="88">
        <f>H447*J447*K447+I447</f>
        <v>1.33</v>
      </c>
      <c r="M447" s="95">
        <v>39901</v>
      </c>
      <c r="N447" s="92" t="s">
        <v>533</v>
      </c>
    </row>
    <row r="448" spans="1:14" s="84" customFormat="1" x14ac:dyDescent="0.25">
      <c r="A448">
        <v>446</v>
      </c>
      <c r="B448" s="85" t="s">
        <v>534</v>
      </c>
      <c r="C448" s="85" t="s">
        <v>30</v>
      </c>
      <c r="D448" s="85" t="s">
        <v>526</v>
      </c>
      <c r="E448" s="94">
        <v>0.5</v>
      </c>
      <c r="F448" s="85"/>
      <c r="G448" s="92"/>
      <c r="H448" s="92"/>
      <c r="I448" s="92"/>
      <c r="J448" s="91"/>
      <c r="K448" s="91"/>
      <c r="L448" s="91"/>
      <c r="M448" s="95">
        <v>39922</v>
      </c>
      <c r="N448" s="92" t="s">
        <v>532</v>
      </c>
    </row>
    <row r="449" spans="1:14" s="84" customFormat="1" x14ac:dyDescent="0.25">
      <c r="A449">
        <v>447</v>
      </c>
      <c r="B449" s="85" t="s">
        <v>1550</v>
      </c>
      <c r="C449" s="85" t="s">
        <v>30</v>
      </c>
      <c r="D449" s="85" t="s">
        <v>526</v>
      </c>
      <c r="E449" s="94" t="s">
        <v>41</v>
      </c>
      <c r="F449" s="85" t="s">
        <v>36</v>
      </c>
      <c r="G449" s="92" t="s">
        <v>36</v>
      </c>
      <c r="H449" s="92">
        <v>4.8000000000000001E-2</v>
      </c>
      <c r="I449" s="92">
        <v>1.9950000000000001</v>
      </c>
      <c r="J449" s="85">
        <v>0</v>
      </c>
      <c r="K449" s="85">
        <v>0</v>
      </c>
      <c r="L449" s="88">
        <f t="shared" ref="L449:L489" si="1">H449*J449*K449+I449</f>
        <v>1.9950000000000001</v>
      </c>
      <c r="M449" s="95">
        <v>39901</v>
      </c>
      <c r="N449" s="92" t="s">
        <v>533</v>
      </c>
    </row>
    <row r="450" spans="1:14" s="84" customFormat="1" x14ac:dyDescent="0.25">
      <c r="A450">
        <v>448</v>
      </c>
      <c r="B450" s="85" t="s">
        <v>1549</v>
      </c>
      <c r="C450" s="85" t="s">
        <v>30</v>
      </c>
      <c r="D450" s="85" t="s">
        <v>526</v>
      </c>
      <c r="E450" s="94" t="s">
        <v>41</v>
      </c>
      <c r="F450" s="85" t="s">
        <v>36</v>
      </c>
      <c r="G450" s="92" t="s">
        <v>36</v>
      </c>
      <c r="H450" s="92">
        <v>1.55E-2</v>
      </c>
      <c r="I450" s="92">
        <v>5.82</v>
      </c>
      <c r="J450" s="85">
        <v>0</v>
      </c>
      <c r="K450" s="85">
        <v>0</v>
      </c>
      <c r="L450" s="137">
        <f t="shared" si="1"/>
        <v>5.82</v>
      </c>
      <c r="M450" s="95">
        <v>39883</v>
      </c>
      <c r="N450" s="92" t="s">
        <v>535</v>
      </c>
    </row>
    <row r="451" spans="1:14" s="84" customFormat="1" x14ac:dyDescent="0.25">
      <c r="A451">
        <v>449</v>
      </c>
      <c r="B451" s="85" t="s">
        <v>1548</v>
      </c>
      <c r="C451" s="85" t="s">
        <v>30</v>
      </c>
      <c r="D451" s="85" t="s">
        <v>526</v>
      </c>
      <c r="E451" s="94" t="s">
        <v>41</v>
      </c>
      <c r="F451" s="85" t="s">
        <v>36</v>
      </c>
      <c r="G451" s="92" t="s">
        <v>36</v>
      </c>
      <c r="H451" s="92">
        <v>1.9E-2</v>
      </c>
      <c r="I451" s="92">
        <v>10.67</v>
      </c>
      <c r="J451" s="85">
        <v>0</v>
      </c>
      <c r="K451" s="85">
        <v>0</v>
      </c>
      <c r="L451" s="137">
        <f t="shared" si="1"/>
        <v>10.67</v>
      </c>
      <c r="M451" s="95">
        <v>39883</v>
      </c>
      <c r="N451" s="92" t="s">
        <v>536</v>
      </c>
    </row>
    <row r="452" spans="1:14" s="84" customFormat="1" x14ac:dyDescent="0.25">
      <c r="A452">
        <v>450</v>
      </c>
      <c r="B452" s="85" t="s">
        <v>1547</v>
      </c>
      <c r="C452" s="85" t="s">
        <v>30</v>
      </c>
      <c r="D452" s="85" t="s">
        <v>526</v>
      </c>
      <c r="E452" s="94" t="s">
        <v>41</v>
      </c>
      <c r="F452" s="85" t="s">
        <v>36</v>
      </c>
      <c r="G452" s="92" t="s">
        <v>36</v>
      </c>
      <c r="H452" s="92">
        <v>1.55E-2</v>
      </c>
      <c r="I452" s="92">
        <v>15.24</v>
      </c>
      <c r="J452" s="85">
        <v>0</v>
      </c>
      <c r="K452" s="85">
        <v>0</v>
      </c>
      <c r="L452" s="88">
        <f t="shared" si="1"/>
        <v>15.24</v>
      </c>
      <c r="M452" s="95">
        <v>39883</v>
      </c>
      <c r="N452" s="92" t="s">
        <v>536</v>
      </c>
    </row>
    <row r="453" spans="1:14" s="84" customFormat="1" x14ac:dyDescent="0.25">
      <c r="A453">
        <v>451</v>
      </c>
      <c r="B453" s="85" t="s">
        <v>1546</v>
      </c>
      <c r="C453" s="85" t="s">
        <v>30</v>
      </c>
      <c r="D453" s="85" t="s">
        <v>526</v>
      </c>
      <c r="E453" s="94" t="s">
        <v>41</v>
      </c>
      <c r="F453" s="85" t="s">
        <v>36</v>
      </c>
      <c r="G453" s="92" t="s">
        <v>36</v>
      </c>
      <c r="H453" s="92">
        <v>1.4E-2</v>
      </c>
      <c r="I453" s="92">
        <v>10.54</v>
      </c>
      <c r="J453" s="85">
        <v>0</v>
      </c>
      <c r="K453" s="85">
        <v>0</v>
      </c>
      <c r="L453" s="137">
        <f t="shared" si="1"/>
        <v>10.54</v>
      </c>
      <c r="M453" s="95">
        <v>39883</v>
      </c>
      <c r="N453" s="92" t="s">
        <v>536</v>
      </c>
    </row>
    <row r="454" spans="1:14" s="84" customFormat="1" x14ac:dyDescent="0.25">
      <c r="A454">
        <v>452</v>
      </c>
      <c r="B454" s="85" t="s">
        <v>1545</v>
      </c>
      <c r="C454" s="85" t="s">
        <v>30</v>
      </c>
      <c r="D454" s="85" t="s">
        <v>526</v>
      </c>
      <c r="E454" s="94" t="s">
        <v>41</v>
      </c>
      <c r="F454" s="85" t="s">
        <v>36</v>
      </c>
      <c r="G454" s="92" t="s">
        <v>36</v>
      </c>
      <c r="H454" s="92">
        <v>1.4999999999999999E-2</v>
      </c>
      <c r="I454" s="92">
        <v>12.91</v>
      </c>
      <c r="J454" s="85">
        <v>0</v>
      </c>
      <c r="K454" s="85">
        <v>0</v>
      </c>
      <c r="L454" s="88">
        <f t="shared" si="1"/>
        <v>12.91</v>
      </c>
      <c r="M454" s="95">
        <v>39883</v>
      </c>
      <c r="N454" s="92" t="s">
        <v>536</v>
      </c>
    </row>
    <row r="455" spans="1:14" s="84" customFormat="1" x14ac:dyDescent="0.25">
      <c r="A455">
        <v>453</v>
      </c>
      <c r="B455" s="85" t="s">
        <v>1544</v>
      </c>
      <c r="C455" s="85" t="s">
        <v>30</v>
      </c>
      <c r="D455" s="85" t="s">
        <v>526</v>
      </c>
      <c r="E455" s="94" t="s">
        <v>41</v>
      </c>
      <c r="F455" s="85" t="s">
        <v>36</v>
      </c>
      <c r="G455" s="92" t="s">
        <v>36</v>
      </c>
      <c r="H455" s="92">
        <v>8.0000000000000002E-3</v>
      </c>
      <c r="I455" s="92">
        <v>3.3</v>
      </c>
      <c r="J455" s="85">
        <v>0</v>
      </c>
      <c r="K455" s="85">
        <v>0</v>
      </c>
      <c r="L455" s="88">
        <f t="shared" si="1"/>
        <v>3.3</v>
      </c>
      <c r="M455" s="95">
        <v>39883</v>
      </c>
      <c r="N455" s="92" t="s">
        <v>535</v>
      </c>
    </row>
    <row r="456" spans="1:14" s="84" customFormat="1" x14ac:dyDescent="0.25">
      <c r="A456">
        <v>454</v>
      </c>
      <c r="B456" s="85" t="s">
        <v>1543</v>
      </c>
      <c r="C456" s="85" t="s">
        <v>30</v>
      </c>
      <c r="D456" s="85" t="s">
        <v>526</v>
      </c>
      <c r="E456" s="94" t="s">
        <v>41</v>
      </c>
      <c r="F456" s="85" t="s">
        <v>36</v>
      </c>
      <c r="G456" s="92" t="s">
        <v>36</v>
      </c>
      <c r="H456" s="92">
        <v>7.1999999999999998E-3</v>
      </c>
      <c r="I456" s="92">
        <v>5.47</v>
      </c>
      <c r="J456" s="85">
        <v>0</v>
      </c>
      <c r="K456" s="85">
        <v>0</v>
      </c>
      <c r="L456" s="88">
        <f t="shared" si="1"/>
        <v>5.47</v>
      </c>
      <c r="M456" s="95">
        <v>39883</v>
      </c>
      <c r="N456" s="92" t="s">
        <v>535</v>
      </c>
    </row>
    <row r="457" spans="1:14" s="84" customFormat="1" x14ac:dyDescent="0.25">
      <c r="A457">
        <v>455</v>
      </c>
      <c r="B457" s="85" t="s">
        <v>1542</v>
      </c>
      <c r="C457" s="85" t="s">
        <v>30</v>
      </c>
      <c r="D457" s="85" t="s">
        <v>526</v>
      </c>
      <c r="E457" s="94" t="s">
        <v>41</v>
      </c>
      <c r="F457" s="85" t="s">
        <v>36</v>
      </c>
      <c r="G457" s="92" t="s">
        <v>36</v>
      </c>
      <c r="H457" s="92">
        <v>2.4E-2</v>
      </c>
      <c r="I457" s="92">
        <v>2.36</v>
      </c>
      <c r="J457" s="85">
        <v>0</v>
      </c>
      <c r="K457" s="85">
        <v>0</v>
      </c>
      <c r="L457" s="88">
        <f t="shared" si="1"/>
        <v>2.36</v>
      </c>
      <c r="M457" s="95">
        <v>39883</v>
      </c>
      <c r="N457" s="92" t="s">
        <v>535</v>
      </c>
    </row>
    <row r="458" spans="1:14" s="84" customFormat="1" x14ac:dyDescent="0.25">
      <c r="A458">
        <v>456</v>
      </c>
      <c r="B458" s="85" t="s">
        <v>1541</v>
      </c>
      <c r="C458" s="85" t="s">
        <v>30</v>
      </c>
      <c r="D458" s="85" t="s">
        <v>526</v>
      </c>
      <c r="E458" s="94" t="s">
        <v>41</v>
      </c>
      <c r="F458" s="85" t="s">
        <v>36</v>
      </c>
      <c r="G458" s="92" t="s">
        <v>36</v>
      </c>
      <c r="H458" s="92">
        <v>2.4E-2</v>
      </c>
      <c r="I458" s="92">
        <v>2.36</v>
      </c>
      <c r="J458" s="85">
        <v>0</v>
      </c>
      <c r="K458" s="85">
        <v>0</v>
      </c>
      <c r="L458" s="88">
        <f t="shared" si="1"/>
        <v>2.36</v>
      </c>
      <c r="M458" s="95">
        <v>39883</v>
      </c>
      <c r="N458" s="92" t="s">
        <v>535</v>
      </c>
    </row>
    <row r="459" spans="1:14" s="84" customFormat="1" x14ac:dyDescent="0.25">
      <c r="A459">
        <v>457</v>
      </c>
      <c r="B459" s="85" t="s">
        <v>1540</v>
      </c>
      <c r="C459" s="85" t="s">
        <v>30</v>
      </c>
      <c r="D459" s="85" t="s">
        <v>526</v>
      </c>
      <c r="E459" s="94" t="s">
        <v>41</v>
      </c>
      <c r="F459" s="85" t="s">
        <v>36</v>
      </c>
      <c r="G459" s="92" t="s">
        <v>36</v>
      </c>
      <c r="H459" s="92">
        <v>1.2999999999999999E-2</v>
      </c>
      <c r="I459" s="92">
        <v>6.47</v>
      </c>
      <c r="J459" s="85">
        <v>0</v>
      </c>
      <c r="K459" s="85">
        <v>0</v>
      </c>
      <c r="L459" s="88">
        <f t="shared" si="1"/>
        <v>6.47</v>
      </c>
      <c r="M459" s="95">
        <v>39883</v>
      </c>
      <c r="N459" s="92" t="s">
        <v>535</v>
      </c>
    </row>
    <row r="460" spans="1:14" s="84" customFormat="1" x14ac:dyDescent="0.25">
      <c r="A460">
        <v>458</v>
      </c>
      <c r="B460" s="85" t="s">
        <v>1539</v>
      </c>
      <c r="C460" s="85" t="s">
        <v>30</v>
      </c>
      <c r="D460" s="85" t="s">
        <v>526</v>
      </c>
      <c r="E460" s="94" t="s">
        <v>41</v>
      </c>
      <c r="F460" s="85" t="s">
        <v>36</v>
      </c>
      <c r="G460" s="92" t="s">
        <v>36</v>
      </c>
      <c r="H460" s="92">
        <v>0.01</v>
      </c>
      <c r="I460" s="92">
        <v>12.15</v>
      </c>
      <c r="J460" s="85">
        <v>0</v>
      </c>
      <c r="K460" s="85">
        <v>0</v>
      </c>
      <c r="L460" s="88">
        <f t="shared" si="1"/>
        <v>12.15</v>
      </c>
      <c r="M460" s="95">
        <v>39883</v>
      </c>
      <c r="N460" s="92" t="s">
        <v>535</v>
      </c>
    </row>
    <row r="461" spans="1:14" s="84" customFormat="1" ht="30" x14ac:dyDescent="0.25">
      <c r="A461">
        <v>459</v>
      </c>
      <c r="B461" s="85" t="s">
        <v>1538</v>
      </c>
      <c r="C461" s="85" t="s">
        <v>30</v>
      </c>
      <c r="D461" s="85" t="s">
        <v>526</v>
      </c>
      <c r="E461" s="94" t="s">
        <v>41</v>
      </c>
      <c r="F461" s="85" t="s">
        <v>36</v>
      </c>
      <c r="G461" s="92" t="s">
        <v>36</v>
      </c>
      <c r="H461" s="92">
        <v>0.14399999999999999</v>
      </c>
      <c r="I461" s="92">
        <v>8.6300000000000008</v>
      </c>
      <c r="J461" s="85">
        <v>0</v>
      </c>
      <c r="K461" s="85">
        <v>0</v>
      </c>
      <c r="L461" s="88">
        <f t="shared" si="1"/>
        <v>8.6300000000000008</v>
      </c>
      <c r="M461" s="95">
        <v>39883</v>
      </c>
      <c r="N461" s="92" t="s">
        <v>535</v>
      </c>
    </row>
    <row r="462" spans="1:14" s="84" customFormat="1" x14ac:dyDescent="0.25">
      <c r="A462">
        <v>460</v>
      </c>
      <c r="B462" s="85" t="s">
        <v>1537</v>
      </c>
      <c r="C462" s="85" t="s">
        <v>30</v>
      </c>
      <c r="D462" s="85" t="s">
        <v>526</v>
      </c>
      <c r="E462" s="94" t="s">
        <v>41</v>
      </c>
      <c r="F462" s="85" t="s">
        <v>36</v>
      </c>
      <c r="G462" s="92" t="s">
        <v>36</v>
      </c>
      <c r="H462" s="92">
        <v>2.4E-2</v>
      </c>
      <c r="I462" s="92">
        <v>7.55</v>
      </c>
      <c r="J462" s="85">
        <v>0</v>
      </c>
      <c r="K462" s="85">
        <v>0</v>
      </c>
      <c r="L462" s="88">
        <f t="shared" si="1"/>
        <v>7.55</v>
      </c>
      <c r="M462" s="95">
        <v>39883</v>
      </c>
      <c r="N462" s="92" t="s">
        <v>536</v>
      </c>
    </row>
    <row r="463" spans="1:14" s="84" customFormat="1" x14ac:dyDescent="0.25">
      <c r="A463">
        <v>461</v>
      </c>
      <c r="B463" s="85" t="s">
        <v>1536</v>
      </c>
      <c r="C463" s="85" t="s">
        <v>30</v>
      </c>
      <c r="D463" s="85" t="s">
        <v>526</v>
      </c>
      <c r="E463" s="94" t="s">
        <v>41</v>
      </c>
      <c r="F463" s="85" t="s">
        <v>36</v>
      </c>
      <c r="G463" s="92" t="s">
        <v>36</v>
      </c>
      <c r="H463" s="92">
        <v>0.01</v>
      </c>
      <c r="I463" s="92">
        <v>3.02</v>
      </c>
      <c r="J463" s="85">
        <v>0</v>
      </c>
      <c r="K463" s="85">
        <v>0</v>
      </c>
      <c r="L463" s="88">
        <f t="shared" si="1"/>
        <v>3.02</v>
      </c>
      <c r="M463" s="95">
        <v>40617</v>
      </c>
      <c r="N463" s="92" t="s">
        <v>536</v>
      </c>
    </row>
    <row r="464" spans="1:14" s="84" customFormat="1" x14ac:dyDescent="0.25">
      <c r="A464">
        <v>462</v>
      </c>
      <c r="B464" s="85" t="s">
        <v>1535</v>
      </c>
      <c r="C464" s="85" t="s">
        <v>30</v>
      </c>
      <c r="D464" s="85" t="s">
        <v>526</v>
      </c>
      <c r="E464" s="94" t="s">
        <v>41</v>
      </c>
      <c r="F464" s="85" t="s">
        <v>36</v>
      </c>
      <c r="G464" s="92" t="s">
        <v>36</v>
      </c>
      <c r="H464" s="92">
        <v>7.0000000000000007E-2</v>
      </c>
      <c r="I464" s="92">
        <v>13.1</v>
      </c>
      <c r="J464" s="85">
        <v>0</v>
      </c>
      <c r="K464" s="85">
        <v>0</v>
      </c>
      <c r="L464" s="88">
        <f t="shared" si="1"/>
        <v>13.1</v>
      </c>
      <c r="M464" s="95">
        <v>39883</v>
      </c>
      <c r="N464" s="92" t="s">
        <v>536</v>
      </c>
    </row>
    <row r="465" spans="1:14" s="84" customFormat="1" x14ac:dyDescent="0.25">
      <c r="A465">
        <v>463</v>
      </c>
      <c r="B465" s="85" t="s">
        <v>1534</v>
      </c>
      <c r="C465" s="85" t="s">
        <v>30</v>
      </c>
      <c r="D465" s="85" t="s">
        <v>526</v>
      </c>
      <c r="E465" s="94" t="s">
        <v>41</v>
      </c>
      <c r="F465" s="85" t="s">
        <v>36</v>
      </c>
      <c r="G465" s="92" t="s">
        <v>36</v>
      </c>
      <c r="H465" s="92">
        <v>1.7999999999999999E-2</v>
      </c>
      <c r="I465" s="92">
        <v>6.45</v>
      </c>
      <c r="J465" s="85">
        <v>0</v>
      </c>
      <c r="K465" s="85">
        <v>0</v>
      </c>
      <c r="L465" s="88">
        <f t="shared" si="1"/>
        <v>6.45</v>
      </c>
      <c r="M465" s="95">
        <v>39883</v>
      </c>
      <c r="N465" s="92" t="s">
        <v>535</v>
      </c>
    </row>
    <row r="466" spans="1:14" s="84" customFormat="1" x14ac:dyDescent="0.25">
      <c r="A466">
        <v>464</v>
      </c>
      <c r="B466" s="85" t="s">
        <v>1533</v>
      </c>
      <c r="C466" s="85" t="s">
        <v>30</v>
      </c>
      <c r="D466" s="85" t="s">
        <v>526</v>
      </c>
      <c r="E466" s="94" t="s">
        <v>41</v>
      </c>
      <c r="F466" s="85" t="s">
        <v>36</v>
      </c>
      <c r="G466" s="92" t="s">
        <v>36</v>
      </c>
      <c r="H466" s="92">
        <v>0.08</v>
      </c>
      <c r="I466" s="92">
        <v>8.92</v>
      </c>
      <c r="J466" s="85">
        <v>0</v>
      </c>
      <c r="K466" s="85">
        <v>0</v>
      </c>
      <c r="L466" s="88">
        <f t="shared" si="1"/>
        <v>8.92</v>
      </c>
      <c r="M466" s="95">
        <v>39883</v>
      </c>
      <c r="N466" s="92" t="s">
        <v>536</v>
      </c>
    </row>
    <row r="467" spans="1:14" s="84" customFormat="1" x14ac:dyDescent="0.25">
      <c r="A467">
        <v>465</v>
      </c>
      <c r="B467" s="85" t="s">
        <v>1532</v>
      </c>
      <c r="C467" s="85" t="s">
        <v>30</v>
      </c>
      <c r="D467" s="85" t="s">
        <v>526</v>
      </c>
      <c r="E467" s="94" t="s">
        <v>41</v>
      </c>
      <c r="F467" s="85" t="s">
        <v>36</v>
      </c>
      <c r="G467" s="92" t="s">
        <v>36</v>
      </c>
      <c r="H467" s="92">
        <v>4.0000000000000001E-3</v>
      </c>
      <c r="I467" s="92">
        <v>4.34</v>
      </c>
      <c r="J467" s="85">
        <v>0</v>
      </c>
      <c r="K467" s="85">
        <v>0</v>
      </c>
      <c r="L467" s="88">
        <f t="shared" si="1"/>
        <v>4.34</v>
      </c>
      <c r="M467" s="95">
        <v>39883</v>
      </c>
      <c r="N467" s="92" t="s">
        <v>535</v>
      </c>
    </row>
    <row r="468" spans="1:14" s="84" customFormat="1" x14ac:dyDescent="0.25">
      <c r="A468">
        <v>466</v>
      </c>
      <c r="B468" s="85" t="s">
        <v>1531</v>
      </c>
      <c r="C468" s="85" t="s">
        <v>30</v>
      </c>
      <c r="D468" s="85" t="s">
        <v>526</v>
      </c>
      <c r="E468" s="94" t="s">
        <v>41</v>
      </c>
      <c r="F468" s="85" t="s">
        <v>36</v>
      </c>
      <c r="G468" s="92" t="s">
        <v>36</v>
      </c>
      <c r="H468" s="92">
        <v>1.6000000000000001E-3</v>
      </c>
      <c r="I468" s="92">
        <v>1.74</v>
      </c>
      <c r="J468" s="85">
        <v>0</v>
      </c>
      <c r="K468" s="85">
        <v>0</v>
      </c>
      <c r="L468" s="88">
        <f t="shared" si="1"/>
        <v>1.74</v>
      </c>
      <c r="M468" s="95">
        <v>39883</v>
      </c>
      <c r="N468" s="92" t="s">
        <v>535</v>
      </c>
    </row>
    <row r="469" spans="1:14" s="84" customFormat="1" x14ac:dyDescent="0.25">
      <c r="A469">
        <v>467</v>
      </c>
      <c r="B469" s="85" t="s">
        <v>1530</v>
      </c>
      <c r="C469" s="85" t="s">
        <v>30</v>
      </c>
      <c r="D469" s="85" t="s">
        <v>526</v>
      </c>
      <c r="E469" s="94" t="s">
        <v>41</v>
      </c>
      <c r="F469" s="85" t="s">
        <v>36</v>
      </c>
      <c r="G469" s="92" t="s">
        <v>36</v>
      </c>
      <c r="H469" s="92">
        <v>5.9999999999999995E-4</v>
      </c>
      <c r="I469" s="92">
        <v>1.47</v>
      </c>
      <c r="J469" s="85">
        <v>0</v>
      </c>
      <c r="K469" s="85">
        <v>0</v>
      </c>
      <c r="L469" s="88">
        <f t="shared" si="1"/>
        <v>1.47</v>
      </c>
      <c r="M469" s="95">
        <v>39883</v>
      </c>
      <c r="N469" s="92" t="s">
        <v>535</v>
      </c>
    </row>
    <row r="470" spans="1:14" s="84" customFormat="1" x14ac:dyDescent="0.25">
      <c r="A470">
        <v>468</v>
      </c>
      <c r="B470" s="85" t="s">
        <v>1529</v>
      </c>
      <c r="C470" s="85" t="s">
        <v>30</v>
      </c>
      <c r="D470" s="85" t="s">
        <v>526</v>
      </c>
      <c r="E470" s="94" t="s">
        <v>41</v>
      </c>
      <c r="F470" s="85" t="s">
        <v>36</v>
      </c>
      <c r="G470" s="92" t="s">
        <v>36</v>
      </c>
      <c r="H470" s="92">
        <v>2.0000000000000001E-4</v>
      </c>
      <c r="I470" s="92">
        <v>11.55</v>
      </c>
      <c r="J470" s="85">
        <v>0</v>
      </c>
      <c r="K470" s="85">
        <v>0</v>
      </c>
      <c r="L470" s="88">
        <f t="shared" si="1"/>
        <v>11.55</v>
      </c>
      <c r="M470" s="95">
        <v>39883</v>
      </c>
      <c r="N470" s="92" t="s">
        <v>535</v>
      </c>
    </row>
    <row r="471" spans="1:14" s="84" customFormat="1" x14ac:dyDescent="0.25">
      <c r="A471">
        <v>469</v>
      </c>
      <c r="B471" s="85" t="s">
        <v>1528</v>
      </c>
      <c r="C471" s="85" t="s">
        <v>30</v>
      </c>
      <c r="D471" s="85" t="s">
        <v>526</v>
      </c>
      <c r="E471" s="94" t="s">
        <v>41</v>
      </c>
      <c r="F471" s="85" t="s">
        <v>36</v>
      </c>
      <c r="G471" s="92" t="s">
        <v>36</v>
      </c>
      <c r="H471" s="92">
        <v>4.0000000000000002E-4</v>
      </c>
      <c r="I471" s="92">
        <v>18.59</v>
      </c>
      <c r="J471" s="85">
        <v>0</v>
      </c>
      <c r="K471" s="85">
        <v>0</v>
      </c>
      <c r="L471" s="88">
        <f t="shared" si="1"/>
        <v>18.59</v>
      </c>
      <c r="M471" s="95">
        <v>39883</v>
      </c>
      <c r="N471" s="92" t="s">
        <v>535</v>
      </c>
    </row>
    <row r="472" spans="1:14" s="84" customFormat="1" x14ac:dyDescent="0.25">
      <c r="A472">
        <v>470</v>
      </c>
      <c r="B472" s="85" t="s">
        <v>1527</v>
      </c>
      <c r="C472" s="85" t="s">
        <v>30</v>
      </c>
      <c r="D472" s="85" t="s">
        <v>526</v>
      </c>
      <c r="E472" s="94" t="s">
        <v>41</v>
      </c>
      <c r="F472" s="85" t="s">
        <v>36</v>
      </c>
      <c r="G472" s="92" t="s">
        <v>36</v>
      </c>
      <c r="H472" s="92">
        <v>5.9999999999999995E-4</v>
      </c>
      <c r="I472" s="92">
        <v>6.78</v>
      </c>
      <c r="J472" s="85">
        <v>0</v>
      </c>
      <c r="K472" s="85">
        <v>0</v>
      </c>
      <c r="L472" s="137">
        <f t="shared" si="1"/>
        <v>6.78</v>
      </c>
      <c r="M472" s="95">
        <v>39883</v>
      </c>
      <c r="N472" s="92" t="s">
        <v>535</v>
      </c>
    </row>
    <row r="473" spans="1:14" s="84" customFormat="1" x14ac:dyDescent="0.25">
      <c r="A473">
        <v>471</v>
      </c>
      <c r="B473" s="121" t="s">
        <v>1526</v>
      </c>
      <c r="C473" s="85" t="s">
        <v>30</v>
      </c>
      <c r="D473" s="85" t="s">
        <v>526</v>
      </c>
      <c r="E473" s="94" t="s">
        <v>41</v>
      </c>
      <c r="F473" s="85" t="s">
        <v>36</v>
      </c>
      <c r="G473" s="92" t="s">
        <v>36</v>
      </c>
      <c r="H473" s="92">
        <v>4.0000000000000002E-4</v>
      </c>
      <c r="I473" s="92">
        <v>5.28</v>
      </c>
      <c r="J473" s="85">
        <v>0</v>
      </c>
      <c r="K473" s="85">
        <v>0</v>
      </c>
      <c r="L473" s="88">
        <f t="shared" si="1"/>
        <v>5.28</v>
      </c>
      <c r="M473" s="95">
        <v>39883</v>
      </c>
      <c r="N473" s="92" t="s">
        <v>535</v>
      </c>
    </row>
    <row r="474" spans="1:14" s="84" customFormat="1" x14ac:dyDescent="0.25">
      <c r="A474">
        <v>472</v>
      </c>
      <c r="B474" s="121" t="s">
        <v>1525</v>
      </c>
      <c r="C474" s="85" t="s">
        <v>30</v>
      </c>
      <c r="D474" s="85" t="s">
        <v>526</v>
      </c>
      <c r="E474" s="94" t="s">
        <v>41</v>
      </c>
      <c r="F474" s="85" t="s">
        <v>36</v>
      </c>
      <c r="G474" s="92" t="s">
        <v>36</v>
      </c>
      <c r="H474" s="92">
        <v>5.9999999999999995E-4</v>
      </c>
      <c r="I474" s="92">
        <v>9</v>
      </c>
      <c r="J474" s="85">
        <v>0</v>
      </c>
      <c r="K474" s="85">
        <v>0</v>
      </c>
      <c r="L474" s="137">
        <f t="shared" si="1"/>
        <v>9</v>
      </c>
      <c r="M474" s="95">
        <v>39883</v>
      </c>
      <c r="N474" s="92" t="s">
        <v>535</v>
      </c>
    </row>
    <row r="475" spans="1:14" s="84" customFormat="1" x14ac:dyDescent="0.25">
      <c r="A475">
        <v>473</v>
      </c>
      <c r="B475" s="121" t="s">
        <v>1524</v>
      </c>
      <c r="C475" s="85" t="s">
        <v>30</v>
      </c>
      <c r="D475" s="85" t="s">
        <v>526</v>
      </c>
      <c r="E475" s="94" t="s">
        <v>41</v>
      </c>
      <c r="F475" s="85" t="s">
        <v>36</v>
      </c>
      <c r="G475" s="92" t="s">
        <v>36</v>
      </c>
      <c r="H475" s="92">
        <v>2.0000000000000001E-4</v>
      </c>
      <c r="I475" s="92">
        <v>2.11</v>
      </c>
      <c r="J475" s="85">
        <v>0</v>
      </c>
      <c r="K475" s="85">
        <v>0</v>
      </c>
      <c r="L475" s="88">
        <f t="shared" si="1"/>
        <v>2.11</v>
      </c>
      <c r="M475" s="95">
        <v>40670</v>
      </c>
      <c r="N475" s="92" t="s">
        <v>535</v>
      </c>
    </row>
    <row r="476" spans="1:14" s="84" customFormat="1" x14ac:dyDescent="0.25">
      <c r="A476">
        <v>474</v>
      </c>
      <c r="B476" s="85" t="s">
        <v>1523</v>
      </c>
      <c r="C476" s="85" t="s">
        <v>30</v>
      </c>
      <c r="D476" s="85" t="s">
        <v>526</v>
      </c>
      <c r="E476" s="94" t="s">
        <v>41</v>
      </c>
      <c r="F476" s="85" t="s">
        <v>36</v>
      </c>
      <c r="G476" s="92" t="s">
        <v>36</v>
      </c>
      <c r="H476" s="92">
        <v>2.9999999999999997E-4</v>
      </c>
      <c r="I476" s="92">
        <v>1.88</v>
      </c>
      <c r="J476" s="85">
        <v>0</v>
      </c>
      <c r="K476" s="85">
        <v>0</v>
      </c>
      <c r="L476" s="88">
        <f t="shared" si="1"/>
        <v>1.88</v>
      </c>
      <c r="M476" s="95">
        <v>39883</v>
      </c>
      <c r="N476" s="92" t="s">
        <v>535</v>
      </c>
    </row>
    <row r="477" spans="1:14" s="84" customFormat="1" x14ac:dyDescent="0.25">
      <c r="A477">
        <v>475</v>
      </c>
      <c r="B477" s="85" t="s">
        <v>1522</v>
      </c>
      <c r="C477" s="85" t="s">
        <v>30</v>
      </c>
      <c r="D477" s="85" t="s">
        <v>526</v>
      </c>
      <c r="E477" s="94" t="s">
        <v>41</v>
      </c>
      <c r="F477" s="85" t="s">
        <v>36</v>
      </c>
      <c r="G477" s="92" t="s">
        <v>36</v>
      </c>
      <c r="H477" s="92">
        <v>3.5000000000000003E-2</v>
      </c>
      <c r="I477" s="92">
        <v>3.5</v>
      </c>
      <c r="J477" s="85">
        <v>0</v>
      </c>
      <c r="K477" s="85">
        <v>0</v>
      </c>
      <c r="L477" s="88">
        <f t="shared" si="1"/>
        <v>3.5</v>
      </c>
      <c r="M477" s="95">
        <v>39883</v>
      </c>
      <c r="N477" s="92" t="s">
        <v>535</v>
      </c>
    </row>
    <row r="478" spans="1:14" s="84" customFormat="1" x14ac:dyDescent="0.25">
      <c r="A478">
        <v>476</v>
      </c>
      <c r="B478" s="85" t="s">
        <v>1521</v>
      </c>
      <c r="C478" s="85" t="s">
        <v>30</v>
      </c>
      <c r="D478" s="85" t="s">
        <v>526</v>
      </c>
      <c r="E478" s="94" t="s">
        <v>41</v>
      </c>
      <c r="F478" s="85" t="s">
        <v>36</v>
      </c>
      <c r="G478" s="92" t="s">
        <v>36</v>
      </c>
      <c r="H478" s="92">
        <v>6.6000000000000003E-2</v>
      </c>
      <c r="I478" s="92">
        <v>9.7899999999999991</v>
      </c>
      <c r="J478" s="85">
        <v>0</v>
      </c>
      <c r="K478" s="85">
        <v>0</v>
      </c>
      <c r="L478" s="88">
        <f t="shared" si="1"/>
        <v>9.7899999999999991</v>
      </c>
      <c r="M478" s="95">
        <v>39883</v>
      </c>
      <c r="N478" s="92" t="s">
        <v>536</v>
      </c>
    </row>
    <row r="479" spans="1:14" s="84" customFormat="1" x14ac:dyDescent="0.25">
      <c r="A479">
        <v>477</v>
      </c>
      <c r="B479" s="85" t="s">
        <v>1520</v>
      </c>
      <c r="C479" s="85" t="s">
        <v>30</v>
      </c>
      <c r="D479" s="85" t="s">
        <v>526</v>
      </c>
      <c r="E479" s="94" t="s">
        <v>41</v>
      </c>
      <c r="F479" s="85" t="s">
        <v>36</v>
      </c>
      <c r="G479" s="92" t="s">
        <v>36</v>
      </c>
      <c r="H479" s="92">
        <v>6.9000000000000006E-2</v>
      </c>
      <c r="I479" s="92">
        <v>10.98</v>
      </c>
      <c r="J479" s="85">
        <v>0</v>
      </c>
      <c r="K479" s="85">
        <v>0</v>
      </c>
      <c r="L479" s="88">
        <f t="shared" si="1"/>
        <v>10.98</v>
      </c>
      <c r="M479" s="95">
        <v>39883</v>
      </c>
      <c r="N479" s="92" t="s">
        <v>536</v>
      </c>
    </row>
    <row r="480" spans="1:14" s="84" customFormat="1" x14ac:dyDescent="0.25">
      <c r="A480">
        <v>478</v>
      </c>
      <c r="B480" s="85" t="s">
        <v>1519</v>
      </c>
      <c r="C480" s="85" t="s">
        <v>30</v>
      </c>
      <c r="D480" s="85" t="s">
        <v>526</v>
      </c>
      <c r="E480" s="94" t="s">
        <v>41</v>
      </c>
      <c r="F480" s="85" t="s">
        <v>36</v>
      </c>
      <c r="G480" s="92" t="s">
        <v>36</v>
      </c>
      <c r="H480" s="92">
        <v>6.7000000000000004E-2</v>
      </c>
      <c r="I480" s="92">
        <v>3.93</v>
      </c>
      <c r="J480" s="85">
        <v>0</v>
      </c>
      <c r="K480" s="85">
        <v>0</v>
      </c>
      <c r="L480" s="88">
        <f t="shared" si="1"/>
        <v>3.93</v>
      </c>
      <c r="M480" s="95">
        <v>39883</v>
      </c>
      <c r="N480" s="92" t="s">
        <v>535</v>
      </c>
    </row>
    <row r="481" spans="1:14" s="84" customFormat="1" x14ac:dyDescent="0.25">
      <c r="A481">
        <v>479</v>
      </c>
      <c r="B481" s="85" t="s">
        <v>1518</v>
      </c>
      <c r="C481" s="85" t="s">
        <v>30</v>
      </c>
      <c r="D481" s="85" t="s">
        <v>526</v>
      </c>
      <c r="E481" s="94" t="s">
        <v>41</v>
      </c>
      <c r="F481" s="85" t="s">
        <v>36</v>
      </c>
      <c r="G481" s="92" t="s">
        <v>36</v>
      </c>
      <c r="H481" s="92">
        <v>1.6E-2</v>
      </c>
      <c r="I481" s="92">
        <v>7.2</v>
      </c>
      <c r="J481" s="85">
        <v>0</v>
      </c>
      <c r="K481" s="85">
        <v>0</v>
      </c>
      <c r="L481" s="88">
        <f t="shared" si="1"/>
        <v>7.2</v>
      </c>
      <c r="M481" s="95">
        <v>39883</v>
      </c>
      <c r="N481" s="92" t="s">
        <v>537</v>
      </c>
    </row>
    <row r="482" spans="1:14" s="84" customFormat="1" x14ac:dyDescent="0.25">
      <c r="A482">
        <v>480</v>
      </c>
      <c r="B482" s="85" t="s">
        <v>1517</v>
      </c>
      <c r="C482" s="85" t="s">
        <v>30</v>
      </c>
      <c r="D482" s="85" t="s">
        <v>526</v>
      </c>
      <c r="E482" s="94" t="s">
        <v>41</v>
      </c>
      <c r="F482" s="85" t="s">
        <v>36</v>
      </c>
      <c r="G482" s="92" t="s">
        <v>36</v>
      </c>
      <c r="H482" s="92">
        <v>6.3E-3</v>
      </c>
      <c r="I482" s="92">
        <v>1.75</v>
      </c>
      <c r="J482" s="85">
        <v>0</v>
      </c>
      <c r="K482" s="85">
        <v>0</v>
      </c>
      <c r="L482" s="88">
        <f t="shared" si="1"/>
        <v>1.75</v>
      </c>
      <c r="M482" s="95">
        <v>39883</v>
      </c>
      <c r="N482" s="92" t="s">
        <v>535</v>
      </c>
    </row>
    <row r="483" spans="1:14" s="84" customFormat="1" x14ac:dyDescent="0.25">
      <c r="A483">
        <v>481</v>
      </c>
      <c r="B483" s="85" t="s">
        <v>1516</v>
      </c>
      <c r="C483" s="85" t="s">
        <v>30</v>
      </c>
      <c r="D483" s="85" t="s">
        <v>526</v>
      </c>
      <c r="E483" s="94" t="s">
        <v>41</v>
      </c>
      <c r="F483" s="85" t="s">
        <v>36</v>
      </c>
      <c r="G483" s="92" t="s">
        <v>36</v>
      </c>
      <c r="H483" s="92">
        <v>2.5000000000000001E-3</v>
      </c>
      <c r="I483" s="92">
        <v>0.7</v>
      </c>
      <c r="J483" s="85">
        <v>0</v>
      </c>
      <c r="K483" s="85">
        <v>0</v>
      </c>
      <c r="L483" s="88">
        <f t="shared" si="1"/>
        <v>0.7</v>
      </c>
      <c r="M483" s="95">
        <v>40617</v>
      </c>
      <c r="N483" s="92" t="s">
        <v>535</v>
      </c>
    </row>
    <row r="484" spans="1:14" s="84" customFormat="1" x14ac:dyDescent="0.25">
      <c r="A484">
        <v>482</v>
      </c>
      <c r="B484" s="85" t="s">
        <v>1515</v>
      </c>
      <c r="C484" s="85" t="s">
        <v>30</v>
      </c>
      <c r="D484" s="85" t="s">
        <v>526</v>
      </c>
      <c r="E484" s="94" t="s">
        <v>41</v>
      </c>
      <c r="F484" s="85" t="s">
        <v>36</v>
      </c>
      <c r="G484" s="92" t="s">
        <v>36</v>
      </c>
      <c r="H484" s="92">
        <v>1.2E-2</v>
      </c>
      <c r="I484" s="92">
        <v>7.13</v>
      </c>
      <c r="J484" s="85">
        <v>0</v>
      </c>
      <c r="K484" s="85">
        <v>0</v>
      </c>
      <c r="L484" s="88">
        <f t="shared" si="1"/>
        <v>7.13</v>
      </c>
      <c r="M484" s="95">
        <v>39883</v>
      </c>
      <c r="N484" s="92" t="s">
        <v>536</v>
      </c>
    </row>
    <row r="485" spans="1:14" s="84" customFormat="1" x14ac:dyDescent="0.25">
      <c r="A485">
        <v>483</v>
      </c>
      <c r="B485" s="85" t="s">
        <v>1514</v>
      </c>
      <c r="C485" s="85" t="s">
        <v>30</v>
      </c>
      <c r="D485" s="85" t="s">
        <v>526</v>
      </c>
      <c r="E485" s="94" t="s">
        <v>41</v>
      </c>
      <c r="F485" s="85" t="s">
        <v>36</v>
      </c>
      <c r="G485" s="92" t="s">
        <v>36</v>
      </c>
      <c r="H485" s="92">
        <v>5.0000000000000001E-3</v>
      </c>
      <c r="I485" s="92">
        <v>2.85</v>
      </c>
      <c r="J485" s="85">
        <v>0</v>
      </c>
      <c r="K485" s="85">
        <v>0</v>
      </c>
      <c r="L485" s="88">
        <f t="shared" si="1"/>
        <v>2.85</v>
      </c>
      <c r="M485" s="95">
        <v>40670</v>
      </c>
      <c r="N485" s="92" t="s">
        <v>536</v>
      </c>
    </row>
    <row r="486" spans="1:14" s="84" customFormat="1" x14ac:dyDescent="0.25">
      <c r="A486">
        <v>484</v>
      </c>
      <c r="B486" s="85" t="s">
        <v>1513</v>
      </c>
      <c r="C486" s="85" t="s">
        <v>30</v>
      </c>
      <c r="D486" s="85" t="s">
        <v>526</v>
      </c>
      <c r="E486" s="94" t="s">
        <v>41</v>
      </c>
      <c r="F486" s="85" t="s">
        <v>36</v>
      </c>
      <c r="G486" s="92" t="s">
        <v>36</v>
      </c>
      <c r="H486" s="92">
        <v>6.3E-3</v>
      </c>
      <c r="I486" s="92">
        <v>1.75</v>
      </c>
      <c r="J486" s="85">
        <v>0</v>
      </c>
      <c r="K486" s="85">
        <v>0</v>
      </c>
      <c r="L486" s="88">
        <f t="shared" si="1"/>
        <v>1.75</v>
      </c>
      <c r="M486" s="95">
        <v>39883</v>
      </c>
      <c r="N486" s="92" t="s">
        <v>535</v>
      </c>
    </row>
    <row r="487" spans="1:14" s="84" customFormat="1" x14ac:dyDescent="0.25">
      <c r="A487">
        <v>485</v>
      </c>
      <c r="B487" s="85" t="s">
        <v>1512</v>
      </c>
      <c r="C487" s="85" t="s">
        <v>30</v>
      </c>
      <c r="D487" s="85" t="s">
        <v>526</v>
      </c>
      <c r="E487" s="94" t="s">
        <v>41</v>
      </c>
      <c r="F487" s="85" t="s">
        <v>36</v>
      </c>
      <c r="G487" s="92" t="s">
        <v>36</v>
      </c>
      <c r="H487" s="92">
        <v>1.24E-2</v>
      </c>
      <c r="I487" s="92">
        <v>9.33</v>
      </c>
      <c r="J487" s="85">
        <v>0</v>
      </c>
      <c r="K487" s="85">
        <v>0</v>
      </c>
      <c r="L487" s="88">
        <f t="shared" si="1"/>
        <v>9.33</v>
      </c>
      <c r="M487" s="95">
        <v>39883</v>
      </c>
      <c r="N487" s="92" t="s">
        <v>535</v>
      </c>
    </row>
    <row r="488" spans="1:14" s="84" customFormat="1" x14ac:dyDescent="0.25">
      <c r="A488">
        <v>486</v>
      </c>
      <c r="B488" s="85" t="s">
        <v>1511</v>
      </c>
      <c r="C488" s="85" t="s">
        <v>30</v>
      </c>
      <c r="D488" s="85" t="s">
        <v>526</v>
      </c>
      <c r="E488" s="94" t="s">
        <v>41</v>
      </c>
      <c r="F488" s="85" t="s">
        <v>36</v>
      </c>
      <c r="G488" s="92" t="s">
        <v>36</v>
      </c>
      <c r="H488" s="92">
        <v>5.0000000000000001E-3</v>
      </c>
      <c r="I488" s="92">
        <v>3.73</v>
      </c>
      <c r="J488" s="85">
        <v>0</v>
      </c>
      <c r="K488" s="85">
        <v>0</v>
      </c>
      <c r="L488" s="88">
        <f t="shared" si="1"/>
        <v>3.73</v>
      </c>
      <c r="M488" s="95">
        <v>40617</v>
      </c>
      <c r="N488" s="92" t="s">
        <v>535</v>
      </c>
    </row>
    <row r="489" spans="1:14" s="84" customFormat="1" x14ac:dyDescent="0.25">
      <c r="A489">
        <v>487</v>
      </c>
      <c r="B489" s="85" t="s">
        <v>1510</v>
      </c>
      <c r="C489" s="85" t="s">
        <v>30</v>
      </c>
      <c r="D489" s="85" t="s">
        <v>526</v>
      </c>
      <c r="E489" s="94" t="s">
        <v>41</v>
      </c>
      <c r="F489" s="85" t="s">
        <v>36</v>
      </c>
      <c r="G489" s="92" t="s">
        <v>36</v>
      </c>
      <c r="H489" s="92">
        <v>8.8999999999999999E-3</v>
      </c>
      <c r="I489" s="92">
        <v>4.2</v>
      </c>
      <c r="J489" s="85">
        <v>0</v>
      </c>
      <c r="K489" s="85">
        <v>0</v>
      </c>
      <c r="L489" s="88">
        <f t="shared" si="1"/>
        <v>4.2</v>
      </c>
      <c r="M489" s="95">
        <v>39883</v>
      </c>
      <c r="N489" s="92" t="s">
        <v>535</v>
      </c>
    </row>
    <row r="490" spans="1:14" s="84" customFormat="1" x14ac:dyDescent="0.25">
      <c r="A490">
        <v>488</v>
      </c>
      <c r="B490" s="85" t="s">
        <v>538</v>
      </c>
      <c r="C490" s="122" t="s">
        <v>30</v>
      </c>
      <c r="D490" s="122" t="s">
        <v>526</v>
      </c>
      <c r="E490" s="123" t="s">
        <v>374</v>
      </c>
      <c r="F490" s="85" t="s">
        <v>36</v>
      </c>
      <c r="G490" s="85"/>
      <c r="H490" s="85">
        <v>0.68</v>
      </c>
      <c r="I490" s="85">
        <v>0</v>
      </c>
      <c r="J490" s="85">
        <v>0</v>
      </c>
      <c r="K490" s="91"/>
      <c r="L490" s="85">
        <f t="shared" ref="L490:L499" si="2">H490*J490+I490</f>
        <v>0</v>
      </c>
      <c r="M490" s="87">
        <v>39896</v>
      </c>
      <c r="N490" s="92" t="s">
        <v>539</v>
      </c>
    </row>
    <row r="491" spans="1:14" s="84" customFormat="1" x14ac:dyDescent="0.25">
      <c r="A491">
        <v>489</v>
      </c>
      <c r="B491" s="85" t="s">
        <v>540</v>
      </c>
      <c r="C491" s="122" t="s">
        <v>30</v>
      </c>
      <c r="D491" s="122" t="s">
        <v>526</v>
      </c>
      <c r="E491" s="123" t="s">
        <v>374</v>
      </c>
      <c r="F491" s="85" t="s">
        <v>36</v>
      </c>
      <c r="G491" s="85"/>
      <c r="H491" s="85">
        <v>0.68</v>
      </c>
      <c r="I491" s="85">
        <v>0</v>
      </c>
      <c r="J491" s="85">
        <v>0</v>
      </c>
      <c r="K491" s="91"/>
      <c r="L491" s="85">
        <f t="shared" si="2"/>
        <v>0</v>
      </c>
      <c r="M491" s="87">
        <v>39896</v>
      </c>
      <c r="N491" s="92" t="s">
        <v>539</v>
      </c>
    </row>
    <row r="492" spans="1:14" s="84" customFormat="1" x14ac:dyDescent="0.25">
      <c r="A492">
        <v>490</v>
      </c>
      <c r="B492" s="85" t="s">
        <v>541</v>
      </c>
      <c r="C492" s="85" t="s">
        <v>30</v>
      </c>
      <c r="D492" s="85" t="s">
        <v>526</v>
      </c>
      <c r="E492" s="123" t="s">
        <v>374</v>
      </c>
      <c r="F492" s="85" t="s">
        <v>36</v>
      </c>
      <c r="G492" s="85"/>
      <c r="H492" s="85">
        <v>1.25</v>
      </c>
      <c r="I492" s="85">
        <v>1.875</v>
      </c>
      <c r="J492" s="85">
        <v>0</v>
      </c>
      <c r="K492" s="91"/>
      <c r="L492" s="85">
        <f t="shared" si="2"/>
        <v>1.875</v>
      </c>
      <c r="M492" s="87">
        <v>39896</v>
      </c>
      <c r="N492" s="92" t="s">
        <v>542</v>
      </c>
    </row>
    <row r="493" spans="1:14" s="84" customFormat="1" x14ac:dyDescent="0.25">
      <c r="A493">
        <v>491</v>
      </c>
      <c r="B493" s="85" t="s">
        <v>543</v>
      </c>
      <c r="C493" s="85" t="s">
        <v>30</v>
      </c>
      <c r="D493" s="85" t="s">
        <v>526</v>
      </c>
      <c r="E493" s="123" t="s">
        <v>374</v>
      </c>
      <c r="F493" s="85" t="s">
        <v>36</v>
      </c>
      <c r="G493" s="85"/>
      <c r="H493" s="85">
        <v>2.625</v>
      </c>
      <c r="I493" s="85">
        <v>0</v>
      </c>
      <c r="J493" s="85">
        <v>0</v>
      </c>
      <c r="K493" s="91"/>
      <c r="L493" s="85">
        <f t="shared" si="2"/>
        <v>0</v>
      </c>
      <c r="M493" s="87">
        <v>39896</v>
      </c>
      <c r="N493" s="92" t="s">
        <v>542</v>
      </c>
    </row>
    <row r="494" spans="1:14" s="84" customFormat="1" x14ac:dyDescent="0.25">
      <c r="A494">
        <v>492</v>
      </c>
      <c r="B494" s="85" t="s">
        <v>544</v>
      </c>
      <c r="C494" s="85" t="s">
        <v>30</v>
      </c>
      <c r="D494" s="85" t="s">
        <v>526</v>
      </c>
      <c r="E494" s="123" t="s">
        <v>374</v>
      </c>
      <c r="F494" s="85" t="s">
        <v>36</v>
      </c>
      <c r="G494" s="85"/>
      <c r="H494" s="85">
        <v>1.5</v>
      </c>
      <c r="I494" s="85">
        <v>2.25</v>
      </c>
      <c r="J494" s="85">
        <v>0</v>
      </c>
      <c r="K494" s="91"/>
      <c r="L494" s="85">
        <f t="shared" si="2"/>
        <v>2.25</v>
      </c>
      <c r="M494" s="87">
        <v>39896</v>
      </c>
      <c r="N494" s="92" t="s">
        <v>542</v>
      </c>
    </row>
    <row r="495" spans="1:14" s="84" customFormat="1" x14ac:dyDescent="0.25">
      <c r="A495">
        <v>493</v>
      </c>
      <c r="B495" s="85" t="s">
        <v>545</v>
      </c>
      <c r="C495" s="85" t="s">
        <v>30</v>
      </c>
      <c r="D495" s="85" t="s">
        <v>526</v>
      </c>
      <c r="E495" s="123" t="s">
        <v>374</v>
      </c>
      <c r="F495" s="85" t="s">
        <v>36</v>
      </c>
      <c r="G495" s="85"/>
      <c r="H495" s="85">
        <v>3.15</v>
      </c>
      <c r="I495" s="85">
        <v>0</v>
      </c>
      <c r="J495" s="85">
        <v>0</v>
      </c>
      <c r="K495" s="91"/>
      <c r="L495" s="85">
        <f t="shared" si="2"/>
        <v>0</v>
      </c>
      <c r="M495" s="87">
        <v>39896</v>
      </c>
      <c r="N495" s="92" t="s">
        <v>542</v>
      </c>
    </row>
    <row r="496" spans="1:14" s="84" customFormat="1" x14ac:dyDescent="0.25">
      <c r="A496">
        <v>494</v>
      </c>
      <c r="B496" s="85" t="s">
        <v>546</v>
      </c>
      <c r="C496" s="85" t="s">
        <v>30</v>
      </c>
      <c r="D496" s="85" t="s">
        <v>526</v>
      </c>
      <c r="E496" s="123" t="s">
        <v>374</v>
      </c>
      <c r="F496" s="85" t="s">
        <v>36</v>
      </c>
      <c r="G496" s="85"/>
      <c r="H496" s="85">
        <v>1</v>
      </c>
      <c r="I496" s="85">
        <v>1.5</v>
      </c>
      <c r="J496" s="85">
        <v>0</v>
      </c>
      <c r="K496" s="91"/>
      <c r="L496" s="85">
        <f t="shared" si="2"/>
        <v>1.5</v>
      </c>
      <c r="M496" s="87">
        <v>39896</v>
      </c>
      <c r="N496" s="92" t="s">
        <v>542</v>
      </c>
    </row>
    <row r="497" spans="1:14" s="84" customFormat="1" x14ac:dyDescent="0.25">
      <c r="A497">
        <v>495</v>
      </c>
      <c r="B497" s="85" t="s">
        <v>547</v>
      </c>
      <c r="C497" s="85" t="s">
        <v>30</v>
      </c>
      <c r="D497" s="85" t="s">
        <v>526</v>
      </c>
      <c r="E497" s="123" t="s">
        <v>374</v>
      </c>
      <c r="F497" s="85" t="s">
        <v>36</v>
      </c>
      <c r="G497" s="85"/>
      <c r="H497" s="85">
        <v>1.5</v>
      </c>
      <c r="I497" s="85">
        <v>2.25</v>
      </c>
      <c r="J497" s="85">
        <v>0</v>
      </c>
      <c r="K497" s="91"/>
      <c r="L497" s="85">
        <f t="shared" si="2"/>
        <v>2.25</v>
      </c>
      <c r="M497" s="87">
        <v>39896</v>
      </c>
      <c r="N497" s="92" t="s">
        <v>548</v>
      </c>
    </row>
    <row r="498" spans="1:14" s="84" customFormat="1" x14ac:dyDescent="0.25">
      <c r="A498">
        <v>496</v>
      </c>
      <c r="B498" s="85" t="s">
        <v>549</v>
      </c>
      <c r="C498" s="85" t="s">
        <v>30</v>
      </c>
      <c r="D498" s="85" t="s">
        <v>526</v>
      </c>
      <c r="E498" s="123" t="s">
        <v>374</v>
      </c>
      <c r="F498" s="85" t="s">
        <v>36</v>
      </c>
      <c r="G498" s="85"/>
      <c r="H498" s="85">
        <v>3.15</v>
      </c>
      <c r="I498" s="85">
        <v>0</v>
      </c>
      <c r="J498" s="85">
        <v>0</v>
      </c>
      <c r="K498" s="91"/>
      <c r="L498" s="85">
        <f t="shared" si="2"/>
        <v>0</v>
      </c>
      <c r="M498" s="87">
        <v>39896</v>
      </c>
      <c r="N498" s="92" t="s">
        <v>548</v>
      </c>
    </row>
    <row r="499" spans="1:14" s="84" customFormat="1" x14ac:dyDescent="0.25">
      <c r="A499">
        <v>497</v>
      </c>
      <c r="B499" s="85" t="s">
        <v>550</v>
      </c>
      <c r="C499" s="85" t="s">
        <v>30</v>
      </c>
      <c r="D499" s="85" t="s">
        <v>526</v>
      </c>
      <c r="E499" s="123" t="s">
        <v>374</v>
      </c>
      <c r="F499" s="85" t="s">
        <v>36</v>
      </c>
      <c r="G499" s="85"/>
      <c r="H499" s="85">
        <v>2.1</v>
      </c>
      <c r="I499" s="85">
        <v>0</v>
      </c>
      <c r="J499" s="85">
        <v>0</v>
      </c>
      <c r="K499" s="91"/>
      <c r="L499" s="85">
        <f t="shared" si="2"/>
        <v>0</v>
      </c>
      <c r="M499" s="87">
        <v>39896</v>
      </c>
      <c r="N499" s="92" t="s">
        <v>542</v>
      </c>
    </row>
    <row r="500" spans="1:14" s="84" customFormat="1" x14ac:dyDescent="0.25">
      <c r="A500">
        <v>498</v>
      </c>
      <c r="B500" s="85" t="s">
        <v>551</v>
      </c>
      <c r="C500" s="85" t="s">
        <v>30</v>
      </c>
      <c r="D500" s="85" t="s">
        <v>526</v>
      </c>
      <c r="E500" s="88">
        <v>1</v>
      </c>
      <c r="F500" s="85" t="s">
        <v>552</v>
      </c>
      <c r="G500" s="85"/>
      <c r="H500" s="85"/>
      <c r="I500" s="85"/>
      <c r="J500" s="91"/>
      <c r="K500" s="91"/>
      <c r="L500" s="91"/>
      <c r="M500" s="87"/>
      <c r="N500" s="92" t="s">
        <v>1509</v>
      </c>
    </row>
    <row r="501" spans="1:14" s="84" customFormat="1" x14ac:dyDescent="0.25">
      <c r="A501">
        <v>499</v>
      </c>
      <c r="B501" s="85" t="s">
        <v>1357</v>
      </c>
      <c r="C501" s="85" t="s">
        <v>1358</v>
      </c>
      <c r="D501" s="85" t="s">
        <v>526</v>
      </c>
      <c r="E501" s="94">
        <v>85</v>
      </c>
      <c r="F501" s="85" t="s">
        <v>33</v>
      </c>
      <c r="G501" s="85"/>
      <c r="H501" s="85"/>
      <c r="I501" s="85"/>
      <c r="J501" s="91"/>
      <c r="K501" s="91"/>
      <c r="L501" s="91"/>
      <c r="M501" s="87">
        <v>40321</v>
      </c>
      <c r="N501" s="124" t="s">
        <v>555</v>
      </c>
    </row>
    <row r="502" spans="1:14" s="84" customFormat="1" x14ac:dyDescent="0.25">
      <c r="A502">
        <v>500</v>
      </c>
      <c r="B502" s="85" t="s">
        <v>553</v>
      </c>
      <c r="C502" s="85" t="s">
        <v>554</v>
      </c>
      <c r="D502" s="85" t="s">
        <v>526</v>
      </c>
      <c r="E502" s="94">
        <v>85</v>
      </c>
      <c r="F502" s="85" t="s">
        <v>33</v>
      </c>
      <c r="G502" s="85"/>
      <c r="H502" s="85"/>
      <c r="I502" s="85"/>
      <c r="J502" s="91"/>
      <c r="K502" s="91"/>
      <c r="L502" s="91"/>
      <c r="M502" s="87">
        <v>39886</v>
      </c>
      <c r="N502" s="124" t="s">
        <v>555</v>
      </c>
    </row>
    <row r="503" spans="1:14" s="84" customFormat="1" x14ac:dyDescent="0.25">
      <c r="A503">
        <v>501</v>
      </c>
      <c r="B503" s="85" t="s">
        <v>1359</v>
      </c>
      <c r="C503" s="85" t="s">
        <v>1358</v>
      </c>
      <c r="D503" s="85" t="s">
        <v>526</v>
      </c>
      <c r="E503" s="94">
        <v>73.5</v>
      </c>
      <c r="F503" s="85" t="s">
        <v>33</v>
      </c>
      <c r="G503" s="85"/>
      <c r="H503" s="85"/>
      <c r="I503" s="85"/>
      <c r="J503" s="91"/>
      <c r="K503" s="91"/>
      <c r="L503" s="91"/>
      <c r="M503" s="87">
        <v>40321</v>
      </c>
      <c r="N503" s="124" t="s">
        <v>555</v>
      </c>
    </row>
    <row r="504" spans="1:14" s="84" customFormat="1" x14ac:dyDescent="0.25">
      <c r="A504">
        <v>502</v>
      </c>
      <c r="B504" s="85" t="s">
        <v>556</v>
      </c>
      <c r="C504" s="85" t="s">
        <v>554</v>
      </c>
      <c r="D504" s="85" t="s">
        <v>526</v>
      </c>
      <c r="E504" s="94">
        <v>73.5</v>
      </c>
      <c r="F504" s="85" t="s">
        <v>33</v>
      </c>
      <c r="G504" s="85"/>
      <c r="H504" s="85"/>
      <c r="I504" s="85"/>
      <c r="J504" s="91"/>
      <c r="K504" s="91"/>
      <c r="L504" s="91"/>
      <c r="M504" s="87">
        <v>39886</v>
      </c>
      <c r="N504" s="124" t="s">
        <v>555</v>
      </c>
    </row>
    <row r="505" spans="1:14" s="84" customFormat="1" x14ac:dyDescent="0.25">
      <c r="A505">
        <v>503</v>
      </c>
      <c r="B505" s="85" t="s">
        <v>1360</v>
      </c>
      <c r="C505" s="85" t="s">
        <v>557</v>
      </c>
      <c r="D505" s="85" t="s">
        <v>526</v>
      </c>
      <c r="E505" s="94">
        <v>10</v>
      </c>
      <c r="F505" s="85" t="s">
        <v>33</v>
      </c>
      <c r="G505" s="85"/>
      <c r="H505" s="85"/>
      <c r="I505" s="85"/>
      <c r="J505" s="91"/>
      <c r="K505" s="91"/>
      <c r="L505" s="91"/>
      <c r="M505" s="87">
        <v>39922</v>
      </c>
      <c r="N505" s="124"/>
    </row>
    <row r="506" spans="1:14" s="84" customFormat="1" x14ac:dyDescent="0.25">
      <c r="A506">
        <v>504</v>
      </c>
      <c r="B506" s="85" t="s">
        <v>558</v>
      </c>
      <c r="C506" s="85" t="s">
        <v>30</v>
      </c>
      <c r="D506" s="85" t="s">
        <v>526</v>
      </c>
      <c r="E506" s="123" t="s">
        <v>374</v>
      </c>
      <c r="F506" s="85" t="s">
        <v>36</v>
      </c>
      <c r="G506" s="85"/>
      <c r="H506" s="85">
        <v>2.7E-2</v>
      </c>
      <c r="I506" s="85">
        <v>0.12</v>
      </c>
      <c r="J506" s="85">
        <v>0</v>
      </c>
      <c r="K506" s="91"/>
      <c r="L506" s="85">
        <f>H506*J506+I506</f>
        <v>0.12</v>
      </c>
      <c r="M506" s="87">
        <v>39896</v>
      </c>
      <c r="N506" s="92" t="s">
        <v>559</v>
      </c>
    </row>
    <row r="507" spans="1:14" s="84" customFormat="1" x14ac:dyDescent="0.25">
      <c r="A507">
        <v>505</v>
      </c>
      <c r="B507" s="85" t="s">
        <v>560</v>
      </c>
      <c r="C507" s="92" t="s">
        <v>30</v>
      </c>
      <c r="D507" s="92" t="s">
        <v>526</v>
      </c>
      <c r="E507" s="115" t="s">
        <v>374</v>
      </c>
      <c r="F507" s="92" t="s">
        <v>36</v>
      </c>
      <c r="G507" s="92"/>
      <c r="H507" s="92">
        <v>9.2999999999999999E-2</v>
      </c>
      <c r="I507" s="92">
        <v>0.05</v>
      </c>
      <c r="J507" s="85">
        <v>0</v>
      </c>
      <c r="K507" s="91"/>
      <c r="L507" s="85">
        <f>H507*J507+I507</f>
        <v>0.05</v>
      </c>
      <c r="M507" s="95">
        <v>39880</v>
      </c>
      <c r="N507" s="92" t="s">
        <v>561</v>
      </c>
    </row>
    <row r="508" spans="1:14" s="84" customFormat="1" x14ac:dyDescent="0.25">
      <c r="A508">
        <v>506</v>
      </c>
      <c r="B508" s="85" t="s">
        <v>562</v>
      </c>
      <c r="C508" s="92" t="s">
        <v>30</v>
      </c>
      <c r="D508" s="92" t="s">
        <v>526</v>
      </c>
      <c r="E508" s="115" t="s">
        <v>374</v>
      </c>
      <c r="F508" s="92" t="s">
        <v>36</v>
      </c>
      <c r="G508" s="92"/>
      <c r="H508" s="92">
        <v>9.2999999999999999E-2</v>
      </c>
      <c r="I508" s="92">
        <v>0.05</v>
      </c>
      <c r="J508" s="85">
        <v>0</v>
      </c>
      <c r="K508" s="91"/>
      <c r="L508" s="85">
        <f>H508*J508+I508</f>
        <v>0.05</v>
      </c>
      <c r="M508" s="95">
        <v>39880</v>
      </c>
      <c r="N508" s="92" t="s">
        <v>561</v>
      </c>
    </row>
    <row r="509" spans="1:14" s="84" customFormat="1" x14ac:dyDescent="0.25">
      <c r="A509">
        <v>507</v>
      </c>
      <c r="B509" s="85" t="s">
        <v>563</v>
      </c>
      <c r="C509" s="85" t="s">
        <v>30</v>
      </c>
      <c r="D509" s="85" t="s">
        <v>526</v>
      </c>
      <c r="E509" s="94">
        <v>3</v>
      </c>
      <c r="F509" s="85" t="s">
        <v>33</v>
      </c>
      <c r="G509" s="85"/>
      <c r="H509" s="85"/>
      <c r="I509" s="85"/>
      <c r="J509" s="91"/>
      <c r="K509" s="91"/>
      <c r="L509" s="91"/>
      <c r="M509" s="87">
        <v>39873</v>
      </c>
      <c r="N509" s="92" t="s">
        <v>564</v>
      </c>
    </row>
    <row r="510" spans="1:14" s="84" customFormat="1" x14ac:dyDescent="0.25">
      <c r="A510">
        <v>508</v>
      </c>
      <c r="B510" s="85" t="s">
        <v>565</v>
      </c>
      <c r="C510" s="85" t="s">
        <v>566</v>
      </c>
      <c r="D510" s="85" t="s">
        <v>526</v>
      </c>
      <c r="E510" s="94">
        <v>14.5</v>
      </c>
      <c r="F510" s="85" t="s">
        <v>33</v>
      </c>
      <c r="G510" s="85"/>
      <c r="H510" s="85"/>
      <c r="I510" s="85"/>
      <c r="J510" s="91"/>
      <c r="K510" s="91"/>
      <c r="L510" s="91"/>
      <c r="M510" s="87">
        <v>39873</v>
      </c>
      <c r="N510" s="124" t="s">
        <v>567</v>
      </c>
    </row>
    <row r="511" spans="1:14" s="84" customFormat="1" x14ac:dyDescent="0.25">
      <c r="A511">
        <v>509</v>
      </c>
      <c r="B511" s="85" t="s">
        <v>568</v>
      </c>
      <c r="C511" s="85" t="s">
        <v>566</v>
      </c>
      <c r="D511" s="85" t="s">
        <v>526</v>
      </c>
      <c r="E511" s="94">
        <v>14.5</v>
      </c>
      <c r="F511" s="85" t="s">
        <v>33</v>
      </c>
      <c r="G511" s="85"/>
      <c r="H511" s="85"/>
      <c r="I511" s="85"/>
      <c r="J511" s="91"/>
      <c r="K511" s="91"/>
      <c r="L511" s="91"/>
      <c r="M511" s="87">
        <v>39873</v>
      </c>
      <c r="N511" s="124" t="s">
        <v>567</v>
      </c>
    </row>
    <row r="512" spans="1:14" s="84" customFormat="1" x14ac:dyDescent="0.25">
      <c r="A512">
        <v>510</v>
      </c>
      <c r="B512" s="85" t="s">
        <v>569</v>
      </c>
      <c r="C512" s="85" t="s">
        <v>566</v>
      </c>
      <c r="D512" s="85" t="s">
        <v>526</v>
      </c>
      <c r="E512" s="94">
        <v>11.5</v>
      </c>
      <c r="F512" s="85" t="s">
        <v>33</v>
      </c>
      <c r="G512" s="85"/>
      <c r="H512" s="85"/>
      <c r="I512" s="85"/>
      <c r="J512" s="91"/>
      <c r="K512" s="91"/>
      <c r="L512" s="91"/>
      <c r="M512" s="87">
        <v>39873</v>
      </c>
      <c r="N512" s="124" t="s">
        <v>567</v>
      </c>
    </row>
    <row r="513" spans="1:14" s="84" customFormat="1" x14ac:dyDescent="0.25">
      <c r="A513">
        <v>511</v>
      </c>
      <c r="B513" s="85" t="s">
        <v>570</v>
      </c>
      <c r="C513" s="85" t="s">
        <v>566</v>
      </c>
      <c r="D513" s="85" t="s">
        <v>526</v>
      </c>
      <c r="E513" s="94">
        <v>16</v>
      </c>
      <c r="F513" s="85" t="s">
        <v>33</v>
      </c>
      <c r="G513" s="85"/>
      <c r="H513" s="85"/>
      <c r="I513" s="85"/>
      <c r="J513" s="91"/>
      <c r="K513" s="91"/>
      <c r="L513" s="91"/>
      <c r="M513" s="87">
        <v>39873</v>
      </c>
      <c r="N513" s="124" t="s">
        <v>567</v>
      </c>
    </row>
    <row r="514" spans="1:14" s="84" customFormat="1" x14ac:dyDescent="0.25">
      <c r="A514">
        <v>512</v>
      </c>
      <c r="B514" s="85" t="s">
        <v>571</v>
      </c>
      <c r="C514" s="85" t="s">
        <v>566</v>
      </c>
      <c r="D514" s="85" t="s">
        <v>526</v>
      </c>
      <c r="E514" s="94">
        <v>18.5</v>
      </c>
      <c r="F514" s="85" t="s">
        <v>33</v>
      </c>
      <c r="G514" s="85"/>
      <c r="H514" s="85"/>
      <c r="I514" s="85"/>
      <c r="J514" s="91"/>
      <c r="K514" s="91"/>
      <c r="L514" s="91"/>
      <c r="M514" s="87">
        <v>39873</v>
      </c>
      <c r="N514" s="124" t="s">
        <v>567</v>
      </c>
    </row>
    <row r="515" spans="1:14" s="84" customFormat="1" x14ac:dyDescent="0.25">
      <c r="A515">
        <v>513</v>
      </c>
      <c r="B515" s="85" t="s">
        <v>572</v>
      </c>
      <c r="C515" s="85" t="s">
        <v>566</v>
      </c>
      <c r="D515" s="85" t="s">
        <v>526</v>
      </c>
      <c r="E515" s="94">
        <v>17.5</v>
      </c>
      <c r="F515" s="85" t="s">
        <v>33</v>
      </c>
      <c r="G515" s="85"/>
      <c r="H515" s="85"/>
      <c r="I515" s="85"/>
      <c r="J515" s="91"/>
      <c r="K515" s="91"/>
      <c r="L515" s="91"/>
      <c r="M515" s="87">
        <v>39873</v>
      </c>
      <c r="N515" s="124" t="s">
        <v>567</v>
      </c>
    </row>
    <row r="516" spans="1:14" s="84" customFormat="1" x14ac:dyDescent="0.25">
      <c r="A516">
        <v>515</v>
      </c>
      <c r="B516" s="85" t="s">
        <v>574</v>
      </c>
      <c r="C516" s="92" t="s">
        <v>30</v>
      </c>
      <c r="D516" s="92" t="s">
        <v>526</v>
      </c>
      <c r="E516" s="122" t="s">
        <v>374</v>
      </c>
      <c r="F516" s="92" t="s">
        <v>36</v>
      </c>
      <c r="G516" s="92"/>
      <c r="H516" s="92">
        <v>0.25</v>
      </c>
      <c r="I516" s="98">
        <v>0.4</v>
      </c>
      <c r="J516" s="85">
        <v>0</v>
      </c>
      <c r="K516" s="91"/>
      <c r="L516" s="85">
        <f>H516*J516+I516</f>
        <v>0.4</v>
      </c>
      <c r="M516" s="87">
        <v>39897</v>
      </c>
      <c r="N516" s="98" t="s">
        <v>573</v>
      </c>
    </row>
    <row r="517" spans="1:14" s="84" customFormat="1" x14ac:dyDescent="0.25">
      <c r="A517">
        <v>516</v>
      </c>
      <c r="B517" s="85" t="s">
        <v>575</v>
      </c>
      <c r="C517" s="92" t="s">
        <v>30</v>
      </c>
      <c r="D517" s="92" t="s">
        <v>526</v>
      </c>
      <c r="E517" s="115" t="s">
        <v>374</v>
      </c>
      <c r="F517" s="92" t="s">
        <v>36</v>
      </c>
      <c r="G517" s="92"/>
      <c r="H517" s="92">
        <v>0.2</v>
      </c>
      <c r="I517" s="92">
        <v>0.95</v>
      </c>
      <c r="J517" s="85">
        <v>0</v>
      </c>
      <c r="K517" s="91"/>
      <c r="L517" s="85">
        <f>H517*J517+I517</f>
        <v>0.95</v>
      </c>
      <c r="M517" s="95">
        <v>39880</v>
      </c>
      <c r="N517" s="92" t="s">
        <v>576</v>
      </c>
    </row>
    <row r="518" spans="1:14" s="84" customFormat="1" x14ac:dyDescent="0.25">
      <c r="A518">
        <v>517</v>
      </c>
      <c r="B518" s="85" t="s">
        <v>577</v>
      </c>
      <c r="C518" s="92" t="s">
        <v>30</v>
      </c>
      <c r="D518" s="92" t="s">
        <v>526</v>
      </c>
      <c r="E518" s="115" t="s">
        <v>374</v>
      </c>
      <c r="F518" s="92" t="s">
        <v>36</v>
      </c>
      <c r="G518" s="92"/>
      <c r="H518" s="92">
        <v>0.2</v>
      </c>
      <c r="I518" s="92">
        <v>0.95</v>
      </c>
      <c r="J518" s="85">
        <v>0</v>
      </c>
      <c r="K518" s="91"/>
      <c r="L518" s="85">
        <f>H518*J518+I518</f>
        <v>0.95</v>
      </c>
      <c r="M518" s="95">
        <v>39880</v>
      </c>
      <c r="N518" s="92" t="s">
        <v>576</v>
      </c>
    </row>
    <row r="519" spans="1:14" s="84" customFormat="1" x14ac:dyDescent="0.25">
      <c r="A519">
        <v>518</v>
      </c>
      <c r="B519" s="85" t="s">
        <v>578</v>
      </c>
      <c r="C519" s="85"/>
      <c r="D519" s="85" t="s">
        <v>526</v>
      </c>
      <c r="E519" s="88" t="s">
        <v>579</v>
      </c>
      <c r="F519" s="85" t="s">
        <v>36</v>
      </c>
      <c r="G519" s="85"/>
      <c r="H519" s="122">
        <v>1.3</v>
      </c>
      <c r="I519" s="122">
        <v>4.3999999999999997E-2</v>
      </c>
      <c r="J519" s="85">
        <v>0</v>
      </c>
      <c r="K519" s="91"/>
      <c r="L519" s="137">
        <f>H519*EXP(I519*J519)</f>
        <v>1.3</v>
      </c>
      <c r="M519" s="87">
        <v>39890</v>
      </c>
      <c r="N519" s="124" t="s">
        <v>580</v>
      </c>
    </row>
    <row r="520" spans="1:14" s="84" customFormat="1" x14ac:dyDescent="0.25">
      <c r="A520">
        <v>519</v>
      </c>
      <c r="B520" s="85" t="s">
        <v>581</v>
      </c>
      <c r="C520" s="85" t="s">
        <v>30</v>
      </c>
      <c r="D520" s="85" t="s">
        <v>526</v>
      </c>
      <c r="E520" s="115" t="s">
        <v>374</v>
      </c>
      <c r="F520" s="85" t="s">
        <v>36</v>
      </c>
      <c r="G520" s="85"/>
      <c r="H520" s="85">
        <v>0.5</v>
      </c>
      <c r="I520" s="85">
        <v>16</v>
      </c>
      <c r="J520" s="85">
        <v>0</v>
      </c>
      <c r="K520" s="91"/>
      <c r="L520" s="79">
        <f t="shared" ref="L520:L553" si="3">H520*J520+I520</f>
        <v>16</v>
      </c>
      <c r="M520" s="87">
        <v>39886</v>
      </c>
      <c r="N520" s="124" t="s">
        <v>576</v>
      </c>
    </row>
    <row r="521" spans="1:14" s="84" customFormat="1" x14ac:dyDescent="0.25">
      <c r="A521">
        <v>520</v>
      </c>
      <c r="B521" s="85" t="s">
        <v>582</v>
      </c>
      <c r="C521" s="85" t="s">
        <v>30</v>
      </c>
      <c r="D521" s="85" t="s">
        <v>526</v>
      </c>
      <c r="E521" s="115" t="s">
        <v>374</v>
      </c>
      <c r="F521" s="85" t="s">
        <v>36</v>
      </c>
      <c r="G521" s="85"/>
      <c r="H521" s="85">
        <v>1.6</v>
      </c>
      <c r="I521" s="85">
        <v>8</v>
      </c>
      <c r="J521" s="85">
        <v>0</v>
      </c>
      <c r="K521" s="91"/>
      <c r="L521" s="79">
        <f t="shared" si="3"/>
        <v>8</v>
      </c>
      <c r="M521" s="87">
        <v>39886</v>
      </c>
      <c r="N521" s="124" t="s">
        <v>576</v>
      </c>
    </row>
    <row r="522" spans="1:14" s="84" customFormat="1" x14ac:dyDescent="0.25">
      <c r="A522">
        <v>521</v>
      </c>
      <c r="B522" s="85" t="s">
        <v>583</v>
      </c>
      <c r="C522" s="85" t="s">
        <v>30</v>
      </c>
      <c r="D522" s="85" t="s">
        <v>526</v>
      </c>
      <c r="E522" s="115" t="s">
        <v>374</v>
      </c>
      <c r="F522" s="85" t="s">
        <v>36</v>
      </c>
      <c r="G522" s="85"/>
      <c r="H522" s="85">
        <v>0.32</v>
      </c>
      <c r="I522" s="85">
        <v>4.5</v>
      </c>
      <c r="J522" s="85">
        <v>0</v>
      </c>
      <c r="K522" s="91"/>
      <c r="L522" s="79">
        <f t="shared" si="3"/>
        <v>4.5</v>
      </c>
      <c r="M522" s="87">
        <v>39886</v>
      </c>
      <c r="N522" s="124" t="s">
        <v>576</v>
      </c>
    </row>
    <row r="523" spans="1:14" s="84" customFormat="1" x14ac:dyDescent="0.25">
      <c r="A523">
        <v>522</v>
      </c>
      <c r="B523" s="85" t="s">
        <v>1508</v>
      </c>
      <c r="C523" s="85"/>
      <c r="D523" s="85" t="s">
        <v>526</v>
      </c>
      <c r="E523" s="94" t="s">
        <v>374</v>
      </c>
      <c r="F523" s="85" t="s">
        <v>36</v>
      </c>
      <c r="G523" s="92"/>
      <c r="H523" s="92">
        <v>0.9</v>
      </c>
      <c r="I523" s="92">
        <v>7.3</v>
      </c>
      <c r="J523" s="85">
        <v>0</v>
      </c>
      <c r="K523" s="91"/>
      <c r="L523" s="79">
        <f t="shared" si="3"/>
        <v>7.3</v>
      </c>
      <c r="M523" s="95">
        <v>39883</v>
      </c>
      <c r="N523" s="92" t="s">
        <v>584</v>
      </c>
    </row>
    <row r="524" spans="1:14" s="84" customFormat="1" x14ac:dyDescent="0.25">
      <c r="A524">
        <v>523</v>
      </c>
      <c r="B524" s="85" t="s">
        <v>1507</v>
      </c>
      <c r="C524" s="85"/>
      <c r="D524" s="85" t="s">
        <v>526</v>
      </c>
      <c r="E524" s="94" t="s">
        <v>374</v>
      </c>
      <c r="F524" s="85" t="s">
        <v>36</v>
      </c>
      <c r="G524" s="92"/>
      <c r="H524" s="92">
        <v>0.6</v>
      </c>
      <c r="I524" s="92">
        <v>9.5</v>
      </c>
      <c r="J524" s="85">
        <v>0</v>
      </c>
      <c r="K524" s="91"/>
      <c r="L524" s="79">
        <f t="shared" si="3"/>
        <v>9.5</v>
      </c>
      <c r="M524" s="95">
        <v>39883</v>
      </c>
      <c r="N524" s="92" t="s">
        <v>584</v>
      </c>
    </row>
    <row r="525" spans="1:14" s="84" customFormat="1" x14ac:dyDescent="0.25">
      <c r="A525">
        <v>524</v>
      </c>
      <c r="B525" s="85" t="s">
        <v>1506</v>
      </c>
      <c r="C525" s="85"/>
      <c r="D525" s="85" t="s">
        <v>526</v>
      </c>
      <c r="E525" s="94" t="s">
        <v>374</v>
      </c>
      <c r="F525" s="85" t="s">
        <v>36</v>
      </c>
      <c r="G525" s="92"/>
      <c r="H525" s="92">
        <v>0</v>
      </c>
      <c r="I525" s="92">
        <v>11</v>
      </c>
      <c r="J525" s="85">
        <v>0</v>
      </c>
      <c r="K525" s="91"/>
      <c r="L525" s="79">
        <f t="shared" si="3"/>
        <v>11</v>
      </c>
      <c r="M525" s="95">
        <v>40617</v>
      </c>
      <c r="N525" s="92" t="s">
        <v>584</v>
      </c>
    </row>
    <row r="526" spans="1:14" s="84" customFormat="1" x14ac:dyDescent="0.25">
      <c r="A526">
        <v>525</v>
      </c>
      <c r="B526" s="85" t="s">
        <v>1505</v>
      </c>
      <c r="C526" s="85"/>
      <c r="D526" s="85" t="s">
        <v>526</v>
      </c>
      <c r="E526" s="94" t="s">
        <v>374</v>
      </c>
      <c r="F526" s="85" t="s">
        <v>36</v>
      </c>
      <c r="G526" s="92"/>
      <c r="H526" s="92">
        <v>1.04</v>
      </c>
      <c r="I526" s="92">
        <v>-0.41</v>
      </c>
      <c r="J526" s="85">
        <v>0</v>
      </c>
      <c r="K526" s="91"/>
      <c r="L526" s="79">
        <f t="shared" si="3"/>
        <v>-0.41</v>
      </c>
      <c r="M526" s="95">
        <v>39883</v>
      </c>
      <c r="N526" s="92" t="s">
        <v>584</v>
      </c>
    </row>
    <row r="527" spans="1:14" s="84" customFormat="1" x14ac:dyDescent="0.25">
      <c r="A527">
        <v>526</v>
      </c>
      <c r="B527" s="85" t="s">
        <v>1504</v>
      </c>
      <c r="C527" s="85"/>
      <c r="D527" s="85" t="s">
        <v>526</v>
      </c>
      <c r="E527" s="94" t="s">
        <v>374</v>
      </c>
      <c r="F527" s="85" t="s">
        <v>36</v>
      </c>
      <c r="G527" s="92"/>
      <c r="H527" s="92">
        <v>0.43</v>
      </c>
      <c r="I527" s="92">
        <v>6.8</v>
      </c>
      <c r="J527" s="85">
        <v>0</v>
      </c>
      <c r="K527" s="91"/>
      <c r="L527" s="79">
        <f t="shared" si="3"/>
        <v>6.8</v>
      </c>
      <c r="M527" s="95">
        <v>39883</v>
      </c>
      <c r="N527" s="92" t="s">
        <v>584</v>
      </c>
    </row>
    <row r="528" spans="1:14" s="84" customFormat="1" x14ac:dyDescent="0.25">
      <c r="A528">
        <v>527</v>
      </c>
      <c r="B528" s="85" t="s">
        <v>1503</v>
      </c>
      <c r="C528" s="85"/>
      <c r="D528" s="85" t="s">
        <v>526</v>
      </c>
      <c r="E528" s="94" t="s">
        <v>374</v>
      </c>
      <c r="F528" s="85" t="s">
        <v>36</v>
      </c>
      <c r="G528" s="92"/>
      <c r="H528" s="92">
        <v>0</v>
      </c>
      <c r="I528" s="92">
        <v>12</v>
      </c>
      <c r="J528" s="85">
        <v>0</v>
      </c>
      <c r="K528" s="91"/>
      <c r="L528" s="79">
        <f t="shared" si="3"/>
        <v>12</v>
      </c>
      <c r="M528" s="95">
        <v>39883</v>
      </c>
      <c r="N528" s="92" t="s">
        <v>584</v>
      </c>
    </row>
    <row r="529" spans="1:14" s="84" customFormat="1" x14ac:dyDescent="0.25">
      <c r="A529">
        <v>528</v>
      </c>
      <c r="B529" s="85" t="s">
        <v>1502</v>
      </c>
      <c r="C529" s="85"/>
      <c r="D529" s="85" t="s">
        <v>526</v>
      </c>
      <c r="E529" s="94" t="s">
        <v>374</v>
      </c>
      <c r="F529" s="85" t="s">
        <v>36</v>
      </c>
      <c r="G529" s="92"/>
      <c r="H529" s="92">
        <v>0</v>
      </c>
      <c r="I529" s="92">
        <v>15</v>
      </c>
      <c r="J529" s="85">
        <v>0</v>
      </c>
      <c r="K529" s="91"/>
      <c r="L529" s="85">
        <f t="shared" si="3"/>
        <v>15</v>
      </c>
      <c r="M529" s="95">
        <v>39883</v>
      </c>
      <c r="N529" s="92" t="s">
        <v>584</v>
      </c>
    </row>
    <row r="530" spans="1:14" s="84" customFormat="1" x14ac:dyDescent="0.25">
      <c r="A530">
        <v>529</v>
      </c>
      <c r="B530" s="85" t="s">
        <v>1501</v>
      </c>
      <c r="C530" s="85"/>
      <c r="D530" s="85" t="s">
        <v>526</v>
      </c>
      <c r="E530" s="94" t="s">
        <v>374</v>
      </c>
      <c r="F530" s="85" t="s">
        <v>36</v>
      </c>
      <c r="G530" s="92"/>
      <c r="H530" s="92">
        <v>0.67</v>
      </c>
      <c r="I530" s="92">
        <v>-2.1</v>
      </c>
      <c r="J530" s="85">
        <v>0</v>
      </c>
      <c r="K530" s="91"/>
      <c r="L530" s="85">
        <f t="shared" si="3"/>
        <v>-2.1</v>
      </c>
      <c r="M530" s="95">
        <v>40617</v>
      </c>
      <c r="N530" s="92" t="s">
        <v>584</v>
      </c>
    </row>
    <row r="531" spans="1:14" s="84" customFormat="1" x14ac:dyDescent="0.25">
      <c r="A531">
        <v>530</v>
      </c>
      <c r="B531" s="85" t="s">
        <v>1500</v>
      </c>
      <c r="C531" s="85"/>
      <c r="D531" s="85" t="s">
        <v>526</v>
      </c>
      <c r="E531" s="94" t="s">
        <v>374</v>
      </c>
      <c r="F531" s="85" t="s">
        <v>36</v>
      </c>
      <c r="G531" s="92"/>
      <c r="H531" s="92">
        <v>0</v>
      </c>
      <c r="I531" s="92">
        <v>8</v>
      </c>
      <c r="J531" s="85">
        <v>0</v>
      </c>
      <c r="K531" s="91"/>
      <c r="L531" s="85">
        <f t="shared" si="3"/>
        <v>8</v>
      </c>
      <c r="M531" s="95">
        <v>39883</v>
      </c>
      <c r="N531" s="92" t="s">
        <v>584</v>
      </c>
    </row>
    <row r="532" spans="1:14" s="84" customFormat="1" x14ac:dyDescent="0.25">
      <c r="A532">
        <v>531</v>
      </c>
      <c r="B532" s="85" t="s">
        <v>585</v>
      </c>
      <c r="C532" s="85"/>
      <c r="D532" s="85" t="s">
        <v>526</v>
      </c>
      <c r="E532" s="94" t="s">
        <v>374</v>
      </c>
      <c r="F532" s="85" t="s">
        <v>36</v>
      </c>
      <c r="G532" s="92"/>
      <c r="H532" s="92">
        <v>0.87</v>
      </c>
      <c r="I532" s="92">
        <v>-3.64</v>
      </c>
      <c r="J532" s="85">
        <v>0</v>
      </c>
      <c r="K532" s="91"/>
      <c r="L532" s="85">
        <f t="shared" si="3"/>
        <v>-3.64</v>
      </c>
      <c r="M532" s="95">
        <v>40617</v>
      </c>
      <c r="N532" s="92" t="s">
        <v>584</v>
      </c>
    </row>
    <row r="533" spans="1:14" s="84" customFormat="1" x14ac:dyDescent="0.25">
      <c r="A533">
        <v>532</v>
      </c>
      <c r="B533" s="85" t="s">
        <v>1499</v>
      </c>
      <c r="C533" s="85"/>
      <c r="D533" s="85" t="s">
        <v>526</v>
      </c>
      <c r="E533" s="94" t="s">
        <v>374</v>
      </c>
      <c r="F533" s="85" t="s">
        <v>36</v>
      </c>
      <c r="G533" s="92"/>
      <c r="H533" s="92">
        <v>0.53</v>
      </c>
      <c r="I533" s="92">
        <v>3.43</v>
      </c>
      <c r="J533" s="85">
        <v>0</v>
      </c>
      <c r="K533" s="91"/>
      <c r="L533" s="85">
        <f t="shared" si="3"/>
        <v>3.43</v>
      </c>
      <c r="M533" s="95">
        <v>39883</v>
      </c>
      <c r="N533" s="92" t="s">
        <v>584</v>
      </c>
    </row>
    <row r="534" spans="1:14" s="84" customFormat="1" x14ac:dyDescent="0.25">
      <c r="A534">
        <v>533</v>
      </c>
      <c r="B534" s="85" t="s">
        <v>1498</v>
      </c>
      <c r="C534" s="85"/>
      <c r="D534" s="85" t="s">
        <v>526</v>
      </c>
      <c r="E534" s="94" t="s">
        <v>374</v>
      </c>
      <c r="F534" s="85" t="s">
        <v>36</v>
      </c>
      <c r="G534" s="92"/>
      <c r="H534" s="92">
        <v>0.66</v>
      </c>
      <c r="I534" s="92">
        <v>-2.14</v>
      </c>
      <c r="J534" s="85">
        <v>0</v>
      </c>
      <c r="K534" s="91"/>
      <c r="L534" s="85">
        <f t="shared" si="3"/>
        <v>-2.14</v>
      </c>
      <c r="M534" s="95">
        <v>39883</v>
      </c>
      <c r="N534" s="92" t="s">
        <v>530</v>
      </c>
    </row>
    <row r="535" spans="1:14" s="84" customFormat="1" x14ac:dyDescent="0.25">
      <c r="A535">
        <v>534</v>
      </c>
      <c r="B535" s="85" t="s">
        <v>1497</v>
      </c>
      <c r="C535" s="85"/>
      <c r="D535" s="85" t="s">
        <v>526</v>
      </c>
      <c r="E535" s="94" t="s">
        <v>374</v>
      </c>
      <c r="F535" s="85" t="s">
        <v>36</v>
      </c>
      <c r="G535" s="92"/>
      <c r="H535" s="92">
        <v>0.32</v>
      </c>
      <c r="I535" s="92">
        <v>0</v>
      </c>
      <c r="J535" s="85">
        <v>0</v>
      </c>
      <c r="K535" s="91"/>
      <c r="L535" s="79">
        <f t="shared" si="3"/>
        <v>0</v>
      </c>
      <c r="M535" s="95">
        <v>39883</v>
      </c>
      <c r="N535" s="92" t="s">
        <v>530</v>
      </c>
    </row>
    <row r="536" spans="1:14" s="84" customFormat="1" x14ac:dyDescent="0.25">
      <c r="A536">
        <v>535</v>
      </c>
      <c r="B536" s="85" t="s">
        <v>1496</v>
      </c>
      <c r="C536" s="85"/>
      <c r="D536" s="85" t="s">
        <v>526</v>
      </c>
      <c r="E536" s="94" t="s">
        <v>374</v>
      </c>
      <c r="F536" s="85" t="s">
        <v>36</v>
      </c>
      <c r="G536" s="92"/>
      <c r="H536" s="92">
        <v>0.35</v>
      </c>
      <c r="I536" s="92">
        <v>34.4</v>
      </c>
      <c r="J536" s="85">
        <v>0</v>
      </c>
      <c r="K536" s="91"/>
      <c r="L536" s="79">
        <f t="shared" si="3"/>
        <v>34.4</v>
      </c>
      <c r="M536" s="95">
        <v>39883</v>
      </c>
      <c r="N536" s="92" t="s">
        <v>530</v>
      </c>
    </row>
    <row r="537" spans="1:14" s="84" customFormat="1" x14ac:dyDescent="0.25">
      <c r="A537">
        <v>536</v>
      </c>
      <c r="B537" s="85" t="s">
        <v>1495</v>
      </c>
      <c r="C537" s="85"/>
      <c r="D537" s="85" t="s">
        <v>526</v>
      </c>
      <c r="E537" s="94" t="s">
        <v>374</v>
      </c>
      <c r="F537" s="85" t="s">
        <v>36</v>
      </c>
      <c r="G537" s="92"/>
      <c r="H537" s="92">
        <v>2.23</v>
      </c>
      <c r="I537" s="92">
        <v>13.11</v>
      </c>
      <c r="J537" s="85">
        <v>0</v>
      </c>
      <c r="K537" s="91"/>
      <c r="L537" s="79">
        <f t="shared" si="3"/>
        <v>13.11</v>
      </c>
      <c r="M537" s="95">
        <v>39883</v>
      </c>
      <c r="N537" s="92" t="s">
        <v>530</v>
      </c>
    </row>
    <row r="538" spans="1:14" s="84" customFormat="1" x14ac:dyDescent="0.25">
      <c r="A538">
        <v>537</v>
      </c>
      <c r="B538" s="85" t="s">
        <v>1494</v>
      </c>
      <c r="C538" s="85"/>
      <c r="D538" s="85" t="s">
        <v>526</v>
      </c>
      <c r="E538" s="94" t="s">
        <v>374</v>
      </c>
      <c r="F538" s="85" t="s">
        <v>36</v>
      </c>
      <c r="G538" s="92"/>
      <c r="H538" s="92">
        <v>1.34</v>
      </c>
      <c r="I538" s="92">
        <v>25.34</v>
      </c>
      <c r="J538" s="85">
        <v>0</v>
      </c>
      <c r="K538" s="91"/>
      <c r="L538" s="85">
        <f t="shared" si="3"/>
        <v>25.34</v>
      </c>
      <c r="M538" s="95">
        <v>39883</v>
      </c>
      <c r="N538" s="92" t="s">
        <v>530</v>
      </c>
    </row>
    <row r="539" spans="1:14" s="84" customFormat="1" x14ac:dyDescent="0.25">
      <c r="A539">
        <v>538</v>
      </c>
      <c r="B539" s="85" t="s">
        <v>1493</v>
      </c>
      <c r="C539" s="85"/>
      <c r="D539" s="85" t="s">
        <v>526</v>
      </c>
      <c r="E539" s="94" t="s">
        <v>374</v>
      </c>
      <c r="F539" s="85" t="s">
        <v>36</v>
      </c>
      <c r="G539" s="92"/>
      <c r="H539" s="92">
        <v>2.52</v>
      </c>
      <c r="I539" s="92">
        <v>10.199999999999999</v>
      </c>
      <c r="J539" s="85">
        <v>0</v>
      </c>
      <c r="K539" s="91"/>
      <c r="L539" s="85">
        <f t="shared" si="3"/>
        <v>10.199999999999999</v>
      </c>
      <c r="M539" s="95">
        <v>39883</v>
      </c>
      <c r="N539" s="92" t="s">
        <v>530</v>
      </c>
    </row>
    <row r="540" spans="1:14" s="84" customFormat="1" x14ac:dyDescent="0.25">
      <c r="A540">
        <v>539</v>
      </c>
      <c r="B540" s="85" t="s">
        <v>1492</v>
      </c>
      <c r="C540" s="85"/>
      <c r="D540" s="85" t="s">
        <v>526</v>
      </c>
      <c r="E540" s="94" t="s">
        <v>374</v>
      </c>
      <c r="F540" s="85" t="s">
        <v>36</v>
      </c>
      <c r="G540" s="92"/>
      <c r="H540" s="92">
        <v>1.77</v>
      </c>
      <c r="I540" s="92">
        <v>19.75</v>
      </c>
      <c r="J540" s="85">
        <v>0</v>
      </c>
      <c r="K540" s="91"/>
      <c r="L540" s="85">
        <f t="shared" si="3"/>
        <v>19.75</v>
      </c>
      <c r="M540" s="95">
        <v>39883</v>
      </c>
      <c r="N540" s="92" t="s">
        <v>530</v>
      </c>
    </row>
    <row r="541" spans="1:14" s="84" customFormat="1" x14ac:dyDescent="0.25">
      <c r="A541">
        <v>540</v>
      </c>
      <c r="B541" s="85" t="s">
        <v>1491</v>
      </c>
      <c r="C541" s="85"/>
      <c r="D541" s="85" t="s">
        <v>526</v>
      </c>
      <c r="E541" s="94" t="s">
        <v>374</v>
      </c>
      <c r="F541" s="85" t="s">
        <v>36</v>
      </c>
      <c r="G541" s="92"/>
      <c r="H541" s="92">
        <v>4.42</v>
      </c>
      <c r="I541" s="92">
        <v>-19.21</v>
      </c>
      <c r="J541" s="85">
        <v>0</v>
      </c>
      <c r="K541" s="91"/>
      <c r="L541" s="85">
        <f t="shared" si="3"/>
        <v>-19.21</v>
      </c>
      <c r="M541" s="95">
        <v>39883</v>
      </c>
      <c r="N541" s="92" t="s">
        <v>530</v>
      </c>
    </row>
    <row r="542" spans="1:14" s="84" customFormat="1" x14ac:dyDescent="0.25">
      <c r="A542">
        <v>541</v>
      </c>
      <c r="B542" s="85" t="s">
        <v>1490</v>
      </c>
      <c r="C542" s="85"/>
      <c r="D542" s="85" t="s">
        <v>526</v>
      </c>
      <c r="E542" s="94" t="s">
        <v>374</v>
      </c>
      <c r="F542" s="85" t="s">
        <v>36</v>
      </c>
      <c r="G542" s="92"/>
      <c r="H542" s="92">
        <v>2.1</v>
      </c>
      <c r="I542" s="92">
        <v>4.59</v>
      </c>
      <c r="J542" s="85">
        <v>0</v>
      </c>
      <c r="K542" s="91"/>
      <c r="L542" s="85">
        <f t="shared" si="3"/>
        <v>4.59</v>
      </c>
      <c r="M542" s="95">
        <v>39883</v>
      </c>
      <c r="N542" s="92" t="s">
        <v>530</v>
      </c>
    </row>
    <row r="543" spans="1:14" s="84" customFormat="1" x14ac:dyDescent="0.25">
      <c r="A543">
        <v>542</v>
      </c>
      <c r="B543" s="85" t="s">
        <v>1489</v>
      </c>
      <c r="C543" s="85"/>
      <c r="D543" s="85" t="s">
        <v>526</v>
      </c>
      <c r="E543" s="94" t="s">
        <v>374</v>
      </c>
      <c r="F543" s="85" t="s">
        <v>36</v>
      </c>
      <c r="G543" s="92"/>
      <c r="H543" s="92">
        <v>1.59</v>
      </c>
      <c r="I543" s="92">
        <v>19</v>
      </c>
      <c r="J543" s="85">
        <v>0</v>
      </c>
      <c r="K543" s="91"/>
      <c r="L543" s="85">
        <f t="shared" si="3"/>
        <v>19</v>
      </c>
      <c r="M543" s="95">
        <v>39883</v>
      </c>
      <c r="N543" s="92" t="s">
        <v>530</v>
      </c>
    </row>
    <row r="544" spans="1:14" s="84" customFormat="1" x14ac:dyDescent="0.25">
      <c r="A544">
        <v>543</v>
      </c>
      <c r="B544" s="85" t="s">
        <v>1488</v>
      </c>
      <c r="C544" s="85"/>
      <c r="D544" s="85" t="s">
        <v>526</v>
      </c>
      <c r="E544" s="94" t="s">
        <v>374</v>
      </c>
      <c r="F544" s="85" t="s">
        <v>36</v>
      </c>
      <c r="G544" s="92"/>
      <c r="H544" s="92">
        <v>2.11</v>
      </c>
      <c r="I544" s="92">
        <v>-2.68</v>
      </c>
      <c r="J544" s="85">
        <v>0</v>
      </c>
      <c r="K544" s="91"/>
      <c r="L544" s="85">
        <f t="shared" si="3"/>
        <v>-2.68</v>
      </c>
      <c r="M544" s="95">
        <v>39883</v>
      </c>
      <c r="N544" s="92" t="s">
        <v>530</v>
      </c>
    </row>
    <row r="545" spans="1:14" s="84" customFormat="1" x14ac:dyDescent="0.25">
      <c r="A545">
        <v>544</v>
      </c>
      <c r="B545" s="85" t="s">
        <v>1487</v>
      </c>
      <c r="C545" s="85"/>
      <c r="D545" s="85" t="s">
        <v>526</v>
      </c>
      <c r="E545" s="94" t="s">
        <v>374</v>
      </c>
      <c r="F545" s="85" t="s">
        <v>36</v>
      </c>
      <c r="G545" s="92"/>
      <c r="H545" s="92">
        <v>2.2400000000000002</v>
      </c>
      <c r="I545" s="92">
        <v>3.86</v>
      </c>
      <c r="J545" s="85">
        <v>0</v>
      </c>
      <c r="K545" s="91"/>
      <c r="L545" s="79">
        <f t="shared" si="3"/>
        <v>3.86</v>
      </c>
      <c r="M545" s="95">
        <v>39883</v>
      </c>
      <c r="N545" s="92" t="s">
        <v>530</v>
      </c>
    </row>
    <row r="546" spans="1:14" s="84" customFormat="1" x14ac:dyDescent="0.25">
      <c r="A546">
        <v>545</v>
      </c>
      <c r="B546" s="85" t="s">
        <v>1486</v>
      </c>
      <c r="C546" s="85"/>
      <c r="D546" s="85" t="s">
        <v>526</v>
      </c>
      <c r="E546" s="94" t="s">
        <v>374</v>
      </c>
      <c r="F546" s="85" t="s">
        <v>36</v>
      </c>
      <c r="G546" s="92"/>
      <c r="H546" s="92">
        <v>1.6</v>
      </c>
      <c r="I546" s="92">
        <v>13.4</v>
      </c>
      <c r="J546" s="85">
        <v>0</v>
      </c>
      <c r="K546" s="91"/>
      <c r="L546" s="79">
        <f t="shared" si="3"/>
        <v>13.4</v>
      </c>
      <c r="M546" s="95">
        <v>39883</v>
      </c>
      <c r="N546" s="92" t="s">
        <v>530</v>
      </c>
    </row>
    <row r="547" spans="1:14" s="84" customFormat="1" x14ac:dyDescent="0.25">
      <c r="A547">
        <v>546</v>
      </c>
      <c r="B547" s="85" t="s">
        <v>1485</v>
      </c>
      <c r="C547" s="85"/>
      <c r="D547" s="85" t="s">
        <v>526</v>
      </c>
      <c r="E547" s="94" t="s">
        <v>374</v>
      </c>
      <c r="F547" s="85" t="s">
        <v>36</v>
      </c>
      <c r="G547" s="92"/>
      <c r="H547" s="92">
        <v>4.72</v>
      </c>
      <c r="I547" s="92">
        <v>-8.0399999999999991</v>
      </c>
      <c r="J547" s="85">
        <v>0</v>
      </c>
      <c r="K547" s="91"/>
      <c r="L547" s="79">
        <f t="shared" si="3"/>
        <v>-8.0399999999999991</v>
      </c>
      <c r="M547" s="95">
        <v>39883</v>
      </c>
      <c r="N547" s="92" t="s">
        <v>530</v>
      </c>
    </row>
    <row r="548" spans="1:14" s="84" customFormat="1" x14ac:dyDescent="0.25">
      <c r="A548">
        <v>547</v>
      </c>
      <c r="B548" s="85" t="s">
        <v>1484</v>
      </c>
      <c r="C548" s="85"/>
      <c r="D548" s="85" t="s">
        <v>526</v>
      </c>
      <c r="E548" s="94" t="s">
        <v>374</v>
      </c>
      <c r="F548" s="85" t="s">
        <v>36</v>
      </c>
      <c r="G548" s="92"/>
      <c r="H548" s="92">
        <v>2.1</v>
      </c>
      <c r="I548" s="92">
        <v>4.59</v>
      </c>
      <c r="J548" s="85">
        <v>0</v>
      </c>
      <c r="K548" s="91"/>
      <c r="L548" s="79">
        <f t="shared" si="3"/>
        <v>4.59</v>
      </c>
      <c r="M548" s="95">
        <v>39883</v>
      </c>
      <c r="N548" s="92" t="s">
        <v>530</v>
      </c>
    </row>
    <row r="549" spans="1:14" s="84" customFormat="1" x14ac:dyDescent="0.25">
      <c r="A549">
        <v>548</v>
      </c>
      <c r="B549" s="85" t="s">
        <v>1483</v>
      </c>
      <c r="C549" s="85"/>
      <c r="D549" s="85" t="s">
        <v>526</v>
      </c>
      <c r="E549" s="94" t="s">
        <v>374</v>
      </c>
      <c r="F549" s="85" t="s">
        <v>36</v>
      </c>
      <c r="G549" s="92"/>
      <c r="H549" s="92">
        <v>1.06</v>
      </c>
      <c r="I549" s="92">
        <v>29.53</v>
      </c>
      <c r="J549" s="85">
        <v>0</v>
      </c>
      <c r="K549" s="91"/>
      <c r="L549" s="85">
        <f t="shared" si="3"/>
        <v>29.53</v>
      </c>
      <c r="M549" s="95">
        <v>39883</v>
      </c>
      <c r="N549" s="92" t="s">
        <v>530</v>
      </c>
    </row>
    <row r="550" spans="1:14" s="84" customFormat="1" x14ac:dyDescent="0.25">
      <c r="A550">
        <v>549</v>
      </c>
      <c r="B550" s="85" t="s">
        <v>1482</v>
      </c>
      <c r="C550" s="85"/>
      <c r="D550" s="85" t="s">
        <v>526</v>
      </c>
      <c r="E550" s="94" t="s">
        <v>374</v>
      </c>
      <c r="F550" s="85" t="s">
        <v>36</v>
      </c>
      <c r="G550" s="92"/>
      <c r="H550" s="92">
        <v>1.46</v>
      </c>
      <c r="I550" s="92">
        <v>5.85</v>
      </c>
      <c r="J550" s="85">
        <v>0</v>
      </c>
      <c r="K550" s="91"/>
      <c r="L550" s="79">
        <f t="shared" si="3"/>
        <v>5.85</v>
      </c>
      <c r="M550" s="95">
        <v>39883</v>
      </c>
      <c r="N550" s="92" t="s">
        <v>530</v>
      </c>
    </row>
    <row r="551" spans="1:14" s="84" customFormat="1" x14ac:dyDescent="0.25">
      <c r="A551">
        <v>550</v>
      </c>
      <c r="B551" s="85" t="s">
        <v>1481</v>
      </c>
      <c r="C551" s="85"/>
      <c r="D551" s="85" t="s">
        <v>526</v>
      </c>
      <c r="E551" s="94" t="s">
        <v>374</v>
      </c>
      <c r="F551" s="85" t="s">
        <v>36</v>
      </c>
      <c r="G551" s="92"/>
      <c r="H551" s="92">
        <v>2.37</v>
      </c>
      <c r="I551" s="92">
        <v>1.22</v>
      </c>
      <c r="J551" s="85">
        <v>0</v>
      </c>
      <c r="K551" s="91"/>
      <c r="L551" s="79">
        <f t="shared" si="3"/>
        <v>1.22</v>
      </c>
      <c r="M551" s="95">
        <v>39883</v>
      </c>
      <c r="N551" s="92" t="s">
        <v>530</v>
      </c>
    </row>
    <row r="552" spans="1:14" s="84" customFormat="1" x14ac:dyDescent="0.25">
      <c r="A552">
        <v>551</v>
      </c>
      <c r="B552" s="85" t="s">
        <v>1480</v>
      </c>
      <c r="C552" s="85"/>
      <c r="D552" s="85" t="s">
        <v>526</v>
      </c>
      <c r="E552" s="94" t="s">
        <v>374</v>
      </c>
      <c r="F552" s="85" t="s">
        <v>36</v>
      </c>
      <c r="G552" s="92"/>
      <c r="H552" s="92">
        <v>1.6</v>
      </c>
      <c r="I552" s="92">
        <v>13.6</v>
      </c>
      <c r="J552" s="85">
        <v>0</v>
      </c>
      <c r="K552" s="91"/>
      <c r="L552" s="79">
        <f t="shared" si="3"/>
        <v>13.6</v>
      </c>
      <c r="M552" s="95">
        <v>39883</v>
      </c>
      <c r="N552" s="92" t="s">
        <v>530</v>
      </c>
    </row>
    <row r="553" spans="1:14" s="84" customFormat="1" x14ac:dyDescent="0.25">
      <c r="A553">
        <v>552</v>
      </c>
      <c r="B553" s="85" t="s">
        <v>1479</v>
      </c>
      <c r="C553" s="85"/>
      <c r="D553" s="85" t="s">
        <v>526</v>
      </c>
      <c r="E553" s="94" t="s">
        <v>374</v>
      </c>
      <c r="F553" s="85" t="s">
        <v>36</v>
      </c>
      <c r="G553" s="92"/>
      <c r="H553" s="92">
        <v>4.78</v>
      </c>
      <c r="I553" s="92">
        <v>-12.53</v>
      </c>
      <c r="J553" s="85">
        <v>0</v>
      </c>
      <c r="K553" s="91"/>
      <c r="L553" s="79">
        <f t="shared" si="3"/>
        <v>-12.53</v>
      </c>
      <c r="M553" s="95">
        <v>39883</v>
      </c>
      <c r="N553" s="92" t="s">
        <v>530</v>
      </c>
    </row>
    <row r="554" spans="1:14" s="84" customFormat="1" x14ac:dyDescent="0.25">
      <c r="A554">
        <v>553</v>
      </c>
      <c r="B554" s="85" t="s">
        <v>1478</v>
      </c>
      <c r="C554" s="85"/>
      <c r="D554" s="85" t="s">
        <v>526</v>
      </c>
      <c r="E554" s="94" t="s">
        <v>41</v>
      </c>
      <c r="F554" s="85" t="s">
        <v>36</v>
      </c>
      <c r="G554" s="92" t="s">
        <v>36</v>
      </c>
      <c r="H554" s="92">
        <v>3.2000000000000001E-2</v>
      </c>
      <c r="I554" s="92">
        <v>1.33</v>
      </c>
      <c r="J554" s="85">
        <v>0</v>
      </c>
      <c r="K554" s="85">
        <v>0</v>
      </c>
      <c r="L554" s="137">
        <f>H554*J554*K554+I554</f>
        <v>1.33</v>
      </c>
      <c r="M554" s="95">
        <v>39883</v>
      </c>
      <c r="N554" s="92" t="s">
        <v>535</v>
      </c>
    </row>
    <row r="555" spans="1:14" s="84" customFormat="1" x14ac:dyDescent="0.25">
      <c r="A555">
        <v>554</v>
      </c>
      <c r="B555" s="85" t="s">
        <v>1477</v>
      </c>
      <c r="C555" s="85"/>
      <c r="D555" s="85" t="s">
        <v>526</v>
      </c>
      <c r="E555" s="94" t="s">
        <v>374</v>
      </c>
      <c r="F555" s="85" t="s">
        <v>36</v>
      </c>
      <c r="G555" s="92"/>
      <c r="H555" s="92">
        <v>2.73</v>
      </c>
      <c r="I555" s="92">
        <v>6.7</v>
      </c>
      <c r="J555" s="85">
        <v>0</v>
      </c>
      <c r="K555" s="91"/>
      <c r="L555" s="79">
        <f t="shared" ref="L555:L567" si="4">H555*J555+I555</f>
        <v>6.7</v>
      </c>
      <c r="M555" s="95">
        <v>39883</v>
      </c>
      <c r="N555" s="92" t="s">
        <v>530</v>
      </c>
    </row>
    <row r="556" spans="1:14" s="84" customFormat="1" x14ac:dyDescent="0.25">
      <c r="A556">
        <v>555</v>
      </c>
      <c r="B556" s="85" t="s">
        <v>1476</v>
      </c>
      <c r="C556" s="85"/>
      <c r="D556" s="85" t="s">
        <v>526</v>
      </c>
      <c r="E556" s="94" t="s">
        <v>374</v>
      </c>
      <c r="F556" s="85" t="s">
        <v>36</v>
      </c>
      <c r="G556" s="92"/>
      <c r="H556" s="92">
        <v>2.2000000000000002</v>
      </c>
      <c r="I556" s="92">
        <v>24</v>
      </c>
      <c r="J556" s="85">
        <v>0</v>
      </c>
      <c r="K556" s="91"/>
      <c r="L556" s="79">
        <f t="shared" si="4"/>
        <v>24</v>
      </c>
      <c r="M556" s="95">
        <v>39883</v>
      </c>
      <c r="N556" s="92" t="s">
        <v>530</v>
      </c>
    </row>
    <row r="557" spans="1:14" s="84" customFormat="1" x14ac:dyDescent="0.25">
      <c r="A557">
        <v>556</v>
      </c>
      <c r="B557" s="85" t="s">
        <v>1475</v>
      </c>
      <c r="C557" s="85"/>
      <c r="D557" s="85" t="s">
        <v>526</v>
      </c>
      <c r="E557" s="94" t="s">
        <v>374</v>
      </c>
      <c r="F557" s="85" t="s">
        <v>36</v>
      </c>
      <c r="G557" s="92"/>
      <c r="H557" s="92">
        <v>0</v>
      </c>
      <c r="I557" s="92">
        <v>65</v>
      </c>
      <c r="J557" s="85">
        <v>0</v>
      </c>
      <c r="K557" s="91"/>
      <c r="L557" s="79">
        <f t="shared" si="4"/>
        <v>65</v>
      </c>
      <c r="M557" s="95">
        <v>39883</v>
      </c>
      <c r="N557" s="92" t="s">
        <v>530</v>
      </c>
    </row>
    <row r="558" spans="1:14" s="84" customFormat="1" x14ac:dyDescent="0.25">
      <c r="A558">
        <v>557</v>
      </c>
      <c r="B558" s="85" t="s">
        <v>1474</v>
      </c>
      <c r="C558" s="85"/>
      <c r="D558" s="85" t="s">
        <v>526</v>
      </c>
      <c r="E558" s="94" t="s">
        <v>374</v>
      </c>
      <c r="F558" s="85" t="s">
        <v>36</v>
      </c>
      <c r="G558" s="92"/>
      <c r="H558" s="92">
        <v>1.32</v>
      </c>
      <c r="I558" s="92">
        <v>-6.08</v>
      </c>
      <c r="J558" s="85">
        <v>0</v>
      </c>
      <c r="K558" s="91"/>
      <c r="L558" s="79">
        <f t="shared" si="4"/>
        <v>-6.08</v>
      </c>
      <c r="M558" s="95">
        <v>39883</v>
      </c>
      <c r="N558" s="92" t="s">
        <v>530</v>
      </c>
    </row>
    <row r="559" spans="1:14" s="84" customFormat="1" x14ac:dyDescent="0.25">
      <c r="A559">
        <v>558</v>
      </c>
      <c r="B559" s="85" t="s">
        <v>1473</v>
      </c>
      <c r="C559" s="85"/>
      <c r="D559" s="85" t="s">
        <v>526</v>
      </c>
      <c r="E559" s="94" t="s">
        <v>374</v>
      </c>
      <c r="F559" s="85" t="s">
        <v>36</v>
      </c>
      <c r="G559" s="92"/>
      <c r="H559" s="92">
        <v>1.64</v>
      </c>
      <c r="I559" s="92">
        <v>-3.15</v>
      </c>
      <c r="J559" s="85">
        <v>0</v>
      </c>
      <c r="K559" s="91"/>
      <c r="L559" s="79">
        <f t="shared" si="4"/>
        <v>-3.15</v>
      </c>
      <c r="M559" s="95">
        <v>39883</v>
      </c>
      <c r="N559" s="92" t="s">
        <v>530</v>
      </c>
    </row>
    <row r="560" spans="1:14" s="84" customFormat="1" x14ac:dyDescent="0.25">
      <c r="A560">
        <v>559</v>
      </c>
      <c r="B560" s="85" t="s">
        <v>1472</v>
      </c>
      <c r="C560" s="85"/>
      <c r="D560" s="85" t="s">
        <v>526</v>
      </c>
      <c r="E560" s="94" t="s">
        <v>374</v>
      </c>
      <c r="F560" s="85" t="s">
        <v>36</v>
      </c>
      <c r="G560" s="92"/>
      <c r="H560" s="92">
        <v>1.8</v>
      </c>
      <c r="I560" s="92">
        <v>-6.45</v>
      </c>
      <c r="J560" s="85">
        <v>0</v>
      </c>
      <c r="K560" s="91"/>
      <c r="L560" s="79">
        <f t="shared" si="4"/>
        <v>-6.45</v>
      </c>
      <c r="M560" s="95">
        <v>39883</v>
      </c>
      <c r="N560" s="92" t="s">
        <v>530</v>
      </c>
    </row>
    <row r="561" spans="1:256" s="84" customFormat="1" x14ac:dyDescent="0.25">
      <c r="A561">
        <v>560</v>
      </c>
      <c r="B561" s="85" t="s">
        <v>1471</v>
      </c>
      <c r="C561" s="85"/>
      <c r="D561" s="85" t="s">
        <v>526</v>
      </c>
      <c r="E561" s="94" t="s">
        <v>374</v>
      </c>
      <c r="F561" s="85" t="s">
        <v>36</v>
      </c>
      <c r="G561" s="92"/>
      <c r="H561" s="92">
        <v>6.52</v>
      </c>
      <c r="I561" s="92">
        <v>-27.18</v>
      </c>
      <c r="J561" s="85">
        <v>0</v>
      </c>
      <c r="K561" s="91"/>
      <c r="L561" s="79">
        <f t="shared" si="4"/>
        <v>-27.18</v>
      </c>
      <c r="M561" s="95">
        <v>39883</v>
      </c>
      <c r="N561" s="92" t="s">
        <v>530</v>
      </c>
    </row>
    <row r="562" spans="1:256" s="84" customFormat="1" x14ac:dyDescent="0.25">
      <c r="A562">
        <v>561</v>
      </c>
      <c r="B562" s="85" t="s">
        <v>1470</v>
      </c>
      <c r="C562" s="85"/>
      <c r="D562" s="85" t="s">
        <v>526</v>
      </c>
      <c r="E562" s="94" t="s">
        <v>374</v>
      </c>
      <c r="F562" s="85" t="s">
        <v>36</v>
      </c>
      <c r="G562" s="92"/>
      <c r="H562" s="92">
        <v>0.2</v>
      </c>
      <c r="I562" s="92">
        <v>8.9</v>
      </c>
      <c r="J562" s="85">
        <v>0</v>
      </c>
      <c r="K562" s="91"/>
      <c r="L562" s="79">
        <f t="shared" si="4"/>
        <v>8.9</v>
      </c>
      <c r="M562" s="95">
        <v>39929</v>
      </c>
      <c r="N562" s="92" t="s">
        <v>530</v>
      </c>
      <c r="O562" s="125"/>
      <c r="P562" s="125"/>
      <c r="Q562" s="125"/>
      <c r="R562" s="125"/>
      <c r="S562" s="125"/>
      <c r="T562" s="125"/>
      <c r="U562" s="125"/>
      <c r="V562" s="125"/>
      <c r="W562" s="125"/>
      <c r="X562" s="125"/>
      <c r="Y562" s="125"/>
      <c r="Z562" s="125"/>
      <c r="AA562" s="125"/>
      <c r="AB562" s="125"/>
      <c r="AC562" s="125"/>
      <c r="AD562" s="125"/>
      <c r="AE562" s="125"/>
      <c r="AF562" s="125"/>
      <c r="AG562" s="125"/>
      <c r="AH562" s="125"/>
      <c r="AI562" s="125"/>
      <c r="AJ562" s="125"/>
      <c r="AK562" s="125"/>
      <c r="AL562" s="125"/>
      <c r="AM562" s="125"/>
      <c r="AN562" s="125"/>
      <c r="AO562" s="125"/>
      <c r="AP562" s="125"/>
      <c r="AQ562" s="125"/>
      <c r="AR562" s="125"/>
      <c r="AS562" s="125"/>
      <c r="AT562" s="125"/>
      <c r="AU562" s="125"/>
      <c r="AV562" s="125"/>
      <c r="AW562" s="125"/>
      <c r="AX562" s="125"/>
      <c r="AY562" s="125"/>
      <c r="AZ562" s="125"/>
      <c r="BA562" s="125"/>
      <c r="BB562" s="125"/>
      <c r="BC562" s="125"/>
      <c r="BD562" s="125"/>
      <c r="BE562" s="125"/>
      <c r="BF562" s="125"/>
      <c r="BG562" s="125"/>
      <c r="BH562" s="125"/>
      <c r="BI562" s="125"/>
      <c r="BJ562" s="125"/>
      <c r="BK562" s="125"/>
      <c r="BL562" s="125"/>
      <c r="BM562" s="125"/>
      <c r="BN562" s="125"/>
      <c r="BO562" s="125"/>
      <c r="BP562" s="125"/>
      <c r="BQ562" s="125"/>
      <c r="BR562" s="125"/>
      <c r="BS562" s="125"/>
      <c r="BT562" s="125"/>
      <c r="BU562" s="125"/>
      <c r="BV562" s="125"/>
      <c r="BW562" s="125"/>
      <c r="BX562" s="125"/>
      <c r="BY562" s="125"/>
      <c r="BZ562" s="125"/>
      <c r="CA562" s="125"/>
      <c r="CB562" s="125"/>
      <c r="CC562" s="125"/>
      <c r="CD562" s="125"/>
      <c r="CE562" s="125"/>
      <c r="CF562" s="125"/>
      <c r="CG562" s="125"/>
      <c r="CH562" s="125"/>
      <c r="CI562" s="125"/>
      <c r="CJ562" s="125"/>
      <c r="CK562" s="125"/>
      <c r="CL562" s="125"/>
      <c r="CM562" s="125"/>
      <c r="CN562" s="125"/>
      <c r="CO562" s="125"/>
      <c r="CP562" s="125"/>
      <c r="CQ562" s="125"/>
      <c r="CR562" s="125"/>
      <c r="CS562" s="125"/>
      <c r="CT562" s="125"/>
      <c r="CU562" s="125"/>
      <c r="CV562" s="125"/>
      <c r="CW562" s="125"/>
      <c r="CX562" s="125"/>
      <c r="CY562" s="125"/>
      <c r="CZ562" s="125"/>
      <c r="DA562" s="125"/>
      <c r="DB562" s="125"/>
      <c r="DC562" s="125"/>
      <c r="DD562" s="125"/>
      <c r="DE562" s="125"/>
      <c r="DF562" s="125"/>
      <c r="DG562" s="125"/>
      <c r="DH562" s="125"/>
      <c r="DI562" s="125"/>
      <c r="DJ562" s="125"/>
      <c r="DK562" s="125"/>
      <c r="DL562" s="125"/>
      <c r="DM562" s="125"/>
      <c r="DN562" s="125"/>
      <c r="DO562" s="125"/>
      <c r="DP562" s="125"/>
      <c r="DQ562" s="125"/>
      <c r="DR562" s="125"/>
      <c r="DS562" s="125"/>
      <c r="DT562" s="125"/>
      <c r="DU562" s="125"/>
      <c r="DV562" s="125"/>
      <c r="DW562" s="125"/>
      <c r="DX562" s="125"/>
      <c r="DY562" s="125"/>
      <c r="DZ562" s="125"/>
      <c r="EA562" s="125"/>
      <c r="EB562" s="125"/>
      <c r="EC562" s="125"/>
      <c r="ED562" s="125"/>
      <c r="EE562" s="125"/>
      <c r="EF562" s="125"/>
      <c r="EG562" s="125"/>
      <c r="EH562" s="125"/>
      <c r="EI562" s="125"/>
      <c r="EJ562" s="125"/>
      <c r="EK562" s="125"/>
      <c r="EL562" s="125"/>
      <c r="EM562" s="125"/>
      <c r="EN562" s="125"/>
      <c r="EO562" s="125"/>
      <c r="EP562" s="125"/>
      <c r="EQ562" s="125"/>
      <c r="ER562" s="125"/>
      <c r="ES562" s="125"/>
      <c r="ET562" s="125"/>
      <c r="EU562" s="125"/>
      <c r="EV562" s="125"/>
      <c r="EW562" s="125"/>
      <c r="EX562" s="125"/>
      <c r="EY562" s="125"/>
      <c r="EZ562" s="125"/>
      <c r="FA562" s="125"/>
      <c r="FB562" s="125"/>
      <c r="FC562" s="125"/>
      <c r="FD562" s="125"/>
      <c r="FE562" s="125"/>
      <c r="FF562" s="125"/>
      <c r="FG562" s="125"/>
      <c r="FH562" s="125"/>
      <c r="FI562" s="125"/>
      <c r="FJ562" s="125"/>
      <c r="FK562" s="125"/>
      <c r="FL562" s="125"/>
      <c r="FM562" s="125"/>
      <c r="FN562" s="125"/>
      <c r="FO562" s="125"/>
      <c r="FP562" s="125"/>
      <c r="FQ562" s="125"/>
      <c r="FR562" s="125"/>
      <c r="FS562" s="125"/>
      <c r="FT562" s="125"/>
      <c r="FU562" s="125"/>
      <c r="FV562" s="125"/>
      <c r="FW562" s="125"/>
      <c r="FX562" s="125"/>
      <c r="FY562" s="125"/>
      <c r="FZ562" s="125"/>
      <c r="GA562" s="125"/>
      <c r="GB562" s="125"/>
      <c r="GC562" s="125"/>
      <c r="GD562" s="125"/>
      <c r="GE562" s="125"/>
      <c r="GF562" s="125"/>
      <c r="GG562" s="125"/>
      <c r="GH562" s="125"/>
      <c r="GI562" s="125"/>
      <c r="GJ562" s="125"/>
      <c r="GK562" s="125"/>
      <c r="GL562" s="125"/>
      <c r="GM562" s="125"/>
      <c r="GN562" s="125"/>
      <c r="GO562" s="125"/>
      <c r="GP562" s="125"/>
      <c r="GQ562" s="125"/>
      <c r="GR562" s="125"/>
      <c r="GS562" s="125"/>
      <c r="GT562" s="125"/>
      <c r="GU562" s="125"/>
      <c r="GV562" s="125"/>
      <c r="GW562" s="125"/>
      <c r="GX562" s="125"/>
      <c r="GY562" s="125"/>
      <c r="GZ562" s="125"/>
      <c r="HA562" s="125"/>
      <c r="HB562" s="125"/>
      <c r="HC562" s="125"/>
      <c r="HD562" s="125"/>
      <c r="HE562" s="125"/>
      <c r="HF562" s="125"/>
      <c r="HG562" s="125"/>
      <c r="HH562" s="125"/>
      <c r="HI562" s="125"/>
      <c r="HJ562" s="125"/>
      <c r="HK562" s="125"/>
      <c r="HL562" s="125"/>
      <c r="HM562" s="125"/>
      <c r="HN562" s="125"/>
      <c r="HO562" s="125"/>
      <c r="HP562" s="125"/>
      <c r="HQ562" s="125"/>
      <c r="HR562" s="125"/>
      <c r="HS562" s="125"/>
      <c r="HT562" s="125"/>
      <c r="HU562" s="125"/>
      <c r="HV562" s="125"/>
      <c r="HW562" s="125"/>
      <c r="HX562" s="125"/>
      <c r="HY562" s="125"/>
      <c r="HZ562" s="125"/>
      <c r="IA562" s="125"/>
      <c r="IB562" s="125"/>
      <c r="IC562" s="125"/>
      <c r="ID562" s="125"/>
      <c r="IE562" s="125"/>
      <c r="IF562" s="125"/>
      <c r="IG562" s="125"/>
      <c r="IH562" s="125"/>
      <c r="II562" s="125"/>
      <c r="IJ562" s="125"/>
      <c r="IK562" s="125"/>
      <c r="IL562" s="125"/>
      <c r="IM562" s="125"/>
      <c r="IN562" s="125"/>
      <c r="IO562" s="125"/>
      <c r="IP562" s="125"/>
      <c r="IQ562" s="125"/>
      <c r="IR562" s="125"/>
      <c r="IS562" s="125"/>
      <c r="IT562" s="125"/>
      <c r="IU562" s="125"/>
      <c r="IV562" s="125"/>
    </row>
    <row r="563" spans="1:256" s="84" customFormat="1" x14ac:dyDescent="0.25">
      <c r="A563">
        <v>562</v>
      </c>
      <c r="B563" s="85" t="s">
        <v>1469</v>
      </c>
      <c r="C563" s="85"/>
      <c r="D563" s="85" t="s">
        <v>526</v>
      </c>
      <c r="E563" s="94" t="s">
        <v>374</v>
      </c>
      <c r="F563" s="85" t="s">
        <v>36</v>
      </c>
      <c r="G563" s="92"/>
      <c r="H563" s="92">
        <v>0.36799999999999999</v>
      </c>
      <c r="I563" s="92">
        <v>-1.34</v>
      </c>
      <c r="J563" s="85">
        <v>0</v>
      </c>
      <c r="K563" s="91"/>
      <c r="L563" s="79">
        <f t="shared" si="4"/>
        <v>-1.34</v>
      </c>
      <c r="M563" s="95">
        <v>39883</v>
      </c>
      <c r="N563" s="92" t="s">
        <v>530</v>
      </c>
    </row>
    <row r="564" spans="1:256" s="84" customFormat="1" x14ac:dyDescent="0.25">
      <c r="A564">
        <v>563</v>
      </c>
      <c r="B564" s="85" t="s">
        <v>1468</v>
      </c>
      <c r="C564" s="85"/>
      <c r="D564" s="85" t="s">
        <v>526</v>
      </c>
      <c r="E564" s="94" t="s">
        <v>374</v>
      </c>
      <c r="F564" s="85" t="s">
        <v>36</v>
      </c>
      <c r="G564" s="92"/>
      <c r="H564" s="92">
        <v>0.11</v>
      </c>
      <c r="I564" s="92">
        <v>1.71</v>
      </c>
      <c r="J564" s="85">
        <v>0</v>
      </c>
      <c r="K564" s="91"/>
      <c r="L564" s="79">
        <f t="shared" si="4"/>
        <v>1.71</v>
      </c>
      <c r="M564" s="95">
        <v>39883</v>
      </c>
      <c r="N564" s="92" t="s">
        <v>530</v>
      </c>
    </row>
    <row r="565" spans="1:256" s="84" customFormat="1" x14ac:dyDescent="0.25">
      <c r="A565">
        <v>564</v>
      </c>
      <c r="B565" s="85" t="s">
        <v>1467</v>
      </c>
      <c r="C565" s="85"/>
      <c r="D565" s="85" t="s">
        <v>526</v>
      </c>
      <c r="E565" s="94" t="s">
        <v>374</v>
      </c>
      <c r="F565" s="85" t="s">
        <v>36</v>
      </c>
      <c r="G565" s="92"/>
      <c r="H565" s="92">
        <v>0.18</v>
      </c>
      <c r="I565" s="92">
        <v>0</v>
      </c>
      <c r="J565" s="85">
        <v>0</v>
      </c>
      <c r="K565" s="91"/>
      <c r="L565" s="79">
        <f t="shared" si="4"/>
        <v>0</v>
      </c>
      <c r="M565" s="95">
        <v>39883</v>
      </c>
      <c r="N565" s="92" t="s">
        <v>530</v>
      </c>
    </row>
    <row r="566" spans="1:256" s="84" customFormat="1" x14ac:dyDescent="0.25">
      <c r="A566">
        <v>565</v>
      </c>
      <c r="B566" s="85" t="s">
        <v>1466</v>
      </c>
      <c r="C566" s="85"/>
      <c r="D566" s="85" t="s">
        <v>526</v>
      </c>
      <c r="E566" s="94" t="s">
        <v>374</v>
      </c>
      <c r="F566" s="85" t="s">
        <v>36</v>
      </c>
      <c r="G566" s="92"/>
      <c r="H566" s="92">
        <v>7.0000000000000007E-2</v>
      </c>
      <c r="I566" s="92">
        <v>0</v>
      </c>
      <c r="J566" s="85">
        <v>0</v>
      </c>
      <c r="K566" s="91"/>
      <c r="L566" s="79">
        <f t="shared" si="4"/>
        <v>0</v>
      </c>
      <c r="M566" s="95">
        <v>40617</v>
      </c>
      <c r="N566" s="92" t="s">
        <v>530</v>
      </c>
    </row>
    <row r="567" spans="1:256" s="84" customFormat="1" x14ac:dyDescent="0.25">
      <c r="A567">
        <v>566</v>
      </c>
      <c r="B567" s="85" t="s">
        <v>1465</v>
      </c>
      <c r="C567" s="85"/>
      <c r="D567" s="85" t="s">
        <v>526</v>
      </c>
      <c r="E567" s="94" t="s">
        <v>374</v>
      </c>
      <c r="F567" s="85" t="s">
        <v>36</v>
      </c>
      <c r="G567" s="92"/>
      <c r="H567" s="92">
        <v>0.23</v>
      </c>
      <c r="I567" s="92">
        <v>0</v>
      </c>
      <c r="J567" s="85">
        <v>0</v>
      </c>
      <c r="K567" s="91"/>
      <c r="L567" s="79">
        <f t="shared" si="4"/>
        <v>0</v>
      </c>
      <c r="M567" s="95">
        <v>39883</v>
      </c>
      <c r="N567" s="92" t="s">
        <v>530</v>
      </c>
    </row>
    <row r="568" spans="1:256" s="84" customFormat="1" x14ac:dyDescent="0.25">
      <c r="A568">
        <v>567</v>
      </c>
      <c r="B568" s="85" t="s">
        <v>586</v>
      </c>
      <c r="C568" s="85"/>
      <c r="D568" s="85" t="s">
        <v>526</v>
      </c>
      <c r="E568" s="94">
        <v>0.5</v>
      </c>
      <c r="F568" s="85" t="s">
        <v>33</v>
      </c>
      <c r="G568" s="92"/>
      <c r="H568" s="92"/>
      <c r="I568" s="92"/>
      <c r="J568" s="91"/>
      <c r="K568" s="91"/>
      <c r="L568" s="81"/>
      <c r="M568" s="95">
        <v>39934</v>
      </c>
      <c r="N568" s="92" t="s">
        <v>587</v>
      </c>
    </row>
    <row r="569" spans="1:256" s="84" customFormat="1" x14ac:dyDescent="0.25">
      <c r="A569">
        <v>568</v>
      </c>
      <c r="B569" s="85" t="s">
        <v>588</v>
      </c>
      <c r="C569" s="85"/>
      <c r="D569" s="85" t="s">
        <v>526</v>
      </c>
      <c r="E569" s="94">
        <v>0.5</v>
      </c>
      <c r="F569" s="85" t="s">
        <v>33</v>
      </c>
      <c r="G569" s="92"/>
      <c r="H569" s="92"/>
      <c r="I569" s="92"/>
      <c r="J569" s="91"/>
      <c r="K569" s="91"/>
      <c r="L569" s="81"/>
      <c r="M569" s="95">
        <v>39934</v>
      </c>
      <c r="N569" s="92" t="s">
        <v>587</v>
      </c>
    </row>
    <row r="570" spans="1:256" s="84" customFormat="1" x14ac:dyDescent="0.25">
      <c r="A570">
        <v>569</v>
      </c>
      <c r="B570" s="85" t="s">
        <v>589</v>
      </c>
      <c r="C570" s="85"/>
      <c r="D570" s="85" t="s">
        <v>526</v>
      </c>
      <c r="E570" s="94">
        <v>0.5</v>
      </c>
      <c r="F570" s="85" t="s">
        <v>33</v>
      </c>
      <c r="G570" s="92"/>
      <c r="H570" s="92"/>
      <c r="I570" s="92"/>
      <c r="J570" s="91"/>
      <c r="K570" s="91"/>
      <c r="L570" s="81"/>
      <c r="M570" s="95">
        <v>39934</v>
      </c>
      <c r="N570" s="92" t="s">
        <v>587</v>
      </c>
    </row>
    <row r="571" spans="1:256" s="84" customFormat="1" x14ac:dyDescent="0.25">
      <c r="A571">
        <v>570</v>
      </c>
      <c r="B571" s="85" t="s">
        <v>590</v>
      </c>
      <c r="C571" s="85"/>
      <c r="D571" s="85" t="s">
        <v>526</v>
      </c>
      <c r="E571" s="94" t="s">
        <v>374</v>
      </c>
      <c r="F571" s="85" t="s">
        <v>36</v>
      </c>
      <c r="G571" s="92"/>
      <c r="H571" s="92">
        <v>2.4700000000000002</v>
      </c>
      <c r="I571" s="92">
        <v>-2.71</v>
      </c>
      <c r="J571" s="85">
        <v>0</v>
      </c>
      <c r="K571" s="91"/>
      <c r="L571" s="79">
        <f>H571*J571+I571</f>
        <v>-2.71</v>
      </c>
      <c r="M571" s="87">
        <v>40706</v>
      </c>
      <c r="N571" s="92" t="s">
        <v>591</v>
      </c>
    </row>
    <row r="572" spans="1:256" s="84" customFormat="1" x14ac:dyDescent="0.25">
      <c r="A572">
        <v>571</v>
      </c>
      <c r="B572" s="85" t="s">
        <v>592</v>
      </c>
      <c r="C572" s="85"/>
      <c r="D572" s="85" t="s">
        <v>526</v>
      </c>
      <c r="E572" s="94" t="s">
        <v>374</v>
      </c>
      <c r="F572" s="85" t="s">
        <v>36</v>
      </c>
      <c r="G572" s="92"/>
      <c r="H572" s="92">
        <v>3.24</v>
      </c>
      <c r="I572" s="92">
        <v>9.7200000000000006</v>
      </c>
      <c r="J572" s="85">
        <v>0</v>
      </c>
      <c r="K572" s="91"/>
      <c r="L572" s="79">
        <f>H572*J572+I572</f>
        <v>9.7200000000000006</v>
      </c>
      <c r="M572" s="87">
        <v>40706</v>
      </c>
      <c r="N572" s="92" t="s">
        <v>593</v>
      </c>
    </row>
    <row r="573" spans="1:256" s="84" customFormat="1" x14ac:dyDescent="0.25">
      <c r="A573">
        <v>572</v>
      </c>
      <c r="B573" s="85" t="s">
        <v>594</v>
      </c>
      <c r="C573" s="85"/>
      <c r="D573" s="85" t="s">
        <v>526</v>
      </c>
      <c r="E573" s="94" t="s">
        <v>374</v>
      </c>
      <c r="F573" s="85" t="s">
        <v>36</v>
      </c>
      <c r="G573" s="92"/>
      <c r="H573" s="92">
        <v>2.23</v>
      </c>
      <c r="I573" s="92">
        <v>3.52</v>
      </c>
      <c r="J573" s="85">
        <v>0</v>
      </c>
      <c r="K573" s="91"/>
      <c r="L573" s="79">
        <f>H573*J573+I573</f>
        <v>3.52</v>
      </c>
      <c r="M573" s="87">
        <v>40706</v>
      </c>
      <c r="N573" s="92" t="s">
        <v>593</v>
      </c>
    </row>
    <row r="574" spans="1:256" s="84" customFormat="1" x14ac:dyDescent="0.25">
      <c r="A574">
        <v>573</v>
      </c>
      <c r="B574" s="85" t="s">
        <v>595</v>
      </c>
      <c r="C574" s="85"/>
      <c r="D574" s="85" t="s">
        <v>526</v>
      </c>
      <c r="E574" s="94" t="s">
        <v>374</v>
      </c>
      <c r="F574" s="85" t="s">
        <v>36</v>
      </c>
      <c r="G574" s="92"/>
      <c r="H574" s="92">
        <v>0.99</v>
      </c>
      <c r="I574" s="92">
        <v>4.5</v>
      </c>
      <c r="J574" s="85">
        <v>0</v>
      </c>
      <c r="K574" s="91"/>
      <c r="L574" s="79">
        <f>H574*J574+I574</f>
        <v>4.5</v>
      </c>
      <c r="M574" s="87">
        <v>40706</v>
      </c>
      <c r="N574" s="92" t="s">
        <v>596</v>
      </c>
    </row>
    <row r="575" spans="1:256" s="84" customFormat="1" x14ac:dyDescent="0.25">
      <c r="A575">
        <v>574</v>
      </c>
      <c r="B575" s="85" t="s">
        <v>597</v>
      </c>
      <c r="C575" s="85" t="s">
        <v>30</v>
      </c>
      <c r="D575" s="85" t="s">
        <v>526</v>
      </c>
      <c r="E575" s="94" t="s">
        <v>374</v>
      </c>
      <c r="F575" s="85" t="s">
        <v>36</v>
      </c>
      <c r="G575" s="85" t="s">
        <v>296</v>
      </c>
      <c r="H575" s="122">
        <v>7.0000000000000007E-2</v>
      </c>
      <c r="I575" s="85">
        <v>0</v>
      </c>
      <c r="J575" s="85">
        <v>0</v>
      </c>
      <c r="K575" s="85">
        <v>0</v>
      </c>
      <c r="L575" s="79">
        <f>H575*J575*I575</f>
        <v>0</v>
      </c>
      <c r="M575" s="87">
        <v>40706</v>
      </c>
      <c r="N575" s="124" t="s">
        <v>598</v>
      </c>
    </row>
    <row r="576" spans="1:256" s="84" customFormat="1" x14ac:dyDescent="0.25">
      <c r="A576">
        <v>575</v>
      </c>
      <c r="B576" s="85" t="s">
        <v>599</v>
      </c>
      <c r="C576" s="85" t="s">
        <v>30</v>
      </c>
      <c r="D576" s="85" t="s">
        <v>526</v>
      </c>
      <c r="E576" s="94" t="s">
        <v>374</v>
      </c>
      <c r="F576" s="85" t="s">
        <v>36</v>
      </c>
      <c r="G576" s="85" t="s">
        <v>296</v>
      </c>
      <c r="H576" s="85">
        <v>0.18</v>
      </c>
      <c r="I576" s="85">
        <v>0</v>
      </c>
      <c r="J576" s="85">
        <v>0</v>
      </c>
      <c r="K576" s="85">
        <v>0</v>
      </c>
      <c r="L576" s="79">
        <f>H576*J576*I576</f>
        <v>0</v>
      </c>
      <c r="M576" s="87">
        <v>40706</v>
      </c>
      <c r="N576" s="124" t="s">
        <v>600</v>
      </c>
    </row>
    <row r="577" spans="1:256" s="84" customFormat="1" x14ac:dyDescent="0.25">
      <c r="A577">
        <v>575</v>
      </c>
      <c r="B577" s="85" t="s">
        <v>599</v>
      </c>
      <c r="C577" s="85"/>
      <c r="D577" s="85" t="s">
        <v>526</v>
      </c>
      <c r="E577" s="94" t="s">
        <v>374</v>
      </c>
      <c r="F577" s="85" t="s">
        <v>36</v>
      </c>
      <c r="G577" s="92"/>
      <c r="H577" s="92">
        <v>0.18</v>
      </c>
      <c r="I577" s="92">
        <v>0</v>
      </c>
      <c r="J577" s="85">
        <v>0</v>
      </c>
      <c r="K577" s="91"/>
      <c r="L577" s="79">
        <f>H577*J577+I577</f>
        <v>0</v>
      </c>
      <c r="M577" s="87">
        <v>40706</v>
      </c>
      <c r="N577" s="92" t="s">
        <v>601</v>
      </c>
    </row>
    <row r="578" spans="1:256" s="84" customFormat="1" x14ac:dyDescent="0.25">
      <c r="A578">
        <v>577</v>
      </c>
      <c r="B578" s="85" t="s">
        <v>602</v>
      </c>
      <c r="C578" s="85" t="s">
        <v>30</v>
      </c>
      <c r="D578" s="85" t="s">
        <v>526</v>
      </c>
      <c r="E578" s="94" t="s">
        <v>374</v>
      </c>
      <c r="F578" s="85" t="s">
        <v>36</v>
      </c>
      <c r="G578" s="85" t="s">
        <v>296</v>
      </c>
      <c r="H578" s="122">
        <v>0.47</v>
      </c>
      <c r="I578" s="122">
        <v>0</v>
      </c>
      <c r="J578" s="85">
        <v>0</v>
      </c>
      <c r="K578" s="85">
        <v>0</v>
      </c>
      <c r="L578" s="79">
        <f>H578*J578*I578</f>
        <v>0</v>
      </c>
      <c r="M578" s="87">
        <v>40706</v>
      </c>
      <c r="N578" s="124" t="s">
        <v>600</v>
      </c>
    </row>
    <row r="579" spans="1:256" s="84" customFormat="1" x14ac:dyDescent="0.25">
      <c r="A579">
        <v>578</v>
      </c>
      <c r="B579" s="85" t="s">
        <v>1464</v>
      </c>
      <c r="C579" s="85">
        <v>0.126</v>
      </c>
      <c r="D579" s="85" t="s">
        <v>526</v>
      </c>
      <c r="E579" s="94" t="s">
        <v>374</v>
      </c>
      <c r="F579" s="85" t="s">
        <v>36</v>
      </c>
      <c r="G579" s="92"/>
      <c r="H579" s="92">
        <v>0.126</v>
      </c>
      <c r="I579" s="92">
        <v>1.57</v>
      </c>
      <c r="J579" s="85">
        <v>0</v>
      </c>
      <c r="K579" s="91"/>
      <c r="L579" s="79">
        <f>H579*J579+I579</f>
        <v>1.57</v>
      </c>
      <c r="M579" s="95">
        <v>39883</v>
      </c>
      <c r="N579" s="92" t="s">
        <v>530</v>
      </c>
    </row>
    <row r="580" spans="1:256" s="84" customFormat="1" x14ac:dyDescent="0.25">
      <c r="A580">
        <v>579</v>
      </c>
      <c r="B580" s="85" t="s">
        <v>1463</v>
      </c>
      <c r="C580" s="85">
        <v>0.38500000000000001</v>
      </c>
      <c r="D580" s="85" t="s">
        <v>526</v>
      </c>
      <c r="E580" s="94" t="s">
        <v>374</v>
      </c>
      <c r="F580" s="85" t="s">
        <v>36</v>
      </c>
      <c r="G580" s="92"/>
      <c r="H580" s="92">
        <v>0.38500000000000001</v>
      </c>
      <c r="I580" s="92">
        <v>0.8</v>
      </c>
      <c r="J580" s="85">
        <v>0</v>
      </c>
      <c r="K580" s="91"/>
      <c r="L580" s="79">
        <f>H580*J580+I580</f>
        <v>0.8</v>
      </c>
      <c r="M580" s="95">
        <v>39883</v>
      </c>
      <c r="N580" s="92" t="s">
        <v>530</v>
      </c>
    </row>
    <row r="581" spans="1:256" s="84" customFormat="1" x14ac:dyDescent="0.25">
      <c r="A581">
        <v>580</v>
      </c>
      <c r="B581" s="85" t="s">
        <v>1462</v>
      </c>
      <c r="C581" s="85">
        <v>0.312</v>
      </c>
      <c r="D581" s="85" t="s">
        <v>526</v>
      </c>
      <c r="E581" s="94" t="s">
        <v>374</v>
      </c>
      <c r="F581" s="85" t="s">
        <v>36</v>
      </c>
      <c r="G581" s="92"/>
      <c r="H581" s="92">
        <v>0.312</v>
      </c>
      <c r="I581" s="92">
        <v>0.90500000000000003</v>
      </c>
      <c r="J581" s="85">
        <v>0</v>
      </c>
      <c r="K581" s="91"/>
      <c r="L581" s="79">
        <f>H581*J581+I581</f>
        <v>0.90500000000000003</v>
      </c>
      <c r="M581" s="95">
        <v>39883</v>
      </c>
      <c r="N581" s="92" t="s">
        <v>530</v>
      </c>
    </row>
    <row r="582" spans="1:256" s="84" customFormat="1" x14ac:dyDescent="0.25">
      <c r="A582">
        <v>581</v>
      </c>
      <c r="B582" s="85" t="s">
        <v>1461</v>
      </c>
      <c r="C582" s="85">
        <v>0.38</v>
      </c>
      <c r="D582" s="85" t="s">
        <v>526</v>
      </c>
      <c r="E582" s="94" t="s">
        <v>374</v>
      </c>
      <c r="F582" s="85" t="s">
        <v>36</v>
      </c>
      <c r="G582" s="92"/>
      <c r="H582" s="92">
        <v>0.38</v>
      </c>
      <c r="I582" s="92">
        <v>5.4180000000000001</v>
      </c>
      <c r="J582" s="85">
        <v>0</v>
      </c>
      <c r="K582" s="91"/>
      <c r="L582" s="79">
        <f>H582*J582+I582</f>
        <v>5.4180000000000001</v>
      </c>
      <c r="M582" s="95">
        <v>39883</v>
      </c>
      <c r="N582" s="92" t="s">
        <v>530</v>
      </c>
    </row>
    <row r="583" spans="1:256" s="84" customFormat="1" x14ac:dyDescent="0.25">
      <c r="A583">
        <v>582</v>
      </c>
      <c r="B583" s="85" t="s">
        <v>1460</v>
      </c>
      <c r="C583" s="85">
        <v>0.36</v>
      </c>
      <c r="D583" s="85" t="s">
        <v>526</v>
      </c>
      <c r="E583" s="94" t="s">
        <v>374</v>
      </c>
      <c r="F583" s="85" t="s">
        <v>36</v>
      </c>
      <c r="G583" s="92"/>
      <c r="H583" s="92">
        <v>0.36</v>
      </c>
      <c r="I583" s="92">
        <v>1.78</v>
      </c>
      <c r="J583" s="85">
        <v>0</v>
      </c>
      <c r="K583" s="91"/>
      <c r="L583" s="79">
        <f>H583*J583+I583</f>
        <v>1.78</v>
      </c>
      <c r="M583" s="95">
        <v>39883</v>
      </c>
      <c r="N583" s="92" t="s">
        <v>530</v>
      </c>
    </row>
    <row r="584" spans="1:256" s="84" customFormat="1" x14ac:dyDescent="0.25">
      <c r="A584">
        <v>583</v>
      </c>
      <c r="B584" s="85" t="s">
        <v>603</v>
      </c>
      <c r="C584" s="85" t="s">
        <v>604</v>
      </c>
      <c r="D584" s="85" t="s">
        <v>526</v>
      </c>
      <c r="E584" s="94">
        <v>473</v>
      </c>
      <c r="F584" s="85" t="s">
        <v>33</v>
      </c>
      <c r="G584" s="92"/>
      <c r="H584" s="92"/>
      <c r="I584" s="92"/>
      <c r="J584" s="91"/>
      <c r="K584" s="91"/>
      <c r="L584" s="91"/>
      <c r="M584" s="95">
        <v>39901</v>
      </c>
      <c r="N584" s="92"/>
    </row>
    <row r="585" spans="1:256" s="84" customFormat="1" x14ac:dyDescent="0.25">
      <c r="A585">
        <v>584</v>
      </c>
      <c r="B585" s="85" t="s">
        <v>605</v>
      </c>
      <c r="C585" s="85"/>
      <c r="D585" s="85" t="s">
        <v>526</v>
      </c>
      <c r="E585" s="94">
        <v>2.25</v>
      </c>
      <c r="F585" s="85" t="s">
        <v>207</v>
      </c>
      <c r="G585" s="92"/>
      <c r="H585" s="92"/>
      <c r="I585" s="92"/>
      <c r="J585" s="91"/>
      <c r="K585" s="91"/>
      <c r="L585" s="81"/>
      <c r="M585" s="95">
        <v>39883</v>
      </c>
      <c r="N585" s="92" t="s">
        <v>606</v>
      </c>
    </row>
    <row r="586" spans="1:256" s="84" customFormat="1" x14ac:dyDescent="0.25">
      <c r="A586">
        <v>585</v>
      </c>
      <c r="B586" s="85" t="s">
        <v>607</v>
      </c>
      <c r="C586" s="85" t="s">
        <v>30</v>
      </c>
      <c r="D586" s="85" t="s">
        <v>608</v>
      </c>
      <c r="E586" s="118">
        <v>33</v>
      </c>
      <c r="F586" s="85" t="s">
        <v>207</v>
      </c>
      <c r="G586" s="85"/>
      <c r="H586" s="85"/>
      <c r="I586" s="85"/>
      <c r="J586" s="91"/>
      <c r="K586" s="91"/>
      <c r="L586" s="81"/>
      <c r="M586" s="87"/>
      <c r="N586" s="124"/>
    </row>
    <row r="587" spans="1:256" s="84" customFormat="1" x14ac:dyDescent="0.25">
      <c r="A587">
        <v>586</v>
      </c>
      <c r="B587" s="85" t="s">
        <v>609</v>
      </c>
      <c r="C587" s="85" t="s">
        <v>30</v>
      </c>
      <c r="D587" s="85" t="s">
        <v>608</v>
      </c>
      <c r="E587" s="105">
        <v>4.2</v>
      </c>
      <c r="F587" s="85" t="s">
        <v>207</v>
      </c>
      <c r="G587" s="85"/>
      <c r="H587" s="85"/>
      <c r="I587" s="85"/>
      <c r="J587" s="91"/>
      <c r="K587" s="91"/>
      <c r="L587" s="81"/>
      <c r="M587" s="87"/>
      <c r="N587" s="124" t="s">
        <v>610</v>
      </c>
    </row>
    <row r="588" spans="1:256" s="84" customFormat="1" x14ac:dyDescent="0.25">
      <c r="A588">
        <v>587</v>
      </c>
      <c r="B588" s="85" t="s">
        <v>611</v>
      </c>
      <c r="C588" s="85" t="s">
        <v>30</v>
      </c>
      <c r="D588" s="85" t="s">
        <v>608</v>
      </c>
      <c r="E588" s="105">
        <v>4.2</v>
      </c>
      <c r="F588" s="85" t="s">
        <v>207</v>
      </c>
      <c r="G588" s="85"/>
      <c r="H588" s="85"/>
      <c r="I588" s="85"/>
      <c r="J588" s="91"/>
      <c r="K588" s="91"/>
      <c r="L588" s="81"/>
      <c r="M588" s="87"/>
      <c r="N588" s="124" t="s">
        <v>612</v>
      </c>
    </row>
    <row r="589" spans="1:256" s="84" customFormat="1" x14ac:dyDescent="0.25">
      <c r="A589">
        <v>588</v>
      </c>
      <c r="B589" s="85" t="s">
        <v>613</v>
      </c>
      <c r="C589" s="85" t="s">
        <v>30</v>
      </c>
      <c r="D589" s="85" t="s">
        <v>608</v>
      </c>
      <c r="E589" s="126">
        <v>2.2000000000000002</v>
      </c>
      <c r="F589" s="85" t="s">
        <v>207</v>
      </c>
      <c r="G589" s="85"/>
      <c r="H589" s="85"/>
      <c r="I589" s="85"/>
      <c r="J589" s="91"/>
      <c r="K589" s="91"/>
      <c r="L589" s="81"/>
      <c r="M589" s="87"/>
      <c r="N589" s="124"/>
    </row>
    <row r="590" spans="1:256" s="84" customFormat="1" x14ac:dyDescent="0.25">
      <c r="A590">
        <v>589</v>
      </c>
      <c r="B590" s="85" t="s">
        <v>614</v>
      </c>
      <c r="C590" s="85" t="s">
        <v>30</v>
      </c>
      <c r="D590" s="85" t="s">
        <v>608</v>
      </c>
      <c r="E590" s="118">
        <v>2.2000000000000002</v>
      </c>
      <c r="F590" s="85" t="s">
        <v>207</v>
      </c>
      <c r="G590" s="85"/>
      <c r="H590" s="85"/>
      <c r="I590" s="85"/>
      <c r="J590" s="91"/>
      <c r="K590" s="91"/>
      <c r="L590" s="81"/>
      <c r="M590" s="87"/>
      <c r="N590" s="124"/>
    </row>
    <row r="591" spans="1:256" s="84" customFormat="1" x14ac:dyDescent="0.25">
      <c r="A591">
        <v>590</v>
      </c>
      <c r="B591" s="85" t="s">
        <v>615</v>
      </c>
      <c r="C591" s="85" t="s">
        <v>30</v>
      </c>
      <c r="D591" s="85" t="s">
        <v>608</v>
      </c>
      <c r="E591" s="118">
        <v>2.2000000000000002</v>
      </c>
      <c r="F591" s="85" t="s">
        <v>207</v>
      </c>
      <c r="G591" s="85"/>
      <c r="H591" s="85"/>
      <c r="I591" s="85"/>
      <c r="J591" s="91"/>
      <c r="K591" s="91"/>
      <c r="L591" s="81"/>
      <c r="M591" s="87"/>
      <c r="N591" s="124"/>
    </row>
    <row r="592" spans="1:256" s="125" customFormat="1" x14ac:dyDescent="0.25">
      <c r="A592">
        <v>591</v>
      </c>
      <c r="B592" s="85" t="s">
        <v>1361</v>
      </c>
      <c r="C592" s="85" t="s">
        <v>30</v>
      </c>
      <c r="D592" s="85" t="s">
        <v>608</v>
      </c>
      <c r="E592" s="119">
        <v>5.0000000000000001E-3</v>
      </c>
      <c r="F592" s="85" t="s">
        <v>452</v>
      </c>
      <c r="G592" s="85"/>
      <c r="H592" s="85"/>
      <c r="I592" s="85"/>
      <c r="J592" s="91"/>
      <c r="K592" s="91"/>
      <c r="L592" s="81"/>
      <c r="M592" s="87">
        <v>40286</v>
      </c>
      <c r="N592" s="124"/>
      <c r="O592" s="84"/>
      <c r="P592" s="84"/>
      <c r="Q592" s="84"/>
      <c r="R592" s="84"/>
      <c r="S592" s="84"/>
      <c r="T592" s="84"/>
      <c r="U592" s="84"/>
      <c r="V592" s="84"/>
      <c r="W592" s="84"/>
      <c r="X592" s="84"/>
      <c r="Y592" s="84"/>
      <c r="Z592" s="84"/>
      <c r="AA592" s="84"/>
      <c r="AB592" s="84"/>
      <c r="AC592" s="84"/>
      <c r="AD592" s="84"/>
      <c r="AE592" s="84"/>
      <c r="AF592" s="84"/>
      <c r="AG592" s="84"/>
      <c r="AH592" s="84"/>
      <c r="AI592" s="84"/>
      <c r="AJ592" s="84"/>
      <c r="AK592" s="84"/>
      <c r="AL592" s="84"/>
      <c r="AM592" s="84"/>
      <c r="AN592" s="84"/>
      <c r="AO592" s="84"/>
      <c r="AP592" s="84"/>
      <c r="AQ592" s="84"/>
      <c r="AR592" s="84"/>
      <c r="AS592" s="84"/>
      <c r="AT592" s="84"/>
      <c r="AU592" s="84"/>
      <c r="AV592" s="84"/>
      <c r="AW592" s="84"/>
      <c r="AX592" s="84"/>
      <c r="AY592" s="84"/>
      <c r="AZ592" s="84"/>
      <c r="BA592" s="84"/>
      <c r="BB592" s="84"/>
      <c r="BC592" s="84"/>
      <c r="BD592" s="84"/>
      <c r="BE592" s="84"/>
      <c r="BF592" s="84"/>
      <c r="BG592" s="84"/>
      <c r="BH592" s="84"/>
      <c r="BI592" s="84"/>
      <c r="BJ592" s="84"/>
      <c r="BK592" s="84"/>
      <c r="BL592" s="84"/>
      <c r="BM592" s="84"/>
      <c r="BN592" s="84"/>
      <c r="BO592" s="84"/>
      <c r="BP592" s="84"/>
      <c r="BQ592" s="84"/>
      <c r="BR592" s="84"/>
      <c r="BS592" s="84"/>
      <c r="BT592" s="84"/>
      <c r="BU592" s="84"/>
      <c r="BV592" s="84"/>
      <c r="BW592" s="84"/>
      <c r="BX592" s="84"/>
      <c r="BY592" s="84"/>
      <c r="BZ592" s="84"/>
      <c r="CA592" s="84"/>
      <c r="CB592" s="84"/>
      <c r="CC592" s="84"/>
      <c r="CD592" s="84"/>
      <c r="CE592" s="84"/>
      <c r="CF592" s="84"/>
      <c r="CG592" s="84"/>
      <c r="CH592" s="84"/>
      <c r="CI592" s="84"/>
      <c r="CJ592" s="84"/>
      <c r="CK592" s="84"/>
      <c r="CL592" s="84"/>
      <c r="CM592" s="84"/>
      <c r="CN592" s="84"/>
      <c r="CO592" s="84"/>
      <c r="CP592" s="84"/>
      <c r="CQ592" s="84"/>
      <c r="CR592" s="84"/>
      <c r="CS592" s="84"/>
      <c r="CT592" s="84"/>
      <c r="CU592" s="84"/>
      <c r="CV592" s="84"/>
      <c r="CW592" s="84"/>
      <c r="CX592" s="84"/>
      <c r="CY592" s="84"/>
      <c r="CZ592" s="84"/>
      <c r="DA592" s="84"/>
      <c r="DB592" s="84"/>
      <c r="DC592" s="84"/>
      <c r="DD592" s="84"/>
      <c r="DE592" s="84"/>
      <c r="DF592" s="84"/>
      <c r="DG592" s="84"/>
      <c r="DH592" s="84"/>
      <c r="DI592" s="84"/>
      <c r="DJ592" s="84"/>
      <c r="DK592" s="84"/>
      <c r="DL592" s="84"/>
      <c r="DM592" s="84"/>
      <c r="DN592" s="84"/>
      <c r="DO592" s="84"/>
      <c r="DP592" s="84"/>
      <c r="DQ592" s="84"/>
      <c r="DR592" s="84"/>
      <c r="DS592" s="84"/>
      <c r="DT592" s="84"/>
      <c r="DU592" s="84"/>
      <c r="DV592" s="84"/>
      <c r="DW592" s="84"/>
      <c r="DX592" s="84"/>
      <c r="DY592" s="84"/>
      <c r="DZ592" s="84"/>
      <c r="EA592" s="84"/>
      <c r="EB592" s="84"/>
      <c r="EC592" s="84"/>
      <c r="ED592" s="84"/>
      <c r="EE592" s="84"/>
      <c r="EF592" s="84"/>
      <c r="EG592" s="84"/>
      <c r="EH592" s="84"/>
      <c r="EI592" s="84"/>
      <c r="EJ592" s="84"/>
      <c r="EK592" s="84"/>
      <c r="EL592" s="84"/>
      <c r="EM592" s="84"/>
      <c r="EN592" s="84"/>
      <c r="EO592" s="84"/>
      <c r="EP592" s="84"/>
      <c r="EQ592" s="84"/>
      <c r="ER592" s="84"/>
      <c r="ES592" s="84"/>
      <c r="ET592" s="84"/>
      <c r="EU592" s="84"/>
      <c r="EV592" s="84"/>
      <c r="EW592" s="84"/>
      <c r="EX592" s="84"/>
      <c r="EY592" s="84"/>
      <c r="EZ592" s="84"/>
      <c r="FA592" s="84"/>
      <c r="FB592" s="84"/>
      <c r="FC592" s="84"/>
      <c r="FD592" s="84"/>
      <c r="FE592" s="84"/>
      <c r="FF592" s="84"/>
      <c r="FG592" s="84"/>
      <c r="FH592" s="84"/>
      <c r="FI592" s="84"/>
      <c r="FJ592" s="84"/>
      <c r="FK592" s="84"/>
      <c r="FL592" s="84"/>
      <c r="FM592" s="84"/>
      <c r="FN592" s="84"/>
      <c r="FO592" s="84"/>
      <c r="FP592" s="84"/>
      <c r="FQ592" s="84"/>
      <c r="FR592" s="84"/>
      <c r="FS592" s="84"/>
      <c r="FT592" s="84"/>
      <c r="FU592" s="84"/>
      <c r="FV592" s="84"/>
      <c r="FW592" s="84"/>
      <c r="FX592" s="84"/>
      <c r="FY592" s="84"/>
      <c r="FZ592" s="84"/>
      <c r="GA592" s="84"/>
      <c r="GB592" s="84"/>
      <c r="GC592" s="84"/>
      <c r="GD592" s="84"/>
      <c r="GE592" s="84"/>
      <c r="GF592" s="84"/>
      <c r="GG592" s="84"/>
      <c r="GH592" s="84"/>
      <c r="GI592" s="84"/>
      <c r="GJ592" s="84"/>
      <c r="GK592" s="84"/>
      <c r="GL592" s="84"/>
      <c r="GM592" s="84"/>
      <c r="GN592" s="84"/>
      <c r="GO592" s="84"/>
      <c r="GP592" s="84"/>
      <c r="GQ592" s="84"/>
      <c r="GR592" s="84"/>
      <c r="GS592" s="84"/>
      <c r="GT592" s="84"/>
      <c r="GU592" s="84"/>
      <c r="GV592" s="84"/>
      <c r="GW592" s="84"/>
      <c r="GX592" s="84"/>
      <c r="GY592" s="84"/>
      <c r="GZ592" s="84"/>
      <c r="HA592" s="84"/>
      <c r="HB592" s="84"/>
      <c r="HC592" s="84"/>
      <c r="HD592" s="84"/>
      <c r="HE592" s="84"/>
      <c r="HF592" s="84"/>
      <c r="HG592" s="84"/>
      <c r="HH592" s="84"/>
      <c r="HI592" s="84"/>
      <c r="HJ592" s="84"/>
      <c r="HK592" s="84"/>
      <c r="HL592" s="84"/>
      <c r="HM592" s="84"/>
      <c r="HN592" s="84"/>
      <c r="HO592" s="84"/>
      <c r="HP592" s="84"/>
      <c r="HQ592" s="84"/>
      <c r="HR592" s="84"/>
      <c r="HS592" s="84"/>
      <c r="HT592" s="84"/>
      <c r="HU592" s="84"/>
      <c r="HV592" s="84"/>
      <c r="HW592" s="84"/>
      <c r="HX592" s="84"/>
      <c r="HY592" s="84"/>
      <c r="HZ592" s="84"/>
      <c r="IA592" s="84"/>
      <c r="IB592" s="84"/>
      <c r="IC592" s="84"/>
      <c r="ID592" s="84"/>
      <c r="IE592" s="84"/>
      <c r="IF592" s="84"/>
      <c r="IG592" s="84"/>
      <c r="IH592" s="84"/>
      <c r="II592" s="84"/>
      <c r="IJ592" s="84"/>
      <c r="IK592" s="84"/>
      <c r="IL592" s="84"/>
      <c r="IM592" s="84"/>
      <c r="IN592" s="84"/>
      <c r="IO592" s="84"/>
      <c r="IP592" s="84"/>
      <c r="IQ592" s="84"/>
      <c r="IR592" s="84"/>
      <c r="IS592" s="84"/>
      <c r="IT592" s="84"/>
      <c r="IU592" s="84"/>
      <c r="IV592" s="84"/>
    </row>
    <row r="593" spans="1:14" s="84" customFormat="1" x14ac:dyDescent="0.25">
      <c r="A593">
        <v>592</v>
      </c>
      <c r="B593" s="85" t="s">
        <v>616</v>
      </c>
      <c r="C593" s="85" t="s">
        <v>30</v>
      </c>
      <c r="D593" s="85" t="s">
        <v>608</v>
      </c>
      <c r="E593" s="118">
        <v>15</v>
      </c>
      <c r="F593" s="85" t="s">
        <v>207</v>
      </c>
      <c r="G593" s="85"/>
      <c r="H593" s="85"/>
      <c r="I593" s="85"/>
      <c r="J593" s="91"/>
      <c r="K593" s="91"/>
      <c r="L593" s="81"/>
      <c r="M593" s="87"/>
      <c r="N593" s="124" t="s">
        <v>617</v>
      </c>
    </row>
    <row r="594" spans="1:14" s="84" customFormat="1" x14ac:dyDescent="0.25">
      <c r="A594">
        <v>593</v>
      </c>
      <c r="B594" s="85" t="s">
        <v>618</v>
      </c>
      <c r="C594" s="85" t="s">
        <v>30</v>
      </c>
      <c r="D594" s="85" t="s">
        <v>608</v>
      </c>
      <c r="E594" s="107">
        <v>22</v>
      </c>
      <c r="F594" s="85" t="s">
        <v>207</v>
      </c>
      <c r="G594" s="85"/>
      <c r="H594" s="85"/>
      <c r="I594" s="85"/>
      <c r="J594" s="91"/>
      <c r="K594" s="91"/>
      <c r="L594" s="81"/>
      <c r="M594" s="87"/>
      <c r="N594" s="124" t="s">
        <v>619</v>
      </c>
    </row>
    <row r="595" spans="1:14" s="84" customFormat="1" x14ac:dyDescent="0.25">
      <c r="A595">
        <v>594</v>
      </c>
      <c r="B595" s="85" t="s">
        <v>620</v>
      </c>
      <c r="C595" s="85" t="s">
        <v>30</v>
      </c>
      <c r="D595" s="85" t="s">
        <v>608</v>
      </c>
      <c r="E595" s="118">
        <v>1</v>
      </c>
      <c r="F595" s="85" t="s">
        <v>207</v>
      </c>
      <c r="G595" s="85"/>
      <c r="H595" s="85"/>
      <c r="I595" s="85"/>
      <c r="J595" s="91"/>
      <c r="K595" s="91"/>
      <c r="L595" s="81"/>
      <c r="M595" s="87"/>
      <c r="N595" s="124"/>
    </row>
    <row r="596" spans="1:14" s="84" customFormat="1" x14ac:dyDescent="0.25">
      <c r="A596">
        <v>595</v>
      </c>
      <c r="B596" s="85" t="s">
        <v>621</v>
      </c>
      <c r="C596" s="85" t="s">
        <v>30</v>
      </c>
      <c r="D596" s="85" t="s">
        <v>608</v>
      </c>
      <c r="E596" s="88">
        <v>6</v>
      </c>
      <c r="F596" s="85" t="s">
        <v>207</v>
      </c>
      <c r="G596" s="85"/>
      <c r="H596" s="85"/>
      <c r="I596" s="85"/>
      <c r="J596" s="91"/>
      <c r="K596" s="91"/>
      <c r="L596" s="81"/>
      <c r="M596" s="87"/>
      <c r="N596" s="127"/>
    </row>
    <row r="597" spans="1:14" s="84" customFormat="1" x14ac:dyDescent="0.25">
      <c r="A597">
        <v>596</v>
      </c>
      <c r="B597" s="85" t="s">
        <v>622</v>
      </c>
      <c r="C597" s="85" t="s">
        <v>30</v>
      </c>
      <c r="D597" s="85" t="s">
        <v>608</v>
      </c>
      <c r="E597" s="118">
        <v>2.2000000000000002</v>
      </c>
      <c r="F597" s="85" t="s">
        <v>207</v>
      </c>
      <c r="G597" s="85"/>
      <c r="H597" s="85"/>
      <c r="I597" s="85"/>
      <c r="J597" s="91"/>
      <c r="K597" s="91"/>
      <c r="L597" s="81"/>
      <c r="M597" s="87"/>
      <c r="N597" s="127"/>
    </row>
    <row r="598" spans="1:14" s="84" customFormat="1" x14ac:dyDescent="0.25">
      <c r="A598">
        <v>597</v>
      </c>
      <c r="B598" s="85" t="s">
        <v>623</v>
      </c>
      <c r="C598" s="85" t="s">
        <v>30</v>
      </c>
      <c r="D598" s="85" t="s">
        <v>608</v>
      </c>
      <c r="E598" s="110">
        <v>3.3</v>
      </c>
      <c r="F598" s="85" t="s">
        <v>207</v>
      </c>
      <c r="G598" s="85"/>
      <c r="H598" s="85"/>
      <c r="I598" s="85"/>
      <c r="J598" s="91"/>
      <c r="K598" s="91"/>
      <c r="L598" s="91"/>
      <c r="M598" s="87"/>
      <c r="N598" s="127" t="s">
        <v>624</v>
      </c>
    </row>
    <row r="599" spans="1:14" s="84" customFormat="1" x14ac:dyDescent="0.25">
      <c r="A599">
        <v>598</v>
      </c>
      <c r="B599" s="85" t="s">
        <v>625</v>
      </c>
      <c r="C599" s="85" t="s">
        <v>30</v>
      </c>
      <c r="D599" s="85" t="s">
        <v>608</v>
      </c>
      <c r="E599" s="110">
        <v>3.3</v>
      </c>
      <c r="F599" s="85" t="s">
        <v>207</v>
      </c>
      <c r="G599" s="85"/>
      <c r="H599" s="85"/>
      <c r="I599" s="85"/>
      <c r="J599" s="91"/>
      <c r="K599" s="91"/>
      <c r="L599" s="91"/>
      <c r="M599" s="87"/>
      <c r="N599" s="127" t="s">
        <v>626</v>
      </c>
    </row>
    <row r="600" spans="1:14" s="84" customFormat="1" x14ac:dyDescent="0.25">
      <c r="A600">
        <v>599</v>
      </c>
      <c r="B600" s="85" t="s">
        <v>627</v>
      </c>
      <c r="C600" s="85" t="s">
        <v>30</v>
      </c>
      <c r="D600" s="85" t="s">
        <v>608</v>
      </c>
      <c r="E600" s="110">
        <v>3.3</v>
      </c>
      <c r="F600" s="85" t="s">
        <v>207</v>
      </c>
      <c r="G600" s="85"/>
      <c r="H600" s="85"/>
      <c r="I600" s="85"/>
      <c r="J600" s="91"/>
      <c r="K600" s="91"/>
      <c r="L600" s="91"/>
      <c r="M600" s="87"/>
      <c r="N600" s="127" t="s">
        <v>628</v>
      </c>
    </row>
    <row r="601" spans="1:14" s="84" customFormat="1" x14ac:dyDescent="0.25">
      <c r="A601">
        <v>600</v>
      </c>
      <c r="B601" s="85" t="s">
        <v>629</v>
      </c>
      <c r="C601" s="85" t="s">
        <v>30</v>
      </c>
      <c r="D601" s="85" t="s">
        <v>608</v>
      </c>
      <c r="E601" s="110">
        <v>3.3</v>
      </c>
      <c r="F601" s="85" t="s">
        <v>207</v>
      </c>
      <c r="G601" s="85"/>
      <c r="H601" s="85"/>
      <c r="I601" s="85"/>
      <c r="J601" s="91"/>
      <c r="K601" s="91"/>
      <c r="L601" s="81"/>
      <c r="M601" s="87"/>
      <c r="N601" s="127" t="s">
        <v>1627</v>
      </c>
    </row>
    <row r="602" spans="1:14" s="84" customFormat="1" x14ac:dyDescent="0.25">
      <c r="A602">
        <v>601</v>
      </c>
      <c r="B602" s="85" t="s">
        <v>630</v>
      </c>
      <c r="C602" s="85" t="s">
        <v>30</v>
      </c>
      <c r="D602" s="85" t="s">
        <v>608</v>
      </c>
      <c r="E602" s="110">
        <v>3.3</v>
      </c>
      <c r="F602" s="85" t="s">
        <v>207</v>
      </c>
      <c r="G602" s="85"/>
      <c r="H602" s="85"/>
      <c r="I602" s="85"/>
      <c r="J602" s="91"/>
      <c r="K602" s="91"/>
      <c r="L602" s="81"/>
      <c r="M602" s="87"/>
      <c r="N602" s="127" t="s">
        <v>631</v>
      </c>
    </row>
    <row r="603" spans="1:14" s="84" customFormat="1" x14ac:dyDescent="0.25">
      <c r="A603">
        <v>602</v>
      </c>
      <c r="B603" s="85" t="s">
        <v>632</v>
      </c>
      <c r="C603" s="85" t="s">
        <v>30</v>
      </c>
      <c r="D603" s="85" t="s">
        <v>608</v>
      </c>
      <c r="E603" s="110">
        <v>3.3</v>
      </c>
      <c r="F603" s="85" t="s">
        <v>207</v>
      </c>
      <c r="G603" s="85"/>
      <c r="H603" s="85"/>
      <c r="I603" s="85"/>
      <c r="J603" s="91"/>
      <c r="K603" s="91"/>
      <c r="L603" s="81"/>
      <c r="M603" s="87"/>
      <c r="N603" s="127" t="s">
        <v>633</v>
      </c>
    </row>
    <row r="604" spans="1:14" s="84" customFormat="1" x14ac:dyDescent="0.25">
      <c r="A604">
        <v>603</v>
      </c>
      <c r="B604" s="85" t="s">
        <v>634</v>
      </c>
      <c r="C604" s="85" t="s">
        <v>30</v>
      </c>
      <c r="D604" s="85" t="s">
        <v>608</v>
      </c>
      <c r="E604" s="110">
        <v>3.3</v>
      </c>
      <c r="F604" s="85" t="s">
        <v>207</v>
      </c>
      <c r="G604" s="85"/>
      <c r="H604" s="85"/>
      <c r="I604" s="85"/>
      <c r="J604" s="91"/>
      <c r="K604" s="91"/>
      <c r="L604" s="81"/>
      <c r="M604" s="87"/>
      <c r="N604" s="127"/>
    </row>
    <row r="605" spans="1:14" s="84" customFormat="1" x14ac:dyDescent="0.25">
      <c r="A605">
        <v>604</v>
      </c>
      <c r="B605" s="85" t="s">
        <v>635</v>
      </c>
      <c r="C605" s="85" t="s">
        <v>30</v>
      </c>
      <c r="D605" s="85" t="s">
        <v>608</v>
      </c>
      <c r="E605" s="110">
        <v>3.3</v>
      </c>
      <c r="F605" s="85" t="s">
        <v>207</v>
      </c>
      <c r="G605" s="85"/>
      <c r="H605" s="85"/>
      <c r="I605" s="85"/>
      <c r="J605" s="91"/>
      <c r="K605" s="91"/>
      <c r="L605" s="91"/>
      <c r="M605" s="87"/>
      <c r="N605" s="127"/>
    </row>
    <row r="606" spans="1:14" s="84" customFormat="1" x14ac:dyDescent="0.25">
      <c r="A606">
        <v>605</v>
      </c>
      <c r="B606" s="85" t="s">
        <v>636</v>
      </c>
      <c r="C606" s="85" t="s">
        <v>30</v>
      </c>
      <c r="D606" s="85" t="s">
        <v>608</v>
      </c>
      <c r="E606" s="110">
        <v>3.3</v>
      </c>
      <c r="F606" s="85" t="s">
        <v>207</v>
      </c>
      <c r="G606" s="85"/>
      <c r="H606" s="85"/>
      <c r="I606" s="85"/>
      <c r="J606" s="91"/>
      <c r="K606" s="91"/>
      <c r="L606" s="91"/>
      <c r="M606" s="87"/>
      <c r="N606" s="127" t="s">
        <v>637</v>
      </c>
    </row>
    <row r="607" spans="1:14" s="84" customFormat="1" x14ac:dyDescent="0.25">
      <c r="A607">
        <v>606</v>
      </c>
      <c r="B607" s="85" t="s">
        <v>1362</v>
      </c>
      <c r="C607" s="85" t="s">
        <v>30</v>
      </c>
      <c r="D607" s="85" t="s">
        <v>608</v>
      </c>
      <c r="E607" s="110">
        <v>3.3</v>
      </c>
      <c r="F607" s="85" t="s">
        <v>207</v>
      </c>
      <c r="G607" s="85"/>
      <c r="H607" s="85"/>
      <c r="I607" s="85"/>
      <c r="J607" s="91"/>
      <c r="K607" s="91"/>
      <c r="L607" s="81"/>
      <c r="M607" s="87"/>
      <c r="N607" s="127" t="s">
        <v>1363</v>
      </c>
    </row>
    <row r="608" spans="1:14" s="84" customFormat="1" x14ac:dyDescent="0.25">
      <c r="A608">
        <v>607</v>
      </c>
      <c r="B608" s="85" t="s">
        <v>638</v>
      </c>
      <c r="C608" s="85" t="s">
        <v>30</v>
      </c>
      <c r="D608" s="85" t="s">
        <v>608</v>
      </c>
      <c r="E608" s="110">
        <v>3.3</v>
      </c>
      <c r="F608" s="85" t="s">
        <v>207</v>
      </c>
      <c r="G608" s="85"/>
      <c r="H608" s="85"/>
      <c r="I608" s="85"/>
      <c r="J608" s="91"/>
      <c r="K608" s="91"/>
      <c r="L608" s="91"/>
      <c r="M608" s="87"/>
      <c r="N608" s="127"/>
    </row>
    <row r="609" spans="1:14" s="84" customFormat="1" x14ac:dyDescent="0.25">
      <c r="A609">
        <v>608</v>
      </c>
      <c r="B609" s="85" t="s">
        <v>639</v>
      </c>
      <c r="C609" s="85" t="s">
        <v>30</v>
      </c>
      <c r="D609" s="85" t="s">
        <v>608</v>
      </c>
      <c r="E609" s="110">
        <v>3.3</v>
      </c>
      <c r="F609" s="85" t="s">
        <v>207</v>
      </c>
      <c r="G609" s="85"/>
      <c r="H609" s="85"/>
      <c r="I609" s="85"/>
      <c r="J609" s="91"/>
      <c r="K609" s="91"/>
      <c r="L609" s="81"/>
      <c r="M609" s="87"/>
      <c r="N609" s="127" t="s">
        <v>640</v>
      </c>
    </row>
    <row r="610" spans="1:14" s="84" customFormat="1" x14ac:dyDescent="0.25">
      <c r="A610">
        <v>609</v>
      </c>
      <c r="B610" s="85" t="s">
        <v>641</v>
      </c>
      <c r="C610" s="85" t="s">
        <v>30</v>
      </c>
      <c r="D610" s="85" t="s">
        <v>608</v>
      </c>
      <c r="E610" s="88">
        <v>3.3</v>
      </c>
      <c r="F610" s="85" t="s">
        <v>207</v>
      </c>
      <c r="G610" s="85"/>
      <c r="H610" s="85"/>
      <c r="I610" s="85"/>
      <c r="J610" s="91"/>
      <c r="K610" s="91"/>
      <c r="L610" s="81"/>
      <c r="M610" s="87"/>
      <c r="N610" s="92"/>
    </row>
    <row r="611" spans="1:14" s="84" customFormat="1" x14ac:dyDescent="0.25">
      <c r="A611">
        <v>610</v>
      </c>
      <c r="B611" s="85" t="s">
        <v>642</v>
      </c>
      <c r="C611" s="85" t="s">
        <v>30</v>
      </c>
      <c r="D611" s="85" t="s">
        <v>608</v>
      </c>
      <c r="E611" s="107" t="s">
        <v>32</v>
      </c>
      <c r="F611" s="85" t="s">
        <v>207</v>
      </c>
      <c r="G611" s="85"/>
      <c r="H611" s="85"/>
      <c r="I611" s="85"/>
      <c r="J611" s="91"/>
      <c r="K611" s="91"/>
      <c r="L611" s="81"/>
      <c r="M611" s="87"/>
      <c r="N611" s="106" t="s">
        <v>619</v>
      </c>
    </row>
    <row r="612" spans="1:14" s="84" customFormat="1" x14ac:dyDescent="0.25">
      <c r="A612">
        <v>611</v>
      </c>
      <c r="B612" s="85" t="s">
        <v>643</v>
      </c>
      <c r="C612" s="85" t="s">
        <v>30</v>
      </c>
      <c r="D612" s="85" t="s">
        <v>608</v>
      </c>
      <c r="E612" s="105">
        <v>2.25</v>
      </c>
      <c r="F612" s="85" t="s">
        <v>207</v>
      </c>
      <c r="G612" s="85"/>
      <c r="H612" s="85"/>
      <c r="I612" s="85"/>
      <c r="J612" s="91"/>
      <c r="K612" s="91"/>
      <c r="L612" s="81"/>
      <c r="M612" s="87"/>
      <c r="N612" s="127" t="s">
        <v>287</v>
      </c>
    </row>
    <row r="613" spans="1:14" s="84" customFormat="1" x14ac:dyDescent="0.25">
      <c r="A613">
        <v>612</v>
      </c>
      <c r="B613" s="85" t="s">
        <v>644</v>
      </c>
      <c r="C613" s="85" t="s">
        <v>30</v>
      </c>
      <c r="D613" s="85" t="s">
        <v>608</v>
      </c>
      <c r="E613" s="105">
        <v>2.25</v>
      </c>
      <c r="F613" s="85" t="s">
        <v>207</v>
      </c>
      <c r="G613" s="85"/>
      <c r="H613" s="85"/>
      <c r="I613" s="85"/>
      <c r="J613" s="91"/>
      <c r="K613" s="91"/>
      <c r="L613" s="81"/>
      <c r="M613" s="87"/>
      <c r="N613" s="127" t="s">
        <v>285</v>
      </c>
    </row>
    <row r="614" spans="1:14" s="84" customFormat="1" x14ac:dyDescent="0.25">
      <c r="A614">
        <v>613</v>
      </c>
      <c r="B614" s="85" t="s">
        <v>645</v>
      </c>
      <c r="C614" s="85" t="s">
        <v>30</v>
      </c>
      <c r="D614" s="85" t="s">
        <v>608</v>
      </c>
      <c r="E614" s="105">
        <v>2.25</v>
      </c>
      <c r="F614" s="85" t="s">
        <v>207</v>
      </c>
      <c r="G614" s="85"/>
      <c r="H614" s="85"/>
      <c r="I614" s="85"/>
      <c r="J614" s="91"/>
      <c r="K614" s="91"/>
      <c r="L614" s="91"/>
      <c r="M614" s="87">
        <v>39874</v>
      </c>
      <c r="N614" s="127"/>
    </row>
    <row r="615" spans="1:14" s="84" customFormat="1" x14ac:dyDescent="0.25">
      <c r="A615">
        <v>614</v>
      </c>
      <c r="B615" s="85" t="s">
        <v>646</v>
      </c>
      <c r="C615" s="85" t="s">
        <v>30</v>
      </c>
      <c r="D615" s="85" t="s">
        <v>608</v>
      </c>
      <c r="E615" s="88">
        <v>22</v>
      </c>
      <c r="F615" s="85" t="s">
        <v>207</v>
      </c>
      <c r="G615" s="85"/>
      <c r="H615" s="85"/>
      <c r="I615" s="85"/>
      <c r="J615" s="91"/>
      <c r="K615" s="91"/>
      <c r="L615" s="91"/>
      <c r="M615" s="87"/>
      <c r="N615" s="127" t="s">
        <v>647</v>
      </c>
    </row>
    <row r="616" spans="1:14" s="84" customFormat="1" x14ac:dyDescent="0.25">
      <c r="A616">
        <v>615</v>
      </c>
      <c r="B616" s="85" t="s">
        <v>648</v>
      </c>
      <c r="C616" s="85" t="s">
        <v>30</v>
      </c>
      <c r="D616" s="85" t="s">
        <v>608</v>
      </c>
      <c r="E616" s="120">
        <v>4.0000000000000001E-3</v>
      </c>
      <c r="F616" s="85" t="s">
        <v>452</v>
      </c>
      <c r="G616" s="85"/>
      <c r="H616" s="85"/>
      <c r="I616" s="85"/>
      <c r="J616" s="91"/>
      <c r="K616" s="91"/>
      <c r="L616" s="91"/>
      <c r="M616" s="87"/>
      <c r="N616" s="127" t="s">
        <v>649</v>
      </c>
    </row>
    <row r="617" spans="1:14" s="84" customFormat="1" x14ac:dyDescent="0.25">
      <c r="A617">
        <v>616</v>
      </c>
      <c r="B617" s="85" t="s">
        <v>650</v>
      </c>
      <c r="C617" s="85" t="s">
        <v>30</v>
      </c>
      <c r="D617" s="85" t="s">
        <v>608</v>
      </c>
      <c r="E617" s="120">
        <v>3.0000000000000001E-3</v>
      </c>
      <c r="F617" s="85" t="s">
        <v>452</v>
      </c>
      <c r="G617" s="85"/>
      <c r="H617" s="85"/>
      <c r="I617" s="85"/>
      <c r="J617" s="91"/>
      <c r="K617" s="91"/>
      <c r="L617" s="91"/>
      <c r="M617" s="87">
        <v>40085</v>
      </c>
      <c r="N617" s="127" t="s">
        <v>651</v>
      </c>
    </row>
    <row r="618" spans="1:14" s="84" customFormat="1" x14ac:dyDescent="0.25">
      <c r="A618">
        <v>617</v>
      </c>
      <c r="B618" s="85" t="s">
        <v>1364</v>
      </c>
      <c r="C618" s="85" t="s">
        <v>30</v>
      </c>
      <c r="D618" s="85" t="s">
        <v>608</v>
      </c>
      <c r="E618" s="120">
        <v>2E-3</v>
      </c>
      <c r="F618" s="85" t="s">
        <v>452</v>
      </c>
      <c r="G618" s="85"/>
      <c r="H618" s="85"/>
      <c r="I618" s="85"/>
      <c r="J618" s="91"/>
      <c r="K618" s="91"/>
      <c r="L618" s="91"/>
      <c r="M618" s="87">
        <v>40288</v>
      </c>
      <c r="N618" s="92" t="s">
        <v>1365</v>
      </c>
    </row>
    <row r="619" spans="1:14" s="84" customFormat="1" x14ac:dyDescent="0.25">
      <c r="A619">
        <v>618</v>
      </c>
      <c r="B619" s="85" t="s">
        <v>652</v>
      </c>
      <c r="C619" s="85" t="s">
        <v>30</v>
      </c>
      <c r="D619" s="85" t="s">
        <v>653</v>
      </c>
      <c r="E619" s="100">
        <v>45</v>
      </c>
      <c r="F619" s="85" t="s">
        <v>33</v>
      </c>
      <c r="G619" s="85"/>
      <c r="H619" s="85"/>
      <c r="I619" s="85"/>
      <c r="J619" s="91"/>
      <c r="K619" s="91"/>
      <c r="L619" s="91"/>
      <c r="M619" s="87"/>
      <c r="N619" s="127" t="s">
        <v>654</v>
      </c>
    </row>
    <row r="620" spans="1:14" s="84" customFormat="1" x14ac:dyDescent="0.25">
      <c r="A620">
        <v>619</v>
      </c>
      <c r="B620" s="85" t="s">
        <v>655</v>
      </c>
      <c r="C620" s="92" t="s">
        <v>30</v>
      </c>
      <c r="D620" s="92" t="s">
        <v>656</v>
      </c>
      <c r="E620" s="107">
        <v>0.05</v>
      </c>
      <c r="F620" s="92" t="s">
        <v>33</v>
      </c>
      <c r="G620" s="92"/>
      <c r="H620" s="85"/>
      <c r="I620" s="85"/>
      <c r="J620" s="91"/>
      <c r="K620" s="91"/>
      <c r="L620" s="91"/>
      <c r="M620" s="87"/>
      <c r="N620" s="127" t="s">
        <v>490</v>
      </c>
    </row>
    <row r="621" spans="1:14" s="84" customFormat="1" x14ac:dyDescent="0.25">
      <c r="A621">
        <v>620</v>
      </c>
      <c r="B621" s="85" t="s">
        <v>657</v>
      </c>
      <c r="C621" s="85" t="s">
        <v>30</v>
      </c>
      <c r="D621" s="85" t="s">
        <v>656</v>
      </c>
      <c r="E621" s="88">
        <v>1</v>
      </c>
      <c r="F621" s="85" t="s">
        <v>33</v>
      </c>
      <c r="G621" s="85"/>
      <c r="H621" s="85"/>
      <c r="I621" s="85"/>
      <c r="J621" s="91"/>
      <c r="K621" s="91"/>
      <c r="L621" s="91"/>
      <c r="M621" s="87"/>
      <c r="N621" s="127" t="s">
        <v>658</v>
      </c>
    </row>
    <row r="622" spans="1:14" s="84" customFormat="1" x14ac:dyDescent="0.25">
      <c r="A622">
        <v>621</v>
      </c>
      <c r="B622" s="85" t="s">
        <v>659</v>
      </c>
      <c r="C622" s="85" t="s">
        <v>30</v>
      </c>
      <c r="D622" s="85" t="s">
        <v>660</v>
      </c>
      <c r="E622" s="107">
        <v>4</v>
      </c>
      <c r="F622" s="85" t="s">
        <v>33</v>
      </c>
      <c r="G622" s="85"/>
      <c r="H622" s="85"/>
      <c r="I622" s="85"/>
      <c r="J622" s="91"/>
      <c r="K622" s="91"/>
      <c r="L622" s="91"/>
      <c r="M622" s="87"/>
      <c r="N622" s="127"/>
    </row>
    <row r="623" spans="1:14" s="84" customFormat="1" x14ac:dyDescent="0.25">
      <c r="A623">
        <v>622</v>
      </c>
      <c r="B623" s="85" t="s">
        <v>661</v>
      </c>
      <c r="C623" s="85" t="s">
        <v>30</v>
      </c>
      <c r="D623" s="85" t="s">
        <v>660</v>
      </c>
      <c r="E623" s="107">
        <v>8</v>
      </c>
      <c r="F623" s="85" t="s">
        <v>33</v>
      </c>
      <c r="G623" s="85"/>
      <c r="H623" s="85"/>
      <c r="I623" s="85"/>
      <c r="J623" s="91"/>
      <c r="K623" s="91"/>
      <c r="L623" s="91"/>
      <c r="M623" s="87"/>
      <c r="N623" s="127"/>
    </row>
    <row r="624" spans="1:14" s="84" customFormat="1" x14ac:dyDescent="0.25">
      <c r="A624">
        <v>623</v>
      </c>
      <c r="B624" s="85" t="s">
        <v>662</v>
      </c>
      <c r="C624" s="85" t="s">
        <v>30</v>
      </c>
      <c r="D624" s="85" t="s">
        <v>660</v>
      </c>
      <c r="E624" s="94">
        <v>4</v>
      </c>
      <c r="F624" s="85" t="s">
        <v>33</v>
      </c>
      <c r="G624" s="85"/>
      <c r="H624" s="85"/>
      <c r="I624" s="85"/>
      <c r="J624" s="91"/>
      <c r="K624" s="91"/>
      <c r="L624" s="91"/>
      <c r="M624" s="87"/>
      <c r="N624" s="127" t="s">
        <v>663</v>
      </c>
    </row>
    <row r="625" spans="1:14" s="84" customFormat="1" x14ac:dyDescent="0.25">
      <c r="A625">
        <v>624</v>
      </c>
      <c r="B625" s="85" t="s">
        <v>664</v>
      </c>
      <c r="C625" s="85" t="s">
        <v>30</v>
      </c>
      <c r="D625" s="85" t="s">
        <v>660</v>
      </c>
      <c r="E625" s="94">
        <v>4</v>
      </c>
      <c r="F625" s="85" t="s">
        <v>33</v>
      </c>
      <c r="G625" s="85"/>
      <c r="H625" s="85"/>
      <c r="I625" s="85"/>
      <c r="J625" s="91"/>
      <c r="K625" s="91"/>
      <c r="L625" s="91"/>
      <c r="M625" s="87"/>
      <c r="N625" s="127" t="s">
        <v>665</v>
      </c>
    </row>
    <row r="626" spans="1:14" s="84" customFormat="1" x14ac:dyDescent="0.25">
      <c r="A626">
        <v>625</v>
      </c>
      <c r="B626" s="85" t="s">
        <v>666</v>
      </c>
      <c r="C626" s="85" t="s">
        <v>30</v>
      </c>
      <c r="D626" s="85" t="s">
        <v>660</v>
      </c>
      <c r="E626" s="107">
        <v>4</v>
      </c>
      <c r="F626" s="85" t="s">
        <v>33</v>
      </c>
      <c r="G626" s="85"/>
      <c r="H626" s="85"/>
      <c r="I626" s="85"/>
      <c r="J626" s="91"/>
      <c r="K626" s="91"/>
      <c r="L626" s="91"/>
      <c r="M626" s="87"/>
      <c r="N626" s="127"/>
    </row>
    <row r="627" spans="1:14" s="84" customFormat="1" x14ac:dyDescent="0.25">
      <c r="A627">
        <v>626</v>
      </c>
      <c r="B627" s="85" t="s">
        <v>1366</v>
      </c>
      <c r="C627" s="85" t="s">
        <v>30</v>
      </c>
      <c r="D627" s="85" t="s">
        <v>660</v>
      </c>
      <c r="E627" s="107">
        <v>10</v>
      </c>
      <c r="F627" s="85" t="s">
        <v>33</v>
      </c>
      <c r="G627" s="85"/>
      <c r="H627" s="85"/>
      <c r="I627" s="85"/>
      <c r="J627" s="91"/>
      <c r="K627" s="91"/>
      <c r="L627" s="91"/>
      <c r="M627" s="87"/>
      <c r="N627" s="127"/>
    </row>
    <row r="628" spans="1:14" s="84" customFormat="1" x14ac:dyDescent="0.25">
      <c r="A628">
        <v>627</v>
      </c>
      <c r="B628" s="85" t="s">
        <v>1367</v>
      </c>
      <c r="C628" s="85" t="s">
        <v>30</v>
      </c>
      <c r="D628" s="85" t="s">
        <v>660</v>
      </c>
      <c r="E628" s="94">
        <v>4</v>
      </c>
      <c r="F628" s="85" t="s">
        <v>33</v>
      </c>
      <c r="G628" s="85"/>
      <c r="H628" s="85"/>
      <c r="I628" s="85"/>
      <c r="J628" s="91"/>
      <c r="K628" s="91"/>
      <c r="L628" s="91"/>
      <c r="M628" s="87"/>
      <c r="N628" s="127" t="s">
        <v>667</v>
      </c>
    </row>
    <row r="629" spans="1:14" s="84" customFormat="1" x14ac:dyDescent="0.25">
      <c r="A629">
        <v>628</v>
      </c>
      <c r="B629" s="85" t="s">
        <v>668</v>
      </c>
      <c r="C629" s="85" t="s">
        <v>30</v>
      </c>
      <c r="D629" s="85" t="s">
        <v>660</v>
      </c>
      <c r="E629" s="107">
        <v>12</v>
      </c>
      <c r="F629" s="85" t="s">
        <v>33</v>
      </c>
      <c r="G629" s="85"/>
      <c r="H629" s="85"/>
      <c r="I629" s="85"/>
      <c r="J629" s="91"/>
      <c r="K629" s="91"/>
      <c r="L629" s="91"/>
      <c r="M629" s="87"/>
      <c r="N629" s="127"/>
    </row>
    <row r="630" spans="1:14" s="84" customFormat="1" x14ac:dyDescent="0.25">
      <c r="A630">
        <v>629</v>
      </c>
      <c r="B630" s="85" t="s">
        <v>669</v>
      </c>
      <c r="C630" s="85" t="s">
        <v>30</v>
      </c>
      <c r="D630" s="85" t="s">
        <v>660</v>
      </c>
      <c r="E630" s="88">
        <v>4</v>
      </c>
      <c r="F630" s="85" t="s">
        <v>33</v>
      </c>
      <c r="G630" s="85"/>
      <c r="H630" s="85"/>
      <c r="I630" s="85"/>
      <c r="J630" s="91"/>
      <c r="K630" s="91"/>
      <c r="L630" s="91"/>
      <c r="M630" s="87"/>
      <c r="N630" s="127" t="s">
        <v>663</v>
      </c>
    </row>
    <row r="631" spans="1:14" s="84" customFormat="1" x14ac:dyDescent="0.25">
      <c r="A631">
        <v>630</v>
      </c>
      <c r="B631" s="85" t="s">
        <v>670</v>
      </c>
      <c r="C631" s="85" t="s">
        <v>30</v>
      </c>
      <c r="D631" s="85" t="s">
        <v>660</v>
      </c>
      <c r="E631" s="94">
        <v>25</v>
      </c>
      <c r="F631" s="85" t="s">
        <v>33</v>
      </c>
      <c r="G631" s="85"/>
      <c r="H631" s="85"/>
      <c r="I631" s="85"/>
      <c r="J631" s="91"/>
      <c r="K631" s="91"/>
      <c r="L631" s="91"/>
      <c r="M631" s="87"/>
      <c r="N631" s="127" t="s">
        <v>663</v>
      </c>
    </row>
    <row r="632" spans="1:14" s="84" customFormat="1" x14ac:dyDescent="0.25">
      <c r="A632">
        <v>631</v>
      </c>
      <c r="B632" s="85" t="s">
        <v>671</v>
      </c>
      <c r="C632" s="85" t="s">
        <v>30</v>
      </c>
      <c r="D632" s="85" t="s">
        <v>660</v>
      </c>
      <c r="E632" s="107">
        <v>15</v>
      </c>
      <c r="F632" s="85" t="s">
        <v>33</v>
      </c>
      <c r="G632" s="85"/>
      <c r="H632" s="85"/>
      <c r="I632" s="85"/>
      <c r="J632" s="91"/>
      <c r="K632" s="91"/>
      <c r="L632" s="91"/>
      <c r="M632" s="87"/>
      <c r="N632" s="85" t="s">
        <v>672</v>
      </c>
    </row>
    <row r="633" spans="1:14" s="84" customFormat="1" x14ac:dyDescent="0.25">
      <c r="A633">
        <v>632</v>
      </c>
      <c r="B633" s="85" t="s">
        <v>1368</v>
      </c>
      <c r="C633" s="85" t="s">
        <v>30</v>
      </c>
      <c r="D633" s="85" t="s">
        <v>660</v>
      </c>
      <c r="E633" s="107">
        <v>8</v>
      </c>
      <c r="F633" s="85" t="s">
        <v>33</v>
      </c>
      <c r="G633" s="85"/>
      <c r="H633" s="85"/>
      <c r="I633" s="85"/>
      <c r="J633" s="91"/>
      <c r="K633" s="91"/>
      <c r="L633" s="91"/>
      <c r="M633" s="87">
        <v>39943</v>
      </c>
      <c r="N633" s="85"/>
    </row>
    <row r="634" spans="1:14" s="84" customFormat="1" x14ac:dyDescent="0.25">
      <c r="A634">
        <v>633</v>
      </c>
      <c r="B634" s="85" t="s">
        <v>673</v>
      </c>
      <c r="C634" s="85" t="s">
        <v>30</v>
      </c>
      <c r="D634" s="85" t="s">
        <v>660</v>
      </c>
      <c r="E634" s="107">
        <v>8</v>
      </c>
      <c r="F634" s="85" t="s">
        <v>33</v>
      </c>
      <c r="G634" s="85"/>
      <c r="H634" s="85"/>
      <c r="I634" s="85"/>
      <c r="J634" s="91"/>
      <c r="K634" s="91"/>
      <c r="L634" s="91"/>
      <c r="M634" s="87"/>
      <c r="N634" s="85"/>
    </row>
    <row r="635" spans="1:14" s="84" customFormat="1" x14ac:dyDescent="0.25">
      <c r="A635">
        <v>634</v>
      </c>
      <c r="B635" s="85" t="s">
        <v>674</v>
      </c>
      <c r="C635" s="85" t="s">
        <v>30</v>
      </c>
      <c r="D635" s="85" t="s">
        <v>660</v>
      </c>
      <c r="E635" s="107">
        <v>4</v>
      </c>
      <c r="F635" s="85" t="s">
        <v>33</v>
      </c>
      <c r="G635" s="85"/>
      <c r="H635" s="85"/>
      <c r="I635" s="85"/>
      <c r="J635" s="91"/>
      <c r="K635" s="91"/>
      <c r="L635" s="91"/>
      <c r="M635" s="87"/>
      <c r="N635" s="85"/>
    </row>
    <row r="636" spans="1:14" s="84" customFormat="1" x14ac:dyDescent="0.25">
      <c r="A636">
        <v>635</v>
      </c>
      <c r="B636" s="85" t="s">
        <v>675</v>
      </c>
      <c r="C636" s="85" t="s">
        <v>30</v>
      </c>
      <c r="D636" s="85" t="s">
        <v>660</v>
      </c>
      <c r="E636" s="107">
        <v>35</v>
      </c>
      <c r="F636" s="85" t="s">
        <v>33</v>
      </c>
      <c r="G636" s="85"/>
      <c r="H636" s="85"/>
      <c r="I636" s="85"/>
      <c r="J636" s="91"/>
      <c r="K636" s="91"/>
      <c r="L636" s="91"/>
      <c r="M636" s="87"/>
      <c r="N636" s="85" t="s">
        <v>676</v>
      </c>
    </row>
    <row r="637" spans="1:14" s="84" customFormat="1" x14ac:dyDescent="0.25">
      <c r="A637">
        <v>636</v>
      </c>
      <c r="B637" s="85" t="s">
        <v>677</v>
      </c>
      <c r="C637" s="85" t="s">
        <v>30</v>
      </c>
      <c r="D637" s="85" t="s">
        <v>678</v>
      </c>
      <c r="E637" s="96">
        <v>2.5</v>
      </c>
      <c r="F637" s="85" t="s">
        <v>204</v>
      </c>
      <c r="G637" s="85"/>
      <c r="H637" s="85"/>
      <c r="I637" s="85"/>
      <c r="J637" s="91"/>
      <c r="K637" s="91"/>
      <c r="L637" s="91"/>
      <c r="M637" s="87">
        <v>39873</v>
      </c>
      <c r="N637" s="124" t="s">
        <v>679</v>
      </c>
    </row>
    <row r="638" spans="1:14" s="84" customFormat="1" x14ac:dyDescent="0.25">
      <c r="A638">
        <v>637</v>
      </c>
      <c r="B638" s="85" t="s">
        <v>680</v>
      </c>
      <c r="C638" s="85" t="s">
        <v>30</v>
      </c>
      <c r="D638" s="85" t="s">
        <v>678</v>
      </c>
      <c r="E638" s="88">
        <v>10</v>
      </c>
      <c r="F638" s="85" t="s">
        <v>204</v>
      </c>
      <c r="G638" s="85"/>
      <c r="H638" s="85"/>
      <c r="I638" s="85"/>
      <c r="J638" s="91"/>
      <c r="K638" s="91"/>
      <c r="L638" s="91"/>
      <c r="M638" s="87"/>
      <c r="N638" s="124"/>
    </row>
    <row r="639" spans="1:14" s="84" customFormat="1" x14ac:dyDescent="0.25">
      <c r="A639">
        <v>638</v>
      </c>
      <c r="B639" s="85" t="s">
        <v>681</v>
      </c>
      <c r="C639" s="85" t="s">
        <v>30</v>
      </c>
      <c r="D639" s="85" t="s">
        <v>678</v>
      </c>
      <c r="E639" s="96">
        <v>100</v>
      </c>
      <c r="F639" s="85" t="s">
        <v>204</v>
      </c>
      <c r="G639" s="85"/>
      <c r="H639" s="85"/>
      <c r="I639" s="85"/>
      <c r="J639" s="91"/>
      <c r="K639" s="91"/>
      <c r="L639" s="91"/>
      <c r="M639" s="87">
        <v>39873</v>
      </c>
      <c r="N639" s="124"/>
    </row>
    <row r="640" spans="1:14" s="84" customFormat="1" x14ac:dyDescent="0.25">
      <c r="A640">
        <v>639</v>
      </c>
      <c r="B640" s="85" t="s">
        <v>682</v>
      </c>
      <c r="C640" s="85" t="s">
        <v>30</v>
      </c>
      <c r="D640" s="85" t="s">
        <v>678</v>
      </c>
      <c r="E640" s="96">
        <v>100</v>
      </c>
      <c r="F640" s="85" t="s">
        <v>204</v>
      </c>
      <c r="G640" s="85"/>
      <c r="H640" s="85"/>
      <c r="I640" s="85"/>
      <c r="J640" s="91"/>
      <c r="K640" s="91"/>
      <c r="L640" s="91"/>
      <c r="M640" s="87">
        <v>39873</v>
      </c>
      <c r="N640" s="92"/>
    </row>
    <row r="641" spans="1:256" s="84" customFormat="1" x14ac:dyDescent="0.25">
      <c r="A641">
        <v>640</v>
      </c>
      <c r="B641" s="85" t="s">
        <v>1369</v>
      </c>
      <c r="C641" s="85" t="s">
        <v>30</v>
      </c>
      <c r="D641" s="85" t="s">
        <v>12</v>
      </c>
      <c r="E641" s="96">
        <v>10</v>
      </c>
      <c r="F641" s="85" t="s">
        <v>33</v>
      </c>
      <c r="G641" s="85"/>
      <c r="H641" s="85"/>
      <c r="I641" s="85"/>
      <c r="J641" s="91"/>
      <c r="K641" s="91"/>
      <c r="L641" s="91"/>
      <c r="M641" s="87">
        <v>40321</v>
      </c>
      <c r="N641" s="92"/>
    </row>
    <row r="642" spans="1:256" s="84" customFormat="1" x14ac:dyDescent="0.25">
      <c r="A642">
        <v>641</v>
      </c>
      <c r="B642" s="85" t="s">
        <v>683</v>
      </c>
      <c r="C642" s="85" t="s">
        <v>30</v>
      </c>
      <c r="D642" s="85" t="s">
        <v>12</v>
      </c>
      <c r="E642" s="86">
        <v>50</v>
      </c>
      <c r="F642" s="85" t="s">
        <v>33</v>
      </c>
      <c r="G642" s="85"/>
      <c r="H642" s="85"/>
      <c r="I642" s="85"/>
      <c r="J642" s="91"/>
      <c r="K642" s="91"/>
      <c r="L642" s="91"/>
      <c r="M642" s="87">
        <v>39866</v>
      </c>
      <c r="N642" s="92"/>
    </row>
    <row r="643" spans="1:256" s="84" customFormat="1" x14ac:dyDescent="0.25">
      <c r="A643">
        <v>642</v>
      </c>
      <c r="B643" s="85" t="s">
        <v>684</v>
      </c>
      <c r="C643" s="85" t="s">
        <v>30</v>
      </c>
      <c r="D643" s="85" t="s">
        <v>12</v>
      </c>
      <c r="E643" s="115" t="s">
        <v>374</v>
      </c>
      <c r="F643" s="85" t="s">
        <v>436</v>
      </c>
      <c r="G643" s="85"/>
      <c r="H643" s="85">
        <v>0.05</v>
      </c>
      <c r="I643" s="85">
        <v>0.85</v>
      </c>
      <c r="J643" s="85">
        <v>0</v>
      </c>
      <c r="K643" s="91"/>
      <c r="L643" s="85">
        <f>H643*J643+I643</f>
        <v>0.85</v>
      </c>
      <c r="M643" s="87">
        <v>39846</v>
      </c>
      <c r="N643" s="92"/>
    </row>
    <row r="644" spans="1:256" s="84" customFormat="1" x14ac:dyDescent="0.25">
      <c r="A644">
        <v>643</v>
      </c>
      <c r="B644" s="85" t="s">
        <v>685</v>
      </c>
      <c r="C644" s="85" t="s">
        <v>30</v>
      </c>
      <c r="D644" s="122" t="s">
        <v>12</v>
      </c>
      <c r="E644" s="115" t="s">
        <v>374</v>
      </c>
      <c r="F644" s="85" t="s">
        <v>436</v>
      </c>
      <c r="G644" s="85"/>
      <c r="H644" s="85">
        <v>4.3999999999999997E-2</v>
      </c>
      <c r="I644" s="85">
        <v>-5.44</v>
      </c>
      <c r="J644" s="85">
        <v>0</v>
      </c>
      <c r="K644" s="91"/>
      <c r="L644" s="85">
        <f>H644*J644+I644</f>
        <v>-5.44</v>
      </c>
      <c r="M644" s="87">
        <v>39846</v>
      </c>
      <c r="N644" s="92"/>
    </row>
    <row r="645" spans="1:256" s="84" customFormat="1" x14ac:dyDescent="0.25">
      <c r="A645">
        <v>644</v>
      </c>
      <c r="B645" s="85" t="s">
        <v>686</v>
      </c>
      <c r="C645" s="85" t="s">
        <v>30</v>
      </c>
      <c r="D645" s="85" t="s">
        <v>12</v>
      </c>
      <c r="E645" s="86">
        <v>50</v>
      </c>
      <c r="F645" s="85" t="s">
        <v>33</v>
      </c>
      <c r="G645" s="85"/>
      <c r="H645" s="85"/>
      <c r="I645" s="85"/>
      <c r="J645" s="91"/>
      <c r="K645" s="91"/>
      <c r="L645" s="91"/>
      <c r="M645" s="87">
        <v>39866</v>
      </c>
      <c r="N645" s="92"/>
      <c r="O645" s="128"/>
      <c r="P645" s="129"/>
      <c r="Q645" s="129"/>
      <c r="U645" s="130"/>
    </row>
    <row r="646" spans="1:256" s="84" customFormat="1" x14ac:dyDescent="0.25">
      <c r="A646">
        <v>645</v>
      </c>
      <c r="B646" s="85" t="s">
        <v>687</v>
      </c>
      <c r="C646" s="85" t="s">
        <v>30</v>
      </c>
      <c r="D646" s="85" t="s">
        <v>12</v>
      </c>
      <c r="E646" s="115" t="s">
        <v>374</v>
      </c>
      <c r="F646" s="85" t="s">
        <v>436</v>
      </c>
      <c r="G646" s="85"/>
      <c r="H646" s="85">
        <v>0.05</v>
      </c>
      <c r="I646" s="85">
        <v>0.85</v>
      </c>
      <c r="J646" s="85">
        <v>0</v>
      </c>
      <c r="K646" s="91"/>
      <c r="L646" s="85">
        <f>H646*J646+I646</f>
        <v>0.85</v>
      </c>
      <c r="M646" s="87">
        <v>39846</v>
      </c>
      <c r="N646" s="92"/>
      <c r="O646" s="131"/>
      <c r="P646" s="128"/>
      <c r="Q646" s="128"/>
      <c r="U646" s="130"/>
    </row>
    <row r="647" spans="1:256" s="84" customFormat="1" x14ac:dyDescent="0.25">
      <c r="A647">
        <v>646</v>
      </c>
      <c r="B647" s="85" t="s">
        <v>688</v>
      </c>
      <c r="C647" s="85" t="s">
        <v>30</v>
      </c>
      <c r="D647" s="85" t="s">
        <v>12</v>
      </c>
      <c r="E647" s="115" t="s">
        <v>374</v>
      </c>
      <c r="F647" s="85" t="s">
        <v>436</v>
      </c>
      <c r="G647" s="85"/>
      <c r="H647" s="85">
        <v>4.3999999999999997E-2</v>
      </c>
      <c r="I647" s="85">
        <v>-5.44</v>
      </c>
      <c r="J647" s="85">
        <v>0</v>
      </c>
      <c r="K647" s="91"/>
      <c r="L647" s="85">
        <f>H647*J647+I647</f>
        <v>-5.44</v>
      </c>
      <c r="M647" s="87">
        <v>39846</v>
      </c>
      <c r="N647" s="92"/>
      <c r="O647" s="131"/>
      <c r="P647" s="129"/>
      <c r="Q647" s="129"/>
      <c r="U647" s="130"/>
    </row>
    <row r="648" spans="1:256" s="84" customFormat="1" x14ac:dyDescent="0.25">
      <c r="A648">
        <v>647</v>
      </c>
      <c r="B648" s="85" t="s">
        <v>689</v>
      </c>
      <c r="C648" s="85" t="s">
        <v>30</v>
      </c>
      <c r="D648" s="85" t="s">
        <v>12</v>
      </c>
      <c r="E648" s="86">
        <v>25</v>
      </c>
      <c r="F648" s="85" t="s">
        <v>33</v>
      </c>
      <c r="G648" s="85"/>
      <c r="H648" s="85"/>
      <c r="I648" s="85"/>
      <c r="J648" s="91"/>
      <c r="K648" s="91"/>
      <c r="L648" s="91"/>
      <c r="M648" s="87">
        <v>39866</v>
      </c>
      <c r="N648" s="92"/>
      <c r="O648" s="131"/>
      <c r="P648" s="129"/>
      <c r="Q648" s="129"/>
      <c r="U648" s="130"/>
    </row>
    <row r="649" spans="1:256" s="84" customFormat="1" x14ac:dyDescent="0.25">
      <c r="A649">
        <v>648</v>
      </c>
      <c r="B649" s="85" t="s">
        <v>690</v>
      </c>
      <c r="C649" s="85" t="s">
        <v>30</v>
      </c>
      <c r="D649" s="85" t="s">
        <v>12</v>
      </c>
      <c r="E649" s="86">
        <v>20</v>
      </c>
      <c r="F649" s="85" t="s">
        <v>33</v>
      </c>
      <c r="G649" s="85"/>
      <c r="H649" s="85"/>
      <c r="I649" s="85"/>
      <c r="J649" s="91"/>
      <c r="K649" s="91"/>
      <c r="L649" s="91"/>
      <c r="M649" s="87">
        <v>39866</v>
      </c>
      <c r="N649" s="92"/>
      <c r="O649" s="131"/>
      <c r="P649" s="129"/>
      <c r="Q649" s="129"/>
      <c r="U649" s="130"/>
    </row>
    <row r="650" spans="1:256" s="84" customFormat="1" x14ac:dyDescent="0.25">
      <c r="A650">
        <v>649</v>
      </c>
      <c r="B650" s="85" t="s">
        <v>691</v>
      </c>
      <c r="C650" s="85" t="s">
        <v>30</v>
      </c>
      <c r="D650" s="85" t="s">
        <v>12</v>
      </c>
      <c r="E650" s="86">
        <v>25</v>
      </c>
      <c r="F650" s="85" t="s">
        <v>33</v>
      </c>
      <c r="G650" s="85"/>
      <c r="H650" s="85"/>
      <c r="I650" s="85"/>
      <c r="J650" s="91"/>
      <c r="K650" s="91"/>
      <c r="L650" s="91"/>
      <c r="M650" s="87">
        <v>39866</v>
      </c>
      <c r="N650" s="92" t="s">
        <v>692</v>
      </c>
      <c r="O650" s="131"/>
      <c r="P650" s="129"/>
      <c r="Q650" s="129"/>
      <c r="U650" s="130"/>
    </row>
    <row r="651" spans="1:256" s="84" customFormat="1" x14ac:dyDescent="0.25">
      <c r="A651">
        <v>650</v>
      </c>
      <c r="B651" s="85" t="s">
        <v>1370</v>
      </c>
      <c r="C651" s="85" t="s">
        <v>30</v>
      </c>
      <c r="D651" s="85" t="s">
        <v>12</v>
      </c>
      <c r="E651" s="86">
        <v>20</v>
      </c>
      <c r="F651" s="85" t="s">
        <v>33</v>
      </c>
      <c r="G651" s="85"/>
      <c r="H651" s="85"/>
      <c r="I651" s="85"/>
      <c r="J651" s="91"/>
      <c r="K651" s="91"/>
      <c r="L651" s="91"/>
      <c r="M651" s="87">
        <v>40321</v>
      </c>
      <c r="N651" s="92" t="s">
        <v>1371</v>
      </c>
      <c r="O651" s="131"/>
      <c r="P651" s="129"/>
      <c r="Q651" s="129"/>
      <c r="U651" s="130"/>
    </row>
    <row r="652" spans="1:256" s="84" customFormat="1" x14ac:dyDescent="0.25">
      <c r="A652">
        <v>651</v>
      </c>
      <c r="B652" s="85" t="s">
        <v>1372</v>
      </c>
      <c r="C652" s="85" t="s">
        <v>1248</v>
      </c>
      <c r="D652" s="85" t="s">
        <v>12</v>
      </c>
      <c r="E652" s="86">
        <v>25</v>
      </c>
      <c r="F652" s="85" t="s">
        <v>33</v>
      </c>
      <c r="G652" s="85"/>
      <c r="H652" s="85"/>
      <c r="I652" s="85"/>
      <c r="J652" s="91"/>
      <c r="K652" s="91"/>
      <c r="L652" s="91"/>
      <c r="M652" s="87">
        <v>40247</v>
      </c>
      <c r="N652" s="92"/>
      <c r="O652" s="132"/>
      <c r="P652" s="133"/>
      <c r="Q652" s="133"/>
      <c r="R652" s="92"/>
      <c r="S652" s="92"/>
      <c r="T652" s="92"/>
      <c r="U652" s="95"/>
      <c r="V652" s="92"/>
      <c r="W652" s="92"/>
      <c r="X652" s="92"/>
      <c r="Y652" s="92"/>
      <c r="Z652" s="92"/>
      <c r="AA652" s="92"/>
      <c r="AB652" s="92"/>
      <c r="AC652" s="92"/>
      <c r="AD652" s="92"/>
      <c r="AE652" s="92"/>
      <c r="AF652" s="92"/>
      <c r="AG652" s="92"/>
      <c r="AH652" s="92"/>
      <c r="AI652" s="92"/>
      <c r="AJ652" s="92"/>
      <c r="AK652" s="92"/>
      <c r="AL652" s="92"/>
      <c r="AM652" s="92"/>
      <c r="AN652" s="92"/>
      <c r="AO652" s="92"/>
      <c r="AP652" s="92"/>
      <c r="AQ652" s="92"/>
      <c r="AR652" s="92"/>
      <c r="AS652" s="92"/>
      <c r="AT652" s="92"/>
      <c r="AU652" s="92"/>
      <c r="AV652" s="92"/>
      <c r="AW652" s="92"/>
      <c r="AX652" s="92"/>
      <c r="AY652" s="92"/>
      <c r="AZ652" s="92"/>
      <c r="BA652" s="92"/>
      <c r="BB652" s="92"/>
      <c r="BC652" s="92"/>
      <c r="BD652" s="92"/>
      <c r="BE652" s="92"/>
      <c r="BF652" s="92"/>
      <c r="BG652" s="92"/>
      <c r="BH652" s="92"/>
      <c r="BI652" s="92"/>
      <c r="BJ652" s="92"/>
      <c r="BK652" s="92"/>
      <c r="BL652" s="92"/>
      <c r="BM652" s="92"/>
      <c r="BN652" s="92"/>
      <c r="BO652" s="92"/>
      <c r="BP652" s="92"/>
      <c r="BQ652" s="92"/>
      <c r="BR652" s="92"/>
      <c r="BS652" s="92"/>
      <c r="BT652" s="92"/>
      <c r="BU652" s="92"/>
      <c r="BV652" s="92"/>
      <c r="BW652" s="92"/>
      <c r="BX652" s="92"/>
      <c r="BY652" s="92"/>
      <c r="BZ652" s="92"/>
      <c r="CA652" s="92"/>
      <c r="CB652" s="92"/>
      <c r="CC652" s="92"/>
      <c r="CD652" s="92"/>
      <c r="CE652" s="92"/>
      <c r="CF652" s="92"/>
      <c r="CG652" s="92"/>
      <c r="CH652" s="92"/>
      <c r="CI652" s="92"/>
      <c r="CJ652" s="92"/>
      <c r="CK652" s="92"/>
      <c r="CL652" s="92"/>
      <c r="CM652" s="92"/>
      <c r="CN652" s="92"/>
      <c r="CO652" s="92"/>
      <c r="CP652" s="92"/>
      <c r="CQ652" s="92"/>
      <c r="CR652" s="92"/>
      <c r="CS652" s="92"/>
      <c r="CT652" s="92"/>
      <c r="CU652" s="92"/>
      <c r="CV652" s="92"/>
      <c r="CW652" s="92"/>
      <c r="CX652" s="92"/>
      <c r="CY652" s="92"/>
      <c r="CZ652" s="92"/>
      <c r="DA652" s="92"/>
      <c r="DB652" s="92"/>
      <c r="DC652" s="92"/>
      <c r="DD652" s="92"/>
      <c r="DE652" s="92"/>
      <c r="DF652" s="92"/>
      <c r="DG652" s="92"/>
      <c r="DH652" s="92"/>
      <c r="DI652" s="92"/>
      <c r="DJ652" s="92"/>
      <c r="DK652" s="92"/>
      <c r="DL652" s="92"/>
      <c r="DM652" s="92"/>
      <c r="DN652" s="92"/>
      <c r="DO652" s="92"/>
      <c r="DP652" s="92"/>
      <c r="DQ652" s="92"/>
      <c r="DR652" s="92"/>
      <c r="DS652" s="92"/>
      <c r="DT652" s="92"/>
      <c r="DU652" s="92"/>
      <c r="DV652" s="92"/>
      <c r="DW652" s="92"/>
      <c r="DX652" s="92"/>
      <c r="DY652" s="92"/>
      <c r="DZ652" s="92"/>
      <c r="EA652" s="92"/>
      <c r="EB652" s="92"/>
      <c r="EC652" s="92"/>
      <c r="ED652" s="92"/>
      <c r="EE652" s="92"/>
      <c r="EF652" s="92"/>
      <c r="EG652" s="92"/>
      <c r="EH652" s="92"/>
      <c r="EI652" s="92"/>
      <c r="EJ652" s="92"/>
      <c r="EK652" s="92"/>
      <c r="EL652" s="92"/>
      <c r="EM652" s="92"/>
      <c r="EN652" s="92"/>
      <c r="EO652" s="92"/>
      <c r="EP652" s="92"/>
      <c r="EQ652" s="92"/>
      <c r="ER652" s="92"/>
      <c r="ES652" s="92"/>
      <c r="ET652" s="92"/>
      <c r="EU652" s="92"/>
      <c r="EV652" s="92"/>
      <c r="EW652" s="92"/>
      <c r="EX652" s="92"/>
      <c r="EY652" s="92"/>
      <c r="EZ652" s="92"/>
      <c r="FA652" s="92"/>
      <c r="FB652" s="92"/>
      <c r="FC652" s="92"/>
      <c r="FD652" s="92"/>
      <c r="FE652" s="92"/>
      <c r="FF652" s="92"/>
      <c r="FG652" s="92"/>
      <c r="FH652" s="92"/>
      <c r="FI652" s="92"/>
      <c r="FJ652" s="92"/>
      <c r="FK652" s="92"/>
      <c r="FL652" s="92"/>
      <c r="FM652" s="92"/>
      <c r="FN652" s="92"/>
      <c r="FO652" s="92"/>
      <c r="FP652" s="92"/>
      <c r="FQ652" s="92"/>
      <c r="FR652" s="92"/>
      <c r="FS652" s="92"/>
      <c r="FT652" s="92"/>
      <c r="FU652" s="92"/>
      <c r="FV652" s="92"/>
      <c r="FW652" s="92"/>
      <c r="FX652" s="92"/>
      <c r="FY652" s="92"/>
      <c r="FZ652" s="92"/>
      <c r="GA652" s="92"/>
      <c r="GB652" s="92"/>
      <c r="GC652" s="92"/>
      <c r="GD652" s="92"/>
      <c r="GE652" s="92"/>
      <c r="GF652" s="92"/>
      <c r="GG652" s="92"/>
      <c r="GH652" s="92"/>
      <c r="GI652" s="92"/>
      <c r="GJ652" s="92"/>
      <c r="GK652" s="92"/>
      <c r="GL652" s="92"/>
      <c r="GM652" s="92"/>
      <c r="GN652" s="92"/>
      <c r="GO652" s="92"/>
      <c r="GP652" s="92"/>
      <c r="GQ652" s="92"/>
      <c r="GR652" s="92"/>
      <c r="GS652" s="92"/>
      <c r="GT652" s="92"/>
      <c r="GU652" s="92"/>
      <c r="GV652" s="92"/>
      <c r="GW652" s="92"/>
      <c r="GX652" s="92"/>
      <c r="GY652" s="92"/>
      <c r="GZ652" s="92"/>
      <c r="HA652" s="92"/>
      <c r="HB652" s="92"/>
      <c r="HC652" s="92"/>
      <c r="HD652" s="92"/>
      <c r="HE652" s="92"/>
      <c r="HF652" s="92"/>
      <c r="HG652" s="92"/>
      <c r="HH652" s="92"/>
      <c r="HI652" s="92"/>
      <c r="HJ652" s="92"/>
      <c r="HK652" s="92"/>
      <c r="HL652" s="92"/>
      <c r="HM652" s="92"/>
      <c r="HN652" s="92"/>
      <c r="HO652" s="92"/>
      <c r="HP652" s="92"/>
      <c r="HQ652" s="92"/>
      <c r="HR652" s="92"/>
      <c r="HS652" s="92"/>
      <c r="HT652" s="92"/>
      <c r="HU652" s="92"/>
      <c r="HV652" s="92"/>
      <c r="HW652" s="92"/>
      <c r="HX652" s="92"/>
      <c r="HY652" s="92"/>
      <c r="HZ652" s="92"/>
      <c r="IA652" s="92"/>
      <c r="IB652" s="92"/>
      <c r="IC652" s="92"/>
      <c r="ID652" s="92"/>
      <c r="IE652" s="92"/>
      <c r="IF652" s="92"/>
      <c r="IG652" s="92"/>
      <c r="IH652" s="92"/>
      <c r="II652" s="92"/>
      <c r="IJ652" s="92"/>
      <c r="IK652" s="92"/>
      <c r="IL652" s="92"/>
      <c r="IM652" s="92"/>
      <c r="IN652" s="92"/>
      <c r="IO652" s="92"/>
      <c r="IP652" s="92"/>
      <c r="IQ652" s="92"/>
      <c r="IR652" s="92"/>
      <c r="IS652" s="92"/>
      <c r="IT652" s="92"/>
      <c r="IU652" s="92"/>
      <c r="IV652" s="92"/>
    </row>
    <row r="653" spans="1:256" s="84" customFormat="1" x14ac:dyDescent="0.25">
      <c r="A653">
        <v>652</v>
      </c>
      <c r="B653" s="85" t="s">
        <v>1373</v>
      </c>
      <c r="C653" s="85" t="s">
        <v>1374</v>
      </c>
      <c r="D653" s="85" t="s">
        <v>12</v>
      </c>
      <c r="E653" s="86">
        <v>446</v>
      </c>
      <c r="F653" s="85" t="s">
        <v>33</v>
      </c>
      <c r="G653" s="85"/>
      <c r="H653" s="85"/>
      <c r="I653" s="85"/>
      <c r="J653" s="91"/>
      <c r="K653" s="91"/>
      <c r="L653" s="91"/>
      <c r="M653" s="87">
        <v>40238</v>
      </c>
      <c r="N653" s="92"/>
      <c r="O653" s="131"/>
      <c r="P653" s="129"/>
      <c r="Q653" s="129"/>
      <c r="U653" s="130"/>
    </row>
    <row r="654" spans="1:256" s="84" customFormat="1" x14ac:dyDescent="0.25">
      <c r="A654">
        <v>653</v>
      </c>
      <c r="B654" s="85" t="s">
        <v>1375</v>
      </c>
      <c r="C654" s="85" t="s">
        <v>1374</v>
      </c>
      <c r="D654" s="85" t="s">
        <v>12</v>
      </c>
      <c r="E654" s="86">
        <v>370</v>
      </c>
      <c r="F654" s="85" t="s">
        <v>33</v>
      </c>
      <c r="G654" s="85"/>
      <c r="H654" s="85"/>
      <c r="I654" s="85"/>
      <c r="J654" s="91"/>
      <c r="K654" s="91"/>
      <c r="L654" s="91"/>
      <c r="M654" s="87">
        <v>40238</v>
      </c>
      <c r="N654" s="92"/>
      <c r="O654" s="131"/>
      <c r="P654" s="129"/>
      <c r="Q654" s="129"/>
      <c r="U654" s="130"/>
    </row>
    <row r="655" spans="1:256" s="84" customFormat="1" x14ac:dyDescent="0.25">
      <c r="A655">
        <v>654</v>
      </c>
      <c r="B655" s="85" t="s">
        <v>693</v>
      </c>
      <c r="C655" s="85" t="s">
        <v>694</v>
      </c>
      <c r="D655" s="85" t="s">
        <v>12</v>
      </c>
      <c r="E655" s="94">
        <v>590</v>
      </c>
      <c r="F655" s="85" t="s">
        <v>33</v>
      </c>
      <c r="G655" s="85"/>
      <c r="H655" s="85"/>
      <c r="I655" s="85"/>
      <c r="J655" s="91"/>
      <c r="K655" s="91"/>
      <c r="L655" s="91"/>
      <c r="M655" s="87">
        <v>39873</v>
      </c>
      <c r="N655" s="92"/>
      <c r="O655" s="131"/>
      <c r="P655" s="129"/>
      <c r="Q655" s="129"/>
      <c r="U655" s="130"/>
    </row>
    <row r="656" spans="1:256" s="84" customFormat="1" x14ac:dyDescent="0.25">
      <c r="A656">
        <v>655</v>
      </c>
      <c r="B656" s="85" t="s">
        <v>695</v>
      </c>
      <c r="C656" s="134" t="s">
        <v>696</v>
      </c>
      <c r="D656" s="85" t="s">
        <v>12</v>
      </c>
      <c r="E656" s="103">
        <v>360</v>
      </c>
      <c r="F656" s="85" t="s">
        <v>33</v>
      </c>
      <c r="G656" s="85"/>
      <c r="H656" s="85"/>
      <c r="I656" s="85"/>
      <c r="J656" s="91"/>
      <c r="K656" s="91"/>
      <c r="L656" s="91"/>
      <c r="M656" s="87">
        <v>39873</v>
      </c>
      <c r="N656" s="92"/>
      <c r="O656" s="131"/>
      <c r="P656" s="128"/>
      <c r="Q656" s="128"/>
      <c r="U656" s="130"/>
    </row>
    <row r="657" spans="1:21" s="84" customFormat="1" x14ac:dyDescent="0.25">
      <c r="A657">
        <v>656</v>
      </c>
      <c r="B657" s="85" t="s">
        <v>697</v>
      </c>
      <c r="C657" s="85" t="s">
        <v>698</v>
      </c>
      <c r="D657" s="85" t="s">
        <v>12</v>
      </c>
      <c r="E657" s="94">
        <v>375</v>
      </c>
      <c r="F657" s="85" t="s">
        <v>33</v>
      </c>
      <c r="G657" s="85"/>
      <c r="H657" s="85"/>
      <c r="I657" s="85"/>
      <c r="J657" s="91"/>
      <c r="K657" s="91"/>
      <c r="L657" s="91"/>
      <c r="M657" s="87">
        <v>39873</v>
      </c>
      <c r="N657" s="92"/>
      <c r="O657" s="131"/>
      <c r="P657" s="129"/>
      <c r="Q657" s="129"/>
      <c r="U657" s="130"/>
    </row>
    <row r="658" spans="1:21" s="84" customFormat="1" x14ac:dyDescent="0.25">
      <c r="A658">
        <v>657</v>
      </c>
      <c r="B658" s="85" t="s">
        <v>699</v>
      </c>
      <c r="C658" s="85" t="s">
        <v>700</v>
      </c>
      <c r="D658" s="85" t="s">
        <v>12</v>
      </c>
      <c r="E658" s="107">
        <v>400</v>
      </c>
      <c r="F658" s="85" t="s">
        <v>701</v>
      </c>
      <c r="G658" s="85"/>
      <c r="H658" s="85"/>
      <c r="I658" s="85"/>
      <c r="J658" s="91"/>
      <c r="K658" s="91"/>
      <c r="L658" s="91"/>
      <c r="M658" s="87"/>
      <c r="N658" s="85" t="s">
        <v>702</v>
      </c>
      <c r="O658" s="131"/>
      <c r="P658" s="129"/>
      <c r="Q658" s="129"/>
      <c r="U658" s="130"/>
    </row>
    <row r="659" spans="1:21" s="84" customFormat="1" x14ac:dyDescent="0.25">
      <c r="A659">
        <v>658</v>
      </c>
      <c r="B659" s="85" t="s">
        <v>703</v>
      </c>
      <c r="C659" s="85" t="s">
        <v>30</v>
      </c>
      <c r="D659" s="85" t="s">
        <v>13</v>
      </c>
      <c r="E659" s="94">
        <v>1</v>
      </c>
      <c r="F659" s="85" t="s">
        <v>33</v>
      </c>
      <c r="G659" s="85"/>
      <c r="H659" s="85"/>
      <c r="I659" s="85"/>
      <c r="J659" s="91"/>
      <c r="K659" s="91"/>
      <c r="L659" s="91"/>
      <c r="M659" s="87"/>
      <c r="N659" s="85" t="s">
        <v>704</v>
      </c>
      <c r="O659" s="131"/>
      <c r="P659" s="129"/>
      <c r="Q659" s="129"/>
      <c r="U659" s="130"/>
    </row>
    <row r="660" spans="1:21" s="84" customFormat="1" x14ac:dyDescent="0.25">
      <c r="A660">
        <v>659</v>
      </c>
      <c r="B660" s="85" t="s">
        <v>705</v>
      </c>
      <c r="C660" s="85" t="s">
        <v>30</v>
      </c>
      <c r="D660" s="85" t="s">
        <v>13</v>
      </c>
      <c r="E660" s="94">
        <v>1</v>
      </c>
      <c r="F660" s="85" t="s">
        <v>33</v>
      </c>
      <c r="G660" s="85"/>
      <c r="H660" s="85"/>
      <c r="I660" s="85"/>
      <c r="J660" s="91"/>
      <c r="K660" s="91"/>
      <c r="L660" s="91"/>
      <c r="M660" s="87"/>
      <c r="N660" s="85" t="s">
        <v>704</v>
      </c>
      <c r="O660" s="131"/>
      <c r="P660" s="129"/>
      <c r="Q660" s="129"/>
      <c r="U660" s="130"/>
    </row>
    <row r="661" spans="1:21" s="84" customFormat="1" x14ac:dyDescent="0.25">
      <c r="A661">
        <v>660</v>
      </c>
      <c r="B661" s="85" t="s">
        <v>706</v>
      </c>
      <c r="C661" s="85"/>
      <c r="D661" s="85" t="s">
        <v>13</v>
      </c>
      <c r="E661" s="94">
        <v>1</v>
      </c>
      <c r="F661" s="85" t="s">
        <v>33</v>
      </c>
      <c r="G661" s="85"/>
      <c r="H661" s="85"/>
      <c r="I661" s="85"/>
      <c r="J661" s="91"/>
      <c r="K661" s="91"/>
      <c r="L661" s="91"/>
      <c r="M661" s="87">
        <v>39889</v>
      </c>
      <c r="N661" s="85" t="s">
        <v>704</v>
      </c>
      <c r="O661" s="131"/>
      <c r="P661" s="129"/>
      <c r="Q661" s="129"/>
      <c r="U661" s="130"/>
    </row>
    <row r="662" spans="1:21" s="84" customFormat="1" x14ac:dyDescent="0.25">
      <c r="A662">
        <v>661</v>
      </c>
      <c r="B662" s="85" t="s">
        <v>707</v>
      </c>
      <c r="C662" s="85" t="s">
        <v>30</v>
      </c>
      <c r="D662" s="85" t="s">
        <v>13</v>
      </c>
      <c r="E662" s="94">
        <v>25</v>
      </c>
      <c r="F662" s="85" t="s">
        <v>33</v>
      </c>
      <c r="G662" s="85"/>
      <c r="H662" s="85"/>
      <c r="I662" s="85"/>
      <c r="J662" s="91"/>
      <c r="K662" s="91"/>
      <c r="L662" s="91"/>
      <c r="M662" s="87"/>
      <c r="N662" s="85" t="s">
        <v>708</v>
      </c>
      <c r="O662" s="131"/>
      <c r="P662" s="128"/>
      <c r="Q662" s="128"/>
      <c r="U662" s="130"/>
    </row>
    <row r="663" spans="1:21" s="84" customFormat="1" x14ac:dyDescent="0.25">
      <c r="A663">
        <v>662</v>
      </c>
      <c r="B663" s="85" t="s">
        <v>709</v>
      </c>
      <c r="C663" s="85" t="s">
        <v>30</v>
      </c>
      <c r="D663" s="85" t="s">
        <v>13</v>
      </c>
      <c r="E663" s="94">
        <v>110</v>
      </c>
      <c r="F663" s="85" t="s">
        <v>33</v>
      </c>
      <c r="G663" s="85"/>
      <c r="H663" s="85"/>
      <c r="I663" s="85"/>
      <c r="J663" s="91"/>
      <c r="K663" s="91"/>
      <c r="L663" s="91"/>
      <c r="M663" s="87"/>
      <c r="N663" s="85" t="s">
        <v>710</v>
      </c>
      <c r="O663" s="131"/>
      <c r="P663" s="129"/>
      <c r="Q663" s="129"/>
      <c r="U663" s="130"/>
    </row>
    <row r="664" spans="1:21" s="84" customFormat="1" x14ac:dyDescent="0.25">
      <c r="A664">
        <v>663</v>
      </c>
      <c r="B664" s="85" t="s">
        <v>711</v>
      </c>
      <c r="C664" s="85" t="s">
        <v>30</v>
      </c>
      <c r="D664" s="92" t="s">
        <v>712</v>
      </c>
      <c r="E664" s="107">
        <v>20</v>
      </c>
      <c r="F664" s="92" t="s">
        <v>33</v>
      </c>
      <c r="G664" s="92"/>
      <c r="H664" s="92"/>
      <c r="I664" s="92"/>
      <c r="J664" s="91"/>
      <c r="K664" s="91"/>
      <c r="L664" s="91"/>
      <c r="M664" s="95"/>
      <c r="N664" s="92"/>
      <c r="O664" s="131"/>
      <c r="P664" s="129"/>
      <c r="Q664" s="129"/>
      <c r="U664" s="130"/>
    </row>
    <row r="665" spans="1:21" s="84" customFormat="1" x14ac:dyDescent="0.25">
      <c r="A665">
        <v>664</v>
      </c>
      <c r="B665" s="85" t="s">
        <v>713</v>
      </c>
      <c r="C665" s="92" t="s">
        <v>30</v>
      </c>
      <c r="D665" s="92" t="s">
        <v>712</v>
      </c>
      <c r="E665" s="94">
        <v>0</v>
      </c>
      <c r="F665" s="92" t="s">
        <v>33</v>
      </c>
      <c r="G665" s="92"/>
      <c r="H665" s="92"/>
      <c r="I665" s="92"/>
      <c r="J665" s="91"/>
      <c r="K665" s="91"/>
      <c r="L665" s="91"/>
      <c r="M665" s="95"/>
      <c r="N665" s="92" t="s">
        <v>157</v>
      </c>
      <c r="O665" s="131"/>
      <c r="P665" s="129"/>
      <c r="Q665" s="129"/>
      <c r="U665" s="130"/>
    </row>
    <row r="666" spans="1:21" s="84" customFormat="1" x14ac:dyDescent="0.25">
      <c r="A666">
        <v>665</v>
      </c>
      <c r="B666" s="85" t="s">
        <v>714</v>
      </c>
      <c r="C666" s="92" t="s">
        <v>30</v>
      </c>
      <c r="D666" s="92" t="s">
        <v>712</v>
      </c>
      <c r="E666" s="94">
        <v>0</v>
      </c>
      <c r="F666" s="92" t="s">
        <v>33</v>
      </c>
      <c r="G666" s="92"/>
      <c r="H666" s="92"/>
      <c r="I666" s="92"/>
      <c r="J666" s="91"/>
      <c r="K666" s="91"/>
      <c r="L666" s="91"/>
      <c r="M666" s="95"/>
      <c r="N666" s="92" t="s">
        <v>157</v>
      </c>
      <c r="O666" s="131"/>
      <c r="P666" s="129"/>
      <c r="Q666" s="129"/>
      <c r="U666" s="130"/>
    </row>
    <row r="667" spans="1:21" s="84" customFormat="1" x14ac:dyDescent="0.25">
      <c r="A667">
        <v>666</v>
      </c>
      <c r="B667" s="85" t="s">
        <v>715</v>
      </c>
      <c r="C667" s="92" t="s">
        <v>30</v>
      </c>
      <c r="D667" s="92" t="s">
        <v>712</v>
      </c>
      <c r="E667" s="94">
        <v>0</v>
      </c>
      <c r="F667" s="92" t="s">
        <v>33</v>
      </c>
      <c r="G667" s="92"/>
      <c r="H667" s="92"/>
      <c r="I667" s="92"/>
      <c r="J667" s="91"/>
      <c r="K667" s="91"/>
      <c r="L667" s="91"/>
      <c r="M667" s="95"/>
      <c r="N667" s="92" t="s">
        <v>157</v>
      </c>
      <c r="O667" s="131"/>
      <c r="P667" s="129"/>
      <c r="Q667" s="129"/>
      <c r="U667" s="130"/>
    </row>
    <row r="668" spans="1:21" s="84" customFormat="1" x14ac:dyDescent="0.25">
      <c r="A668">
        <v>667</v>
      </c>
      <c r="B668" s="85" t="s">
        <v>716</v>
      </c>
      <c r="C668" s="92" t="s">
        <v>30</v>
      </c>
      <c r="D668" s="92" t="s">
        <v>712</v>
      </c>
      <c r="E668" s="94">
        <v>0</v>
      </c>
      <c r="F668" s="92" t="s">
        <v>33</v>
      </c>
      <c r="G668" s="92"/>
      <c r="H668" s="92"/>
      <c r="I668" s="92"/>
      <c r="J668" s="91"/>
      <c r="K668" s="91"/>
      <c r="L668" s="91"/>
      <c r="M668" s="95"/>
      <c r="N668" s="92" t="s">
        <v>157</v>
      </c>
      <c r="O668" s="131"/>
      <c r="P668" s="129"/>
      <c r="Q668" s="129"/>
      <c r="U668" s="130"/>
    </row>
    <row r="669" spans="1:21" s="84" customFormat="1" x14ac:dyDescent="0.25">
      <c r="A669">
        <v>668</v>
      </c>
      <c r="B669" s="85" t="s">
        <v>717</v>
      </c>
      <c r="C669" s="92" t="s">
        <v>30</v>
      </c>
      <c r="D669" s="92" t="s">
        <v>712</v>
      </c>
      <c r="E669" s="94">
        <v>0</v>
      </c>
      <c r="F669" s="92" t="s">
        <v>33</v>
      </c>
      <c r="G669" s="92"/>
      <c r="H669" s="92"/>
      <c r="I669" s="92"/>
      <c r="J669" s="91"/>
      <c r="K669" s="91"/>
      <c r="L669" s="91"/>
      <c r="M669" s="95"/>
      <c r="N669" s="92" t="s">
        <v>157</v>
      </c>
      <c r="O669" s="131"/>
      <c r="P669" s="129"/>
      <c r="Q669" s="129"/>
      <c r="U669" s="130"/>
    </row>
    <row r="670" spans="1:21" s="84" customFormat="1" x14ac:dyDescent="0.25">
      <c r="A670">
        <v>669</v>
      </c>
      <c r="B670" s="85" t="s">
        <v>1376</v>
      </c>
      <c r="C670" s="92" t="s">
        <v>30</v>
      </c>
      <c r="D670" s="92" t="s">
        <v>2</v>
      </c>
      <c r="E670" s="94">
        <v>0</v>
      </c>
      <c r="F670" s="92" t="s">
        <v>33</v>
      </c>
      <c r="G670" s="92"/>
      <c r="H670" s="92"/>
      <c r="I670" s="92"/>
      <c r="J670" s="91"/>
      <c r="K670" s="91"/>
      <c r="L670" s="91"/>
      <c r="M670" s="95">
        <v>40263</v>
      </c>
      <c r="N670" s="92" t="s">
        <v>157</v>
      </c>
      <c r="O670" s="131"/>
      <c r="P670" s="129"/>
      <c r="Q670" s="129"/>
      <c r="U670" s="130"/>
    </row>
    <row r="671" spans="1:21" s="84" customFormat="1" x14ac:dyDescent="0.25">
      <c r="A671">
        <v>670</v>
      </c>
      <c r="B671" s="85" t="s">
        <v>1377</v>
      </c>
      <c r="C671" s="92" t="s">
        <v>30</v>
      </c>
      <c r="D671" s="92" t="s">
        <v>2</v>
      </c>
      <c r="E671" s="94">
        <v>0</v>
      </c>
      <c r="F671" s="92" t="s">
        <v>33</v>
      </c>
      <c r="G671" s="92"/>
      <c r="H671" s="92"/>
      <c r="I671" s="92"/>
      <c r="J671" s="91"/>
      <c r="K671" s="91"/>
      <c r="L671" s="91"/>
      <c r="M671" s="95">
        <v>40263</v>
      </c>
      <c r="N671" s="92" t="s">
        <v>157</v>
      </c>
      <c r="O671" s="131"/>
      <c r="P671" s="129"/>
      <c r="Q671" s="129"/>
      <c r="U671" s="130"/>
    </row>
    <row r="672" spans="1:21" s="84" customFormat="1" x14ac:dyDescent="0.25">
      <c r="A672">
        <v>671</v>
      </c>
      <c r="B672" s="85" t="s">
        <v>718</v>
      </c>
      <c r="C672" s="85" t="s">
        <v>719</v>
      </c>
      <c r="D672" s="85" t="s">
        <v>720</v>
      </c>
      <c r="E672" s="88">
        <v>100</v>
      </c>
      <c r="F672" s="85" t="s">
        <v>33</v>
      </c>
      <c r="G672" s="85"/>
      <c r="H672" s="85"/>
      <c r="I672" s="85"/>
      <c r="J672" s="91"/>
      <c r="K672" s="91"/>
      <c r="L672" s="91"/>
      <c r="M672" s="87"/>
      <c r="N672" s="85"/>
      <c r="O672" s="131"/>
      <c r="P672" s="129"/>
      <c r="Q672" s="129"/>
      <c r="U672" s="130"/>
    </row>
    <row r="673" spans="1:256" s="84" customFormat="1" x14ac:dyDescent="0.25">
      <c r="A673">
        <v>672</v>
      </c>
      <c r="B673" s="85" t="s">
        <v>721</v>
      </c>
      <c r="C673" s="85" t="s">
        <v>719</v>
      </c>
      <c r="D673" s="85" t="s">
        <v>720</v>
      </c>
      <c r="E673" s="88">
        <v>100</v>
      </c>
      <c r="F673" s="85" t="s">
        <v>33</v>
      </c>
      <c r="G673" s="85"/>
      <c r="H673" s="85"/>
      <c r="I673" s="85"/>
      <c r="J673" s="91"/>
      <c r="K673" s="91"/>
      <c r="L673" s="81"/>
      <c r="M673" s="87"/>
      <c r="N673" s="85"/>
      <c r="O673" s="131"/>
      <c r="P673" s="129"/>
      <c r="Q673" s="129"/>
      <c r="U673" s="130"/>
    </row>
    <row r="674" spans="1:256" s="84" customFormat="1" x14ac:dyDescent="0.25">
      <c r="A674">
        <v>673</v>
      </c>
      <c r="B674" s="85" t="s">
        <v>722</v>
      </c>
      <c r="C674" s="85" t="s">
        <v>719</v>
      </c>
      <c r="D674" s="85" t="s">
        <v>720</v>
      </c>
      <c r="E674" s="88">
        <v>100</v>
      </c>
      <c r="F674" s="85" t="s">
        <v>33</v>
      </c>
      <c r="G674" s="85"/>
      <c r="H674" s="85"/>
      <c r="I674" s="85"/>
      <c r="J674" s="91"/>
      <c r="K674" s="91"/>
      <c r="L674" s="81"/>
      <c r="M674" s="87"/>
      <c r="N674" s="85"/>
      <c r="O674" s="131"/>
      <c r="P674" s="129"/>
      <c r="Q674" s="129"/>
      <c r="U674" s="130"/>
    </row>
    <row r="675" spans="1:256" s="84" customFormat="1" x14ac:dyDescent="0.25">
      <c r="A675">
        <v>674</v>
      </c>
      <c r="B675" s="85" t="s">
        <v>723</v>
      </c>
      <c r="C675" s="85" t="s">
        <v>724</v>
      </c>
      <c r="D675" s="85" t="s">
        <v>720</v>
      </c>
      <c r="E675" s="88">
        <v>100</v>
      </c>
      <c r="F675" s="85" t="s">
        <v>33</v>
      </c>
      <c r="G675" s="85"/>
      <c r="H675" s="85"/>
      <c r="I675" s="85"/>
      <c r="J675" s="91"/>
      <c r="K675" s="91"/>
      <c r="L675" s="91"/>
      <c r="M675" s="87"/>
      <c r="N675" s="85"/>
      <c r="O675" s="131"/>
      <c r="P675" s="129"/>
      <c r="Q675" s="129"/>
      <c r="U675" s="130"/>
    </row>
    <row r="676" spans="1:256" s="84" customFormat="1" x14ac:dyDescent="0.25">
      <c r="A676">
        <v>675</v>
      </c>
      <c r="B676" s="85" t="s">
        <v>1378</v>
      </c>
      <c r="C676" s="85" t="s">
        <v>1379</v>
      </c>
      <c r="D676" s="85" t="s">
        <v>720</v>
      </c>
      <c r="E676" s="88">
        <v>87</v>
      </c>
      <c r="F676" s="85" t="s">
        <v>33</v>
      </c>
      <c r="G676" s="85"/>
      <c r="H676" s="85"/>
      <c r="I676" s="85"/>
      <c r="J676" s="91"/>
      <c r="K676" s="91"/>
      <c r="L676" s="81"/>
      <c r="M676" s="87">
        <v>39939</v>
      </c>
      <c r="N676" s="85"/>
      <c r="O676" s="131"/>
      <c r="P676" s="129"/>
      <c r="Q676" s="129"/>
      <c r="U676" s="130"/>
    </row>
    <row r="677" spans="1:256" s="84" customFormat="1" x14ac:dyDescent="0.25">
      <c r="A677">
        <v>676</v>
      </c>
      <c r="B677" s="85" t="s">
        <v>725</v>
      </c>
      <c r="C677" s="85" t="s">
        <v>726</v>
      </c>
      <c r="D677" s="85" t="s">
        <v>720</v>
      </c>
      <c r="E677" s="86">
        <v>100</v>
      </c>
      <c r="F677" s="85" t="s">
        <v>33</v>
      </c>
      <c r="G677" s="85"/>
      <c r="H677" s="85"/>
      <c r="I677" s="85"/>
      <c r="J677" s="91"/>
      <c r="K677" s="91"/>
      <c r="L677" s="81"/>
      <c r="M677" s="87">
        <v>39866</v>
      </c>
      <c r="N677" s="92"/>
      <c r="O677" s="131"/>
      <c r="P677" s="129"/>
      <c r="Q677" s="129"/>
      <c r="U677" s="130"/>
    </row>
    <row r="678" spans="1:256" s="84" customFormat="1" x14ac:dyDescent="0.25">
      <c r="A678">
        <v>677</v>
      </c>
      <c r="B678" s="85" t="s">
        <v>727</v>
      </c>
      <c r="C678" s="85" t="s">
        <v>726</v>
      </c>
      <c r="D678" s="85" t="s">
        <v>720</v>
      </c>
      <c r="E678" s="94">
        <v>100</v>
      </c>
      <c r="F678" s="85" t="s">
        <v>33</v>
      </c>
      <c r="G678" s="85"/>
      <c r="H678" s="85"/>
      <c r="I678" s="85"/>
      <c r="J678" s="91"/>
      <c r="K678" s="91"/>
      <c r="L678" s="91"/>
      <c r="M678" s="87"/>
      <c r="N678" s="85"/>
      <c r="O678" s="131"/>
      <c r="P678" s="129"/>
      <c r="Q678" s="129"/>
      <c r="U678" s="130"/>
    </row>
    <row r="679" spans="1:256" s="84" customFormat="1" x14ac:dyDescent="0.25">
      <c r="A679">
        <v>678</v>
      </c>
      <c r="B679" s="85" t="s">
        <v>728</v>
      </c>
      <c r="C679" s="85" t="s">
        <v>726</v>
      </c>
      <c r="D679" s="85" t="s">
        <v>720</v>
      </c>
      <c r="E679" s="94">
        <v>100</v>
      </c>
      <c r="F679" s="85" t="s">
        <v>33</v>
      </c>
      <c r="G679" s="85"/>
      <c r="H679" s="85"/>
      <c r="I679" s="85"/>
      <c r="J679" s="91"/>
      <c r="K679" s="91"/>
      <c r="L679" s="91"/>
      <c r="M679" s="87"/>
      <c r="N679" s="85"/>
      <c r="O679" s="131"/>
      <c r="P679" s="129"/>
      <c r="Q679" s="129"/>
      <c r="U679" s="130"/>
    </row>
    <row r="680" spans="1:256" s="84" customFormat="1" x14ac:dyDescent="0.25">
      <c r="A680">
        <v>679</v>
      </c>
      <c r="B680" s="85" t="s">
        <v>729</v>
      </c>
      <c r="C680" s="85" t="s">
        <v>730</v>
      </c>
      <c r="D680" s="85" t="s">
        <v>720</v>
      </c>
      <c r="E680" s="94">
        <v>85</v>
      </c>
      <c r="F680" s="85" t="s">
        <v>33</v>
      </c>
      <c r="G680" s="85"/>
      <c r="H680" s="85"/>
      <c r="I680" s="85"/>
      <c r="J680" s="91"/>
      <c r="K680" s="91"/>
      <c r="L680" s="91"/>
      <c r="M680" s="87">
        <v>39901</v>
      </c>
      <c r="N680" s="85"/>
      <c r="O680" s="131"/>
      <c r="P680" s="129"/>
      <c r="Q680" s="129"/>
      <c r="U680" s="130"/>
    </row>
    <row r="681" spans="1:256" s="84" customFormat="1" x14ac:dyDescent="0.25">
      <c r="A681">
        <v>680</v>
      </c>
      <c r="B681" s="85" t="s">
        <v>731</v>
      </c>
      <c r="C681" s="85" t="s">
        <v>730</v>
      </c>
      <c r="D681" s="85" t="s">
        <v>720</v>
      </c>
      <c r="E681" s="94">
        <v>85</v>
      </c>
      <c r="F681" s="85" t="s">
        <v>33</v>
      </c>
      <c r="G681" s="85"/>
      <c r="H681" s="85"/>
      <c r="I681" s="85"/>
      <c r="J681" s="91"/>
      <c r="K681" s="91"/>
      <c r="L681" s="91"/>
      <c r="M681" s="87"/>
      <c r="N681" s="85"/>
      <c r="O681" s="131"/>
      <c r="P681" s="129"/>
      <c r="Q681" s="129"/>
      <c r="U681" s="130"/>
    </row>
    <row r="682" spans="1:256" s="92" customFormat="1" x14ac:dyDescent="0.25">
      <c r="A682">
        <v>681</v>
      </c>
      <c r="B682" s="85" t="s">
        <v>732</v>
      </c>
      <c r="C682" s="85" t="s">
        <v>730</v>
      </c>
      <c r="D682" s="85" t="s">
        <v>720</v>
      </c>
      <c r="E682" s="94">
        <v>85</v>
      </c>
      <c r="F682" s="85" t="s">
        <v>33</v>
      </c>
      <c r="G682" s="85"/>
      <c r="H682" s="85"/>
      <c r="I682" s="85"/>
      <c r="J682" s="91"/>
      <c r="K682" s="91"/>
      <c r="L682" s="91"/>
      <c r="M682" s="87"/>
      <c r="N682" s="85"/>
      <c r="O682" s="131"/>
      <c r="P682" s="129"/>
      <c r="Q682" s="129"/>
      <c r="R682" s="84"/>
      <c r="S682" s="84"/>
      <c r="T682" s="84"/>
      <c r="U682" s="130"/>
      <c r="V682" s="84"/>
      <c r="W682" s="84"/>
      <c r="X682" s="84"/>
      <c r="Y682" s="84"/>
      <c r="Z682" s="84"/>
      <c r="AA682" s="84"/>
      <c r="AB682" s="84"/>
      <c r="AC682" s="84"/>
      <c r="AD682" s="84"/>
      <c r="AE682" s="84"/>
      <c r="AF682" s="84"/>
      <c r="AG682" s="84"/>
      <c r="AH682" s="84"/>
      <c r="AI682" s="84"/>
      <c r="AJ682" s="84"/>
      <c r="AK682" s="84"/>
      <c r="AL682" s="84"/>
      <c r="AM682" s="84"/>
      <c r="AN682" s="84"/>
      <c r="AO682" s="84"/>
      <c r="AP682" s="84"/>
      <c r="AQ682" s="84"/>
      <c r="AR682" s="84"/>
      <c r="AS682" s="84"/>
      <c r="AT682" s="84"/>
      <c r="AU682" s="84"/>
      <c r="AV682" s="84"/>
      <c r="AW682" s="84"/>
      <c r="AX682" s="84"/>
      <c r="AY682" s="84"/>
      <c r="AZ682" s="84"/>
      <c r="BA682" s="84"/>
      <c r="BB682" s="84"/>
      <c r="BC682" s="84"/>
      <c r="BD682" s="84"/>
      <c r="BE682" s="84"/>
      <c r="BF682" s="84"/>
      <c r="BG682" s="84"/>
      <c r="BH682" s="84"/>
      <c r="BI682" s="84"/>
      <c r="BJ682" s="84"/>
      <c r="BK682" s="84"/>
      <c r="BL682" s="84"/>
      <c r="BM682" s="84"/>
      <c r="BN682" s="84"/>
      <c r="BO682" s="84"/>
      <c r="BP682" s="84"/>
      <c r="BQ682" s="84"/>
      <c r="BR682" s="84"/>
      <c r="BS682" s="84"/>
      <c r="BT682" s="84"/>
      <c r="BU682" s="84"/>
      <c r="BV682" s="84"/>
      <c r="BW682" s="84"/>
      <c r="BX682" s="84"/>
      <c r="BY682" s="84"/>
      <c r="BZ682" s="84"/>
      <c r="CA682" s="84"/>
      <c r="CB682" s="84"/>
      <c r="CC682" s="84"/>
      <c r="CD682" s="84"/>
      <c r="CE682" s="84"/>
      <c r="CF682" s="84"/>
      <c r="CG682" s="84"/>
      <c r="CH682" s="84"/>
      <c r="CI682" s="84"/>
      <c r="CJ682" s="84"/>
      <c r="CK682" s="84"/>
      <c r="CL682" s="84"/>
      <c r="CM682" s="84"/>
      <c r="CN682" s="84"/>
      <c r="CO682" s="84"/>
      <c r="CP682" s="84"/>
      <c r="CQ682" s="84"/>
      <c r="CR682" s="84"/>
      <c r="CS682" s="84"/>
      <c r="CT682" s="84"/>
      <c r="CU682" s="84"/>
      <c r="CV682" s="84"/>
      <c r="CW682" s="84"/>
      <c r="CX682" s="84"/>
      <c r="CY682" s="84"/>
      <c r="CZ682" s="84"/>
      <c r="DA682" s="84"/>
      <c r="DB682" s="84"/>
      <c r="DC682" s="84"/>
      <c r="DD682" s="84"/>
      <c r="DE682" s="84"/>
      <c r="DF682" s="84"/>
      <c r="DG682" s="84"/>
      <c r="DH682" s="84"/>
      <c r="DI682" s="84"/>
      <c r="DJ682" s="84"/>
      <c r="DK682" s="84"/>
      <c r="DL682" s="84"/>
      <c r="DM682" s="84"/>
      <c r="DN682" s="84"/>
      <c r="DO682" s="84"/>
      <c r="DP682" s="84"/>
      <c r="DQ682" s="84"/>
      <c r="DR682" s="84"/>
      <c r="DS682" s="84"/>
      <c r="DT682" s="84"/>
      <c r="DU682" s="84"/>
      <c r="DV682" s="84"/>
      <c r="DW682" s="84"/>
      <c r="DX682" s="84"/>
      <c r="DY682" s="84"/>
      <c r="DZ682" s="84"/>
      <c r="EA682" s="84"/>
      <c r="EB682" s="84"/>
      <c r="EC682" s="84"/>
      <c r="ED682" s="84"/>
      <c r="EE682" s="84"/>
      <c r="EF682" s="84"/>
      <c r="EG682" s="84"/>
      <c r="EH682" s="84"/>
      <c r="EI682" s="84"/>
      <c r="EJ682" s="84"/>
      <c r="EK682" s="84"/>
      <c r="EL682" s="84"/>
      <c r="EM682" s="84"/>
      <c r="EN682" s="84"/>
      <c r="EO682" s="84"/>
      <c r="EP682" s="84"/>
      <c r="EQ682" s="84"/>
      <c r="ER682" s="84"/>
      <c r="ES682" s="84"/>
      <c r="ET682" s="84"/>
      <c r="EU682" s="84"/>
      <c r="EV682" s="84"/>
      <c r="EW682" s="84"/>
      <c r="EX682" s="84"/>
      <c r="EY682" s="84"/>
      <c r="EZ682" s="84"/>
      <c r="FA682" s="84"/>
      <c r="FB682" s="84"/>
      <c r="FC682" s="84"/>
      <c r="FD682" s="84"/>
      <c r="FE682" s="84"/>
      <c r="FF682" s="84"/>
      <c r="FG682" s="84"/>
      <c r="FH682" s="84"/>
      <c r="FI682" s="84"/>
      <c r="FJ682" s="84"/>
      <c r="FK682" s="84"/>
      <c r="FL682" s="84"/>
      <c r="FM682" s="84"/>
      <c r="FN682" s="84"/>
      <c r="FO682" s="84"/>
      <c r="FP682" s="84"/>
      <c r="FQ682" s="84"/>
      <c r="FR682" s="84"/>
      <c r="FS682" s="84"/>
      <c r="FT682" s="84"/>
      <c r="FU682" s="84"/>
      <c r="FV682" s="84"/>
      <c r="FW682" s="84"/>
      <c r="FX682" s="84"/>
      <c r="FY682" s="84"/>
      <c r="FZ682" s="84"/>
      <c r="GA682" s="84"/>
      <c r="GB682" s="84"/>
      <c r="GC682" s="84"/>
      <c r="GD682" s="84"/>
      <c r="GE682" s="84"/>
      <c r="GF682" s="84"/>
      <c r="GG682" s="84"/>
      <c r="GH682" s="84"/>
      <c r="GI682" s="84"/>
      <c r="GJ682" s="84"/>
      <c r="GK682" s="84"/>
      <c r="GL682" s="84"/>
      <c r="GM682" s="84"/>
      <c r="GN682" s="84"/>
      <c r="GO682" s="84"/>
      <c r="GP682" s="84"/>
      <c r="GQ682" s="84"/>
      <c r="GR682" s="84"/>
      <c r="GS682" s="84"/>
      <c r="GT682" s="84"/>
      <c r="GU682" s="84"/>
      <c r="GV682" s="84"/>
      <c r="GW682" s="84"/>
      <c r="GX682" s="84"/>
      <c r="GY682" s="84"/>
      <c r="GZ682" s="84"/>
      <c r="HA682" s="84"/>
      <c r="HB682" s="84"/>
      <c r="HC682" s="84"/>
      <c r="HD682" s="84"/>
      <c r="HE682" s="84"/>
      <c r="HF682" s="84"/>
      <c r="HG682" s="84"/>
      <c r="HH682" s="84"/>
      <c r="HI682" s="84"/>
      <c r="HJ682" s="84"/>
      <c r="HK682" s="84"/>
      <c r="HL682" s="84"/>
      <c r="HM682" s="84"/>
      <c r="HN682" s="84"/>
      <c r="HO682" s="84"/>
      <c r="HP682" s="84"/>
      <c r="HQ682" s="84"/>
      <c r="HR682" s="84"/>
      <c r="HS682" s="84"/>
      <c r="HT682" s="84"/>
      <c r="HU682" s="84"/>
      <c r="HV682" s="84"/>
      <c r="HW682" s="84"/>
      <c r="HX682" s="84"/>
      <c r="HY682" s="84"/>
      <c r="HZ682" s="84"/>
      <c r="IA682" s="84"/>
      <c r="IB682" s="84"/>
      <c r="IC682" s="84"/>
      <c r="ID682" s="84"/>
      <c r="IE682" s="84"/>
      <c r="IF682" s="84"/>
      <c r="IG682" s="84"/>
      <c r="IH682" s="84"/>
      <c r="II682" s="84"/>
      <c r="IJ682" s="84"/>
      <c r="IK682" s="84"/>
      <c r="IL682" s="84"/>
      <c r="IM682" s="84"/>
      <c r="IN682" s="84"/>
      <c r="IO682" s="84"/>
      <c r="IP682" s="84"/>
      <c r="IQ682" s="84"/>
      <c r="IR682" s="84"/>
      <c r="IS682" s="84"/>
      <c r="IT682" s="84"/>
      <c r="IU682" s="84"/>
      <c r="IV682" s="84"/>
    </row>
    <row r="683" spans="1:256" s="84" customFormat="1" x14ac:dyDescent="0.25">
      <c r="A683">
        <v>682</v>
      </c>
      <c r="B683" s="85" t="s">
        <v>733</v>
      </c>
      <c r="C683" s="85" t="s">
        <v>730</v>
      </c>
      <c r="D683" s="85" t="s">
        <v>720</v>
      </c>
      <c r="E683" s="94">
        <v>85</v>
      </c>
      <c r="F683" s="85" t="s">
        <v>33</v>
      </c>
      <c r="G683" s="85"/>
      <c r="H683" s="85"/>
      <c r="I683" s="85"/>
      <c r="J683" s="91"/>
      <c r="K683" s="91"/>
      <c r="L683" s="91"/>
      <c r="M683" s="87"/>
      <c r="N683" s="85"/>
      <c r="O683" s="131"/>
      <c r="P683" s="129"/>
      <c r="Q683" s="129"/>
      <c r="U683" s="130"/>
    </row>
    <row r="684" spans="1:256" s="84" customFormat="1" x14ac:dyDescent="0.25">
      <c r="A684">
        <v>683</v>
      </c>
      <c r="B684" s="85" t="s">
        <v>734</v>
      </c>
      <c r="C684" s="85" t="s">
        <v>730</v>
      </c>
      <c r="D684" s="85" t="s">
        <v>720</v>
      </c>
      <c r="E684" s="94">
        <v>85</v>
      </c>
      <c r="F684" s="85" t="s">
        <v>33</v>
      </c>
      <c r="G684" s="85"/>
      <c r="H684" s="85"/>
      <c r="I684" s="85"/>
      <c r="J684" s="91"/>
      <c r="K684" s="91"/>
      <c r="L684" s="91"/>
      <c r="M684" s="87"/>
      <c r="N684" s="85"/>
      <c r="O684" s="131"/>
      <c r="P684" s="129"/>
      <c r="Q684" s="129"/>
      <c r="U684" s="130"/>
    </row>
    <row r="685" spans="1:256" s="84" customFormat="1" x14ac:dyDescent="0.25">
      <c r="A685">
        <v>684</v>
      </c>
      <c r="B685" s="85" t="s">
        <v>735</v>
      </c>
      <c r="C685" s="85" t="s">
        <v>730</v>
      </c>
      <c r="D685" s="85" t="s">
        <v>720</v>
      </c>
      <c r="E685" s="94">
        <v>85</v>
      </c>
      <c r="F685" s="85" t="s">
        <v>33</v>
      </c>
      <c r="G685" s="85"/>
      <c r="H685" s="85"/>
      <c r="I685" s="85"/>
      <c r="J685" s="91"/>
      <c r="K685" s="91"/>
      <c r="L685" s="91"/>
      <c r="M685" s="87"/>
      <c r="N685" s="85"/>
      <c r="O685" s="131"/>
      <c r="P685" s="129"/>
      <c r="Q685" s="129"/>
      <c r="U685" s="130"/>
    </row>
    <row r="686" spans="1:256" s="84" customFormat="1" x14ac:dyDescent="0.25">
      <c r="A686">
        <v>685</v>
      </c>
      <c r="B686" s="85" t="s">
        <v>736</v>
      </c>
      <c r="C686" s="85" t="s">
        <v>730</v>
      </c>
      <c r="D686" s="85" t="s">
        <v>720</v>
      </c>
      <c r="E686" s="94">
        <v>85</v>
      </c>
      <c r="F686" s="85" t="s">
        <v>33</v>
      </c>
      <c r="G686" s="85"/>
      <c r="H686" s="85"/>
      <c r="I686" s="85"/>
      <c r="J686" s="91"/>
      <c r="K686" s="91"/>
      <c r="L686" s="91"/>
      <c r="M686" s="87"/>
      <c r="N686" s="85"/>
      <c r="O686" s="131"/>
      <c r="P686" s="129"/>
      <c r="Q686" s="129"/>
      <c r="U686" s="130"/>
    </row>
    <row r="687" spans="1:256" s="84" customFormat="1" x14ac:dyDescent="0.25">
      <c r="A687">
        <v>686</v>
      </c>
      <c r="B687" s="85" t="s">
        <v>737</v>
      </c>
      <c r="C687" s="85" t="s">
        <v>730</v>
      </c>
      <c r="D687" s="85" t="s">
        <v>720</v>
      </c>
      <c r="E687" s="86">
        <v>85</v>
      </c>
      <c r="F687" s="85" t="s">
        <v>33</v>
      </c>
      <c r="G687" s="85"/>
      <c r="H687" s="85"/>
      <c r="I687" s="85"/>
      <c r="J687" s="91"/>
      <c r="K687" s="91"/>
      <c r="L687" s="91"/>
      <c r="M687" s="87">
        <v>39866</v>
      </c>
      <c r="N687" s="85"/>
      <c r="O687" s="131"/>
      <c r="P687" s="129"/>
      <c r="Q687" s="129"/>
      <c r="U687" s="130"/>
    </row>
    <row r="688" spans="1:256" s="84" customFormat="1" x14ac:dyDescent="0.25">
      <c r="A688">
        <v>687</v>
      </c>
      <c r="B688" s="85" t="s">
        <v>738</v>
      </c>
      <c r="C688" s="85" t="s">
        <v>730</v>
      </c>
      <c r="D688" s="85" t="s">
        <v>720</v>
      </c>
      <c r="E688" s="86">
        <v>85</v>
      </c>
      <c r="F688" s="85" t="s">
        <v>33</v>
      </c>
      <c r="G688" s="85"/>
      <c r="H688" s="85"/>
      <c r="I688" s="85"/>
      <c r="J688" s="91"/>
      <c r="K688" s="91"/>
      <c r="L688" s="91"/>
      <c r="M688" s="87">
        <v>39866</v>
      </c>
      <c r="N688" s="85"/>
      <c r="O688" s="131"/>
      <c r="P688" s="129"/>
      <c r="Q688" s="129"/>
      <c r="U688" s="130"/>
    </row>
    <row r="689" spans="1:21" s="84" customFormat="1" x14ac:dyDescent="0.25">
      <c r="A689">
        <v>688</v>
      </c>
      <c r="B689" s="85" t="s">
        <v>739</v>
      </c>
      <c r="C689" s="85" t="s">
        <v>730</v>
      </c>
      <c r="D689" s="85" t="s">
        <v>720</v>
      </c>
      <c r="E689" s="94">
        <v>85</v>
      </c>
      <c r="F689" s="85" t="s">
        <v>33</v>
      </c>
      <c r="G689" s="85"/>
      <c r="H689" s="85"/>
      <c r="I689" s="85"/>
      <c r="J689" s="91"/>
      <c r="K689" s="91"/>
      <c r="L689" s="91"/>
      <c r="M689" s="87"/>
      <c r="N689" s="85"/>
      <c r="O689" s="131"/>
      <c r="P689" s="129"/>
      <c r="Q689" s="129"/>
      <c r="U689" s="130"/>
    </row>
    <row r="690" spans="1:21" s="84" customFormat="1" x14ac:dyDescent="0.25">
      <c r="A690">
        <v>689</v>
      </c>
      <c r="B690" s="85" t="s">
        <v>740</v>
      </c>
      <c r="C690" s="85" t="s">
        <v>730</v>
      </c>
      <c r="D690" s="85" t="s">
        <v>720</v>
      </c>
      <c r="E690" s="94">
        <v>85</v>
      </c>
      <c r="F690" s="85" t="s">
        <v>33</v>
      </c>
      <c r="G690" s="85"/>
      <c r="H690" s="85"/>
      <c r="I690" s="85"/>
      <c r="J690" s="91"/>
      <c r="K690" s="91"/>
      <c r="L690" s="91"/>
      <c r="M690" s="87"/>
      <c r="N690" s="85"/>
      <c r="O690" s="131"/>
      <c r="P690" s="129"/>
      <c r="Q690" s="129"/>
      <c r="U690" s="130"/>
    </row>
    <row r="691" spans="1:21" s="84" customFormat="1" x14ac:dyDescent="0.25">
      <c r="A691">
        <v>690</v>
      </c>
      <c r="B691" s="85" t="s">
        <v>741</v>
      </c>
      <c r="C691" s="85" t="s">
        <v>730</v>
      </c>
      <c r="D691" s="85" t="s">
        <v>720</v>
      </c>
      <c r="E691" s="94">
        <v>80</v>
      </c>
      <c r="F691" s="85" t="s">
        <v>33</v>
      </c>
      <c r="G691" s="85"/>
      <c r="H691" s="85"/>
      <c r="I691" s="85"/>
      <c r="J691" s="91"/>
      <c r="K691" s="91"/>
      <c r="L691" s="91"/>
      <c r="M691" s="87"/>
      <c r="N691" s="85"/>
      <c r="O691" s="131"/>
      <c r="P691" s="129"/>
      <c r="Q691" s="129"/>
      <c r="U691" s="130"/>
    </row>
    <row r="692" spans="1:21" s="84" customFormat="1" x14ac:dyDescent="0.25">
      <c r="A692">
        <v>691</v>
      </c>
      <c r="B692" s="85" t="s">
        <v>742</v>
      </c>
      <c r="C692" s="85" t="s">
        <v>730</v>
      </c>
      <c r="D692" s="85" t="s">
        <v>720</v>
      </c>
      <c r="E692" s="94">
        <v>100</v>
      </c>
      <c r="F692" s="85" t="s">
        <v>33</v>
      </c>
      <c r="G692" s="85"/>
      <c r="H692" s="85"/>
      <c r="I692" s="85"/>
      <c r="J692" s="91"/>
      <c r="K692" s="91"/>
      <c r="L692" s="91"/>
      <c r="M692" s="87"/>
      <c r="N692" s="85"/>
      <c r="O692" s="132"/>
      <c r="P692" s="133"/>
      <c r="Q692" s="133"/>
      <c r="U692" s="130"/>
    </row>
    <row r="693" spans="1:21" s="84" customFormat="1" x14ac:dyDescent="0.25">
      <c r="A693">
        <v>692</v>
      </c>
      <c r="B693" s="85" t="s">
        <v>743</v>
      </c>
      <c r="C693" s="85" t="s">
        <v>730</v>
      </c>
      <c r="D693" s="85" t="s">
        <v>720</v>
      </c>
      <c r="E693" s="94">
        <v>100</v>
      </c>
      <c r="F693" s="85" t="s">
        <v>33</v>
      </c>
      <c r="G693" s="85"/>
      <c r="H693" s="85"/>
      <c r="I693" s="85"/>
      <c r="J693" s="91"/>
      <c r="K693" s="91"/>
      <c r="L693" s="91"/>
      <c r="M693" s="87"/>
      <c r="N693" s="85"/>
      <c r="O693" s="132"/>
      <c r="P693" s="133"/>
      <c r="Q693" s="133"/>
      <c r="U693" s="130"/>
    </row>
    <row r="694" spans="1:21" s="84" customFormat="1" x14ac:dyDescent="0.25">
      <c r="A694">
        <v>693</v>
      </c>
      <c r="B694" s="85" t="s">
        <v>744</v>
      </c>
      <c r="C694" s="85" t="s">
        <v>745</v>
      </c>
      <c r="D694" s="85" t="s">
        <v>720</v>
      </c>
      <c r="E694" s="94">
        <v>80</v>
      </c>
      <c r="F694" s="85" t="s">
        <v>33</v>
      </c>
      <c r="G694" s="85"/>
      <c r="H694" s="85"/>
      <c r="I694" s="85"/>
      <c r="J694" s="91"/>
      <c r="K694" s="91"/>
      <c r="L694" s="91"/>
      <c r="M694" s="87"/>
      <c r="N694" s="85"/>
      <c r="O694" s="132"/>
      <c r="P694" s="133"/>
      <c r="Q694" s="133"/>
      <c r="U694" s="130"/>
    </row>
    <row r="695" spans="1:21" s="84" customFormat="1" x14ac:dyDescent="0.25">
      <c r="A695">
        <v>694</v>
      </c>
      <c r="B695" s="85" t="s">
        <v>746</v>
      </c>
      <c r="C695" s="85" t="s">
        <v>747</v>
      </c>
      <c r="D695" s="85" t="s">
        <v>720</v>
      </c>
      <c r="E695" s="94">
        <v>100</v>
      </c>
      <c r="F695" s="85" t="s">
        <v>33</v>
      </c>
      <c r="G695" s="85"/>
      <c r="H695" s="85"/>
      <c r="I695" s="85"/>
      <c r="J695" s="91"/>
      <c r="K695" s="91"/>
      <c r="L695" s="91"/>
      <c r="M695" s="87"/>
      <c r="N695" s="85"/>
      <c r="O695" s="132"/>
      <c r="P695" s="133"/>
      <c r="Q695" s="133"/>
      <c r="U695" s="130"/>
    </row>
    <row r="696" spans="1:21" s="84" customFormat="1" x14ac:dyDescent="0.25">
      <c r="A696">
        <v>695</v>
      </c>
      <c r="B696" s="85" t="s">
        <v>748</v>
      </c>
      <c r="C696" s="85" t="s">
        <v>747</v>
      </c>
      <c r="D696" s="85" t="s">
        <v>720</v>
      </c>
      <c r="E696" s="94">
        <v>100</v>
      </c>
      <c r="F696" s="85" t="s">
        <v>33</v>
      </c>
      <c r="G696" s="85"/>
      <c r="H696" s="85"/>
      <c r="I696" s="85"/>
      <c r="J696" s="91"/>
      <c r="K696" s="91"/>
      <c r="L696" s="91"/>
      <c r="M696" s="87"/>
      <c r="N696" s="85"/>
      <c r="O696" s="132"/>
      <c r="P696" s="133"/>
      <c r="Q696" s="133"/>
      <c r="U696" s="130"/>
    </row>
    <row r="697" spans="1:21" s="84" customFormat="1" x14ac:dyDescent="0.25">
      <c r="A697">
        <v>696</v>
      </c>
      <c r="B697" s="85" t="s">
        <v>749</v>
      </c>
      <c r="C697" s="85" t="s">
        <v>30</v>
      </c>
      <c r="D697" s="85" t="s">
        <v>720</v>
      </c>
      <c r="E697" s="88">
        <v>40</v>
      </c>
      <c r="F697" s="85" t="s">
        <v>33</v>
      </c>
      <c r="G697" s="85"/>
      <c r="H697" s="85"/>
      <c r="I697" s="85"/>
      <c r="J697" s="91"/>
      <c r="K697" s="91"/>
      <c r="L697" s="91"/>
      <c r="M697" s="87"/>
      <c r="N697" s="85"/>
      <c r="O697" s="132"/>
      <c r="P697" s="133"/>
      <c r="Q697" s="133"/>
      <c r="U697" s="130"/>
    </row>
    <row r="698" spans="1:21" s="84" customFormat="1" x14ac:dyDescent="0.25">
      <c r="A698">
        <v>697</v>
      </c>
      <c r="B698" s="85" t="s">
        <v>1459</v>
      </c>
      <c r="C698" s="85" t="s">
        <v>1457</v>
      </c>
      <c r="D698" s="85" t="s">
        <v>720</v>
      </c>
      <c r="E698" s="88">
        <v>135</v>
      </c>
      <c r="F698" s="85" t="s">
        <v>33</v>
      </c>
      <c r="G698" s="85"/>
      <c r="H698" s="85"/>
      <c r="I698" s="85"/>
      <c r="J698" s="91"/>
      <c r="K698" s="91"/>
      <c r="L698" s="91"/>
      <c r="M698" s="87">
        <v>40670</v>
      </c>
      <c r="N698" s="85"/>
      <c r="O698" s="132"/>
      <c r="P698" s="133"/>
      <c r="Q698" s="133"/>
      <c r="U698" s="130"/>
    </row>
    <row r="699" spans="1:21" s="84" customFormat="1" x14ac:dyDescent="0.25">
      <c r="A699">
        <v>698</v>
      </c>
      <c r="B699" s="85" t="s">
        <v>1458</v>
      </c>
      <c r="C699" s="85" t="s">
        <v>1457</v>
      </c>
      <c r="D699" s="85" t="s">
        <v>720</v>
      </c>
      <c r="E699" s="88">
        <v>160</v>
      </c>
      <c r="F699" s="85" t="s">
        <v>33</v>
      </c>
      <c r="G699" s="85"/>
      <c r="H699" s="85"/>
      <c r="I699" s="85"/>
      <c r="J699" s="91"/>
      <c r="K699" s="91"/>
      <c r="L699" s="91"/>
      <c r="M699" s="87">
        <v>40670</v>
      </c>
      <c r="N699" s="85"/>
      <c r="O699" s="132"/>
      <c r="P699" s="133"/>
      <c r="Q699" s="133"/>
      <c r="U699" s="130"/>
    </row>
    <row r="700" spans="1:21" s="84" customFormat="1" x14ac:dyDescent="0.25">
      <c r="A700">
        <v>699</v>
      </c>
      <c r="B700" s="85" t="s">
        <v>750</v>
      </c>
      <c r="C700" s="85" t="s">
        <v>30</v>
      </c>
      <c r="D700" s="85" t="s">
        <v>720</v>
      </c>
      <c r="E700" s="94">
        <v>1</v>
      </c>
      <c r="F700" s="85" t="s">
        <v>33</v>
      </c>
      <c r="G700" s="85"/>
      <c r="H700" s="85"/>
      <c r="I700" s="85"/>
      <c r="J700" s="91"/>
      <c r="K700" s="91"/>
      <c r="L700" s="91"/>
      <c r="M700" s="87">
        <v>39866</v>
      </c>
      <c r="N700" s="85" t="s">
        <v>751</v>
      </c>
      <c r="O700" s="132"/>
      <c r="P700" s="133"/>
      <c r="Q700" s="133"/>
      <c r="U700" s="130"/>
    </row>
    <row r="701" spans="1:21" s="84" customFormat="1" x14ac:dyDescent="0.25">
      <c r="A701">
        <v>700</v>
      </c>
      <c r="B701" s="85" t="s">
        <v>1456</v>
      </c>
      <c r="C701" s="85" t="s">
        <v>64</v>
      </c>
      <c r="D701" s="85" t="s">
        <v>754</v>
      </c>
      <c r="E701" s="94">
        <v>0</v>
      </c>
      <c r="F701" s="85" t="s">
        <v>33</v>
      </c>
      <c r="G701" s="85"/>
      <c r="H701" s="85"/>
      <c r="I701" s="85"/>
      <c r="J701" s="91"/>
      <c r="K701" s="91"/>
      <c r="L701" s="91"/>
      <c r="M701" s="87">
        <v>40904</v>
      </c>
      <c r="N701" s="85"/>
      <c r="O701" s="132"/>
      <c r="P701" s="133"/>
      <c r="Q701" s="133"/>
      <c r="U701" s="130"/>
    </row>
    <row r="702" spans="1:21" s="84" customFormat="1" x14ac:dyDescent="0.25">
      <c r="A702">
        <v>701</v>
      </c>
      <c r="B702" s="85" t="s">
        <v>752</v>
      </c>
      <c r="C702" s="85" t="s">
        <v>753</v>
      </c>
      <c r="D702" s="85" t="s">
        <v>754</v>
      </c>
      <c r="E702" s="94">
        <v>57.5</v>
      </c>
      <c r="F702" s="85" t="s">
        <v>33</v>
      </c>
      <c r="G702" s="85"/>
      <c r="H702" s="85"/>
      <c r="I702" s="85"/>
      <c r="J702" s="91"/>
      <c r="K702" s="91"/>
      <c r="L702" s="91"/>
      <c r="M702" s="87">
        <v>39880</v>
      </c>
      <c r="N702" s="85" t="s">
        <v>755</v>
      </c>
      <c r="O702" s="132"/>
      <c r="P702" s="133"/>
      <c r="Q702" s="133"/>
      <c r="U702" s="130"/>
    </row>
    <row r="703" spans="1:21" s="84" customFormat="1" x14ac:dyDescent="0.25">
      <c r="A703">
        <v>702</v>
      </c>
      <c r="B703" s="85" t="s">
        <v>756</v>
      </c>
      <c r="C703" s="92" t="s">
        <v>757</v>
      </c>
      <c r="D703" s="92" t="s">
        <v>754</v>
      </c>
      <c r="E703" s="94">
        <v>93</v>
      </c>
      <c r="F703" s="92" t="s">
        <v>33</v>
      </c>
      <c r="G703" s="92"/>
      <c r="H703" s="92"/>
      <c r="I703" s="92"/>
      <c r="J703" s="91"/>
      <c r="K703" s="91"/>
      <c r="L703" s="91"/>
      <c r="M703" s="95">
        <v>40028</v>
      </c>
      <c r="N703" s="92" t="s">
        <v>758</v>
      </c>
      <c r="O703" s="132"/>
      <c r="P703" s="133"/>
      <c r="Q703" s="133"/>
      <c r="U703" s="130"/>
    </row>
    <row r="704" spans="1:21" s="84" customFormat="1" x14ac:dyDescent="0.25">
      <c r="A704">
        <v>703</v>
      </c>
      <c r="B704" s="85" t="s">
        <v>759</v>
      </c>
      <c r="C704" s="92" t="s">
        <v>757</v>
      </c>
      <c r="D704" s="92" t="s">
        <v>754</v>
      </c>
      <c r="E704" s="94">
        <v>93</v>
      </c>
      <c r="F704" s="92" t="s">
        <v>33</v>
      </c>
      <c r="G704" s="92"/>
      <c r="H704" s="92"/>
      <c r="I704" s="92"/>
      <c r="J704" s="91"/>
      <c r="K704" s="91"/>
      <c r="L704" s="91"/>
      <c r="M704" s="95">
        <v>40028</v>
      </c>
      <c r="N704" s="92" t="s">
        <v>760</v>
      </c>
      <c r="O704" s="132"/>
      <c r="P704" s="133"/>
      <c r="Q704" s="133"/>
      <c r="U704" s="130"/>
    </row>
    <row r="705" spans="1:21" s="84" customFormat="1" x14ac:dyDescent="0.25">
      <c r="A705">
        <v>704</v>
      </c>
      <c r="B705" s="85" t="s">
        <v>761</v>
      </c>
      <c r="C705" s="92" t="s">
        <v>757</v>
      </c>
      <c r="D705" s="92" t="s">
        <v>754</v>
      </c>
      <c r="E705" s="94">
        <v>100</v>
      </c>
      <c r="F705" s="92" t="s">
        <v>33</v>
      </c>
      <c r="G705" s="92"/>
      <c r="H705" s="92"/>
      <c r="I705" s="92"/>
      <c r="J705" s="91"/>
      <c r="K705" s="91"/>
      <c r="L705" s="91"/>
      <c r="M705" s="95">
        <v>40028</v>
      </c>
      <c r="N705" s="92" t="s">
        <v>762</v>
      </c>
      <c r="O705" s="132"/>
      <c r="P705" s="133"/>
      <c r="Q705" s="133"/>
      <c r="U705" s="130"/>
    </row>
    <row r="706" spans="1:21" s="84" customFormat="1" x14ac:dyDescent="0.25">
      <c r="A706">
        <v>705</v>
      </c>
      <c r="B706" s="85" t="s">
        <v>763</v>
      </c>
      <c r="C706" s="92" t="s">
        <v>757</v>
      </c>
      <c r="D706" s="92" t="s">
        <v>754</v>
      </c>
      <c r="E706" s="94">
        <v>104</v>
      </c>
      <c r="F706" s="92" t="s">
        <v>33</v>
      </c>
      <c r="G706" s="92"/>
      <c r="H706" s="92"/>
      <c r="I706" s="92"/>
      <c r="J706" s="91"/>
      <c r="K706" s="91"/>
      <c r="L706" s="91"/>
      <c r="M706" s="95">
        <v>40028</v>
      </c>
      <c r="N706" s="92" t="s">
        <v>764</v>
      </c>
      <c r="O706" s="132"/>
      <c r="P706" s="133"/>
      <c r="Q706" s="133"/>
      <c r="U706" s="130"/>
    </row>
    <row r="707" spans="1:21" s="84" customFormat="1" x14ac:dyDescent="0.25">
      <c r="A707">
        <v>706</v>
      </c>
      <c r="B707" s="85" t="s">
        <v>765</v>
      </c>
      <c r="C707" s="92" t="s">
        <v>757</v>
      </c>
      <c r="D707" s="92" t="s">
        <v>754</v>
      </c>
      <c r="E707" s="94">
        <v>85</v>
      </c>
      <c r="F707" s="92" t="s">
        <v>33</v>
      </c>
      <c r="G707" s="92"/>
      <c r="H707" s="92"/>
      <c r="I707" s="92"/>
      <c r="J707" s="91"/>
      <c r="K707" s="91"/>
      <c r="L707" s="91"/>
      <c r="M707" s="95">
        <v>40028</v>
      </c>
      <c r="N707" s="92" t="s">
        <v>766</v>
      </c>
      <c r="O707" s="132"/>
      <c r="P707" s="133"/>
      <c r="Q707" s="133"/>
      <c r="U707" s="130"/>
    </row>
    <row r="708" spans="1:21" s="84" customFormat="1" x14ac:dyDescent="0.25">
      <c r="A708">
        <v>707</v>
      </c>
      <c r="B708" s="85" t="s">
        <v>767</v>
      </c>
      <c r="C708" s="92" t="s">
        <v>757</v>
      </c>
      <c r="D708" s="92" t="s">
        <v>754</v>
      </c>
      <c r="E708" s="94">
        <v>91.5</v>
      </c>
      <c r="F708" s="92" t="s">
        <v>33</v>
      </c>
      <c r="G708" s="92"/>
      <c r="H708" s="92"/>
      <c r="I708" s="92"/>
      <c r="J708" s="91"/>
      <c r="K708" s="91"/>
      <c r="L708" s="91"/>
      <c r="M708" s="95">
        <v>40028</v>
      </c>
      <c r="N708" s="92" t="s">
        <v>768</v>
      </c>
      <c r="O708" s="132"/>
      <c r="P708" s="133"/>
      <c r="Q708" s="133"/>
      <c r="U708" s="130"/>
    </row>
    <row r="709" spans="1:21" s="84" customFormat="1" x14ac:dyDescent="0.25">
      <c r="A709">
        <v>708</v>
      </c>
      <c r="B709" s="85" t="s">
        <v>769</v>
      </c>
      <c r="C709" s="92" t="s">
        <v>757</v>
      </c>
      <c r="D709" s="92" t="s">
        <v>754</v>
      </c>
      <c r="E709" s="94">
        <v>91.5</v>
      </c>
      <c r="F709" s="92" t="s">
        <v>33</v>
      </c>
      <c r="G709" s="92"/>
      <c r="H709" s="92"/>
      <c r="I709" s="92"/>
      <c r="J709" s="91"/>
      <c r="K709" s="91"/>
      <c r="L709" s="91"/>
      <c r="M709" s="95">
        <v>40028</v>
      </c>
      <c r="N709" s="92" t="s">
        <v>770</v>
      </c>
      <c r="O709" s="132"/>
      <c r="P709" s="133"/>
      <c r="Q709" s="133"/>
      <c r="U709" s="130"/>
    </row>
    <row r="710" spans="1:21" s="84" customFormat="1" x14ac:dyDescent="0.25">
      <c r="A710">
        <v>709</v>
      </c>
      <c r="B710" s="85" t="s">
        <v>771</v>
      </c>
      <c r="C710" s="85" t="s">
        <v>772</v>
      </c>
      <c r="D710" s="85" t="s">
        <v>754</v>
      </c>
      <c r="E710" s="94">
        <v>287.5</v>
      </c>
      <c r="F710" s="85" t="s">
        <v>33</v>
      </c>
      <c r="G710" s="85"/>
      <c r="H710" s="85"/>
      <c r="I710" s="85"/>
      <c r="J710" s="91"/>
      <c r="K710" s="91"/>
      <c r="L710" s="91"/>
      <c r="M710" s="95">
        <v>39880</v>
      </c>
      <c r="N710" s="135" t="s">
        <v>773</v>
      </c>
      <c r="O710" s="132"/>
      <c r="P710" s="133"/>
      <c r="Q710" s="133"/>
      <c r="U710" s="130"/>
    </row>
    <row r="711" spans="1:21" s="84" customFormat="1" x14ac:dyDescent="0.25">
      <c r="A711">
        <v>710</v>
      </c>
      <c r="B711" s="85" t="s">
        <v>774</v>
      </c>
      <c r="C711" s="85" t="s">
        <v>772</v>
      </c>
      <c r="D711" s="85" t="s">
        <v>754</v>
      </c>
      <c r="E711" s="94">
        <v>287.5</v>
      </c>
      <c r="F711" s="85" t="s">
        <v>33</v>
      </c>
      <c r="G711" s="85"/>
      <c r="H711" s="85"/>
      <c r="I711" s="85"/>
      <c r="J711" s="91"/>
      <c r="K711" s="91"/>
      <c r="L711" s="91"/>
      <c r="M711" s="95">
        <v>39880</v>
      </c>
      <c r="N711" s="135" t="s">
        <v>773</v>
      </c>
      <c r="O711" s="132"/>
      <c r="P711" s="133"/>
      <c r="Q711" s="133"/>
      <c r="U711" s="130"/>
    </row>
    <row r="712" spans="1:21" s="84" customFormat="1" x14ac:dyDescent="0.25">
      <c r="A712">
        <v>711</v>
      </c>
      <c r="B712" s="85" t="s">
        <v>775</v>
      </c>
      <c r="C712" s="85" t="s">
        <v>753</v>
      </c>
      <c r="D712" s="85" t="s">
        <v>754</v>
      </c>
      <c r="E712" s="94">
        <v>82.5</v>
      </c>
      <c r="F712" s="85" t="s">
        <v>33</v>
      </c>
      <c r="G712" s="92"/>
      <c r="H712" s="92"/>
      <c r="I712" s="92"/>
      <c r="J712" s="91"/>
      <c r="K712" s="91"/>
      <c r="L712" s="91"/>
      <c r="M712" s="95">
        <v>39889</v>
      </c>
      <c r="N712" s="98" t="s">
        <v>776</v>
      </c>
      <c r="O712" s="132"/>
      <c r="P712" s="133"/>
      <c r="Q712" s="133"/>
      <c r="U712" s="130"/>
    </row>
    <row r="713" spans="1:21" s="84" customFormat="1" x14ac:dyDescent="0.25">
      <c r="A713">
        <v>712</v>
      </c>
      <c r="B713" s="85" t="s">
        <v>777</v>
      </c>
      <c r="C713" s="92" t="s">
        <v>778</v>
      </c>
      <c r="D713" s="92" t="s">
        <v>754</v>
      </c>
      <c r="E713" s="94">
        <v>114</v>
      </c>
      <c r="F713" s="92" t="s">
        <v>33</v>
      </c>
      <c r="G713" s="92"/>
      <c r="H713" s="92"/>
      <c r="I713" s="92"/>
      <c r="J713" s="91"/>
      <c r="K713" s="91"/>
      <c r="L713" s="91"/>
      <c r="M713" s="95">
        <v>40028</v>
      </c>
      <c r="N713" s="92" t="s">
        <v>779</v>
      </c>
      <c r="O713" s="132"/>
      <c r="P713" s="133"/>
      <c r="Q713" s="133"/>
      <c r="U713" s="130"/>
    </row>
    <row r="714" spans="1:21" s="84" customFormat="1" x14ac:dyDescent="0.25">
      <c r="A714">
        <v>713</v>
      </c>
      <c r="B714" s="85" t="s">
        <v>780</v>
      </c>
      <c r="C714" s="85" t="s">
        <v>30</v>
      </c>
      <c r="D714" s="85" t="s">
        <v>754</v>
      </c>
      <c r="E714" s="107">
        <v>4</v>
      </c>
      <c r="F714" s="85" t="s">
        <v>33</v>
      </c>
      <c r="G714" s="85"/>
      <c r="H714" s="85"/>
      <c r="I714" s="85"/>
      <c r="J714" s="91"/>
      <c r="K714" s="91"/>
      <c r="L714" s="91"/>
      <c r="M714" s="87"/>
      <c r="N714" s="135" t="s">
        <v>781</v>
      </c>
      <c r="O714" s="132"/>
      <c r="P714" s="133"/>
      <c r="Q714" s="133"/>
      <c r="U714" s="130"/>
    </row>
    <row r="715" spans="1:21" s="84" customFormat="1" x14ac:dyDescent="0.25">
      <c r="A715">
        <v>714</v>
      </c>
      <c r="B715" s="85" t="s">
        <v>782</v>
      </c>
      <c r="C715" s="85" t="s">
        <v>30</v>
      </c>
      <c r="D715" s="85" t="s">
        <v>754</v>
      </c>
      <c r="E715" s="94">
        <v>77.5</v>
      </c>
      <c r="F715" s="85" t="s">
        <v>33</v>
      </c>
      <c r="G715" s="85"/>
      <c r="H715" s="85"/>
      <c r="I715" s="85"/>
      <c r="J715" s="91"/>
      <c r="K715" s="91"/>
      <c r="L715" s="91"/>
      <c r="M715" s="87"/>
      <c r="N715" s="135" t="s">
        <v>773</v>
      </c>
      <c r="O715" s="132"/>
      <c r="P715" s="133"/>
      <c r="Q715" s="133"/>
      <c r="U715" s="130"/>
    </row>
    <row r="716" spans="1:21" s="84" customFormat="1" x14ac:dyDescent="0.25">
      <c r="A716">
        <v>715</v>
      </c>
      <c r="B716" s="85" t="s">
        <v>783</v>
      </c>
      <c r="C716" s="85" t="s">
        <v>30</v>
      </c>
      <c r="D716" s="85" t="s">
        <v>754</v>
      </c>
      <c r="E716" s="94">
        <v>108</v>
      </c>
      <c r="F716" s="85" t="s">
        <v>33</v>
      </c>
      <c r="G716" s="85"/>
      <c r="H716" s="85"/>
      <c r="I716" s="85"/>
      <c r="J716" s="91"/>
      <c r="K716" s="91"/>
      <c r="L716" s="91"/>
      <c r="M716" s="87"/>
      <c r="N716" s="135" t="s">
        <v>773</v>
      </c>
      <c r="O716" s="132"/>
      <c r="P716" s="133"/>
      <c r="Q716" s="133"/>
      <c r="U716" s="130"/>
    </row>
    <row r="717" spans="1:21" s="84" customFormat="1" x14ac:dyDescent="0.25">
      <c r="A717">
        <v>716</v>
      </c>
      <c r="B717" s="85" t="s">
        <v>784</v>
      </c>
      <c r="C717" s="85" t="s">
        <v>30</v>
      </c>
      <c r="D717" s="85" t="s">
        <v>754</v>
      </c>
      <c r="E717" s="94">
        <v>40</v>
      </c>
      <c r="F717" s="85" t="s">
        <v>33</v>
      </c>
      <c r="G717" s="85"/>
      <c r="H717" s="85"/>
      <c r="I717" s="85"/>
      <c r="J717" s="91"/>
      <c r="K717" s="91"/>
      <c r="L717" s="91"/>
      <c r="M717" s="87"/>
      <c r="N717" s="135" t="s">
        <v>773</v>
      </c>
      <c r="O717" s="132"/>
      <c r="P717" s="133"/>
      <c r="Q717" s="133"/>
      <c r="U717" s="130"/>
    </row>
    <row r="718" spans="1:21" s="84" customFormat="1" x14ac:dyDescent="0.25">
      <c r="A718">
        <v>717</v>
      </c>
      <c r="B718" s="85" t="s">
        <v>785</v>
      </c>
      <c r="C718" s="85" t="s">
        <v>30</v>
      </c>
      <c r="D718" s="85" t="s">
        <v>754</v>
      </c>
      <c r="E718" s="88" t="s">
        <v>32</v>
      </c>
      <c r="F718" s="85" t="s">
        <v>33</v>
      </c>
      <c r="G718" s="85"/>
      <c r="H718" s="85"/>
      <c r="I718" s="85"/>
      <c r="J718" s="91"/>
      <c r="K718" s="91"/>
      <c r="L718" s="91"/>
      <c r="M718" s="87"/>
      <c r="N718" s="92" t="s">
        <v>153</v>
      </c>
      <c r="O718" s="132"/>
      <c r="P718" s="133"/>
      <c r="Q718" s="133"/>
      <c r="U718" s="130"/>
    </row>
    <row r="719" spans="1:21" s="84" customFormat="1" x14ac:dyDescent="0.25">
      <c r="A719">
        <v>718</v>
      </c>
      <c r="B719" s="85" t="s">
        <v>786</v>
      </c>
      <c r="C719" s="85" t="s">
        <v>64</v>
      </c>
      <c r="D719" s="85" t="s">
        <v>754</v>
      </c>
      <c r="E719" s="94">
        <v>0</v>
      </c>
      <c r="F719" s="85" t="s">
        <v>33</v>
      </c>
      <c r="G719" s="85"/>
      <c r="H719" s="85"/>
      <c r="I719" s="85"/>
      <c r="J719" s="91"/>
      <c r="K719" s="91"/>
      <c r="L719" s="91"/>
      <c r="M719" s="87"/>
      <c r="N719" s="92"/>
      <c r="O719" s="132"/>
      <c r="P719" s="133"/>
      <c r="Q719" s="133"/>
      <c r="U719" s="130"/>
    </row>
    <row r="720" spans="1:21" s="84" customFormat="1" x14ac:dyDescent="0.25">
      <c r="A720">
        <v>719</v>
      </c>
      <c r="B720" s="85" t="s">
        <v>1380</v>
      </c>
      <c r="C720" s="85" t="s">
        <v>1381</v>
      </c>
      <c r="D720" s="85" t="s">
        <v>754</v>
      </c>
      <c r="E720" s="94">
        <v>22.5</v>
      </c>
      <c r="F720" s="85" t="s">
        <v>33</v>
      </c>
      <c r="G720" s="85"/>
      <c r="H720" s="85"/>
      <c r="I720" s="85"/>
      <c r="J720" s="91"/>
      <c r="K720" s="91"/>
      <c r="L720" s="91"/>
      <c r="M720" s="87">
        <v>40268</v>
      </c>
      <c r="N720" s="92"/>
      <c r="O720" s="132"/>
      <c r="P720" s="133"/>
      <c r="Q720" s="133"/>
      <c r="U720" s="130"/>
    </row>
    <row r="721" spans="1:21" s="84" customFormat="1" x14ac:dyDescent="0.25">
      <c r="A721">
        <v>720</v>
      </c>
      <c r="B721" s="85" t="s">
        <v>1382</v>
      </c>
      <c r="C721" s="85" t="s">
        <v>1381</v>
      </c>
      <c r="D721" s="85" t="s">
        <v>754</v>
      </c>
      <c r="E721" s="94">
        <v>37.5</v>
      </c>
      <c r="F721" s="85" t="s">
        <v>33</v>
      </c>
      <c r="G721" s="85"/>
      <c r="H721" s="85"/>
      <c r="I721" s="85"/>
      <c r="J721" s="91"/>
      <c r="K721" s="91"/>
      <c r="L721" s="91"/>
      <c r="M721" s="87">
        <v>40268</v>
      </c>
      <c r="N721" s="92"/>
      <c r="O721" s="132"/>
      <c r="P721" s="133"/>
      <c r="Q721" s="133"/>
      <c r="U721" s="130"/>
    </row>
    <row r="722" spans="1:21" s="84" customFormat="1" x14ac:dyDescent="0.25">
      <c r="A722">
        <v>721</v>
      </c>
      <c r="B722" s="85" t="s">
        <v>787</v>
      </c>
      <c r="C722" s="85" t="s">
        <v>753</v>
      </c>
      <c r="D722" s="85" t="s">
        <v>754</v>
      </c>
      <c r="E722" s="94">
        <v>77.5</v>
      </c>
      <c r="F722" s="85" t="s">
        <v>33</v>
      </c>
      <c r="G722" s="85"/>
      <c r="H722" s="85"/>
      <c r="I722" s="85"/>
      <c r="J722" s="91"/>
      <c r="K722" s="91"/>
      <c r="L722" s="91"/>
      <c r="M722" s="87"/>
      <c r="N722" s="135" t="s">
        <v>773</v>
      </c>
      <c r="O722" s="132"/>
      <c r="P722" s="133"/>
      <c r="Q722" s="133"/>
      <c r="U722" s="130"/>
    </row>
    <row r="723" spans="1:21" s="84" customFormat="1" x14ac:dyDescent="0.25">
      <c r="A723">
        <v>722</v>
      </c>
      <c r="B723" s="85" t="s">
        <v>788</v>
      </c>
      <c r="C723" s="85" t="s">
        <v>30</v>
      </c>
      <c r="D723" s="85" t="s">
        <v>754</v>
      </c>
      <c r="E723" s="94">
        <v>115</v>
      </c>
      <c r="F723" s="85" t="s">
        <v>33</v>
      </c>
      <c r="G723" s="85"/>
      <c r="H723" s="85"/>
      <c r="I723" s="85"/>
      <c r="J723" s="91"/>
      <c r="K723" s="91"/>
      <c r="L723" s="91"/>
      <c r="M723" s="87"/>
      <c r="N723" s="135" t="s">
        <v>773</v>
      </c>
      <c r="O723" s="132"/>
      <c r="P723" s="133"/>
      <c r="Q723" s="133"/>
      <c r="U723" s="130"/>
    </row>
    <row r="724" spans="1:21" s="84" customFormat="1" x14ac:dyDescent="0.25">
      <c r="A724">
        <v>723</v>
      </c>
      <c r="B724" s="85" t="s">
        <v>789</v>
      </c>
      <c r="C724" s="85" t="s">
        <v>30</v>
      </c>
      <c r="D724" s="85" t="s">
        <v>754</v>
      </c>
      <c r="E724" s="94">
        <v>161</v>
      </c>
      <c r="F724" s="85" t="s">
        <v>33</v>
      </c>
      <c r="G724" s="85"/>
      <c r="H724" s="85"/>
      <c r="I724" s="85"/>
      <c r="J724" s="91"/>
      <c r="K724" s="91"/>
      <c r="L724" s="91"/>
      <c r="M724" s="87"/>
      <c r="N724" s="135" t="s">
        <v>773</v>
      </c>
      <c r="O724" s="132"/>
      <c r="P724" s="133"/>
      <c r="Q724" s="133"/>
      <c r="U724" s="130"/>
    </row>
    <row r="725" spans="1:21" s="84" customFormat="1" x14ac:dyDescent="0.25">
      <c r="A725">
        <v>724</v>
      </c>
      <c r="B725" s="85" t="s">
        <v>790</v>
      </c>
      <c r="C725" s="85" t="s">
        <v>30</v>
      </c>
      <c r="D725" s="85" t="s">
        <v>754</v>
      </c>
      <c r="E725" s="94">
        <v>50</v>
      </c>
      <c r="F725" s="85" t="s">
        <v>33</v>
      </c>
      <c r="G725" s="85"/>
      <c r="H725" s="85"/>
      <c r="I725" s="85"/>
      <c r="J725" s="91"/>
      <c r="K725" s="91"/>
      <c r="L725" s="91"/>
      <c r="M725" s="87"/>
      <c r="N725" s="135" t="s">
        <v>773</v>
      </c>
      <c r="O725" s="132"/>
      <c r="P725" s="133"/>
      <c r="Q725" s="133"/>
      <c r="U725" s="130"/>
    </row>
    <row r="726" spans="1:21" s="84" customFormat="1" x14ac:dyDescent="0.25">
      <c r="A726">
        <v>725</v>
      </c>
      <c r="B726" s="85" t="s">
        <v>1455</v>
      </c>
      <c r="C726" s="85" t="s">
        <v>1454</v>
      </c>
      <c r="D726" s="85" t="s">
        <v>754</v>
      </c>
      <c r="E726" s="94">
        <v>80</v>
      </c>
      <c r="F726" s="85" t="s">
        <v>33</v>
      </c>
      <c r="G726" s="85"/>
      <c r="H726" s="85"/>
      <c r="I726" s="85"/>
      <c r="J726" s="91"/>
      <c r="K726" s="91"/>
      <c r="L726" s="91"/>
      <c r="M726" s="87">
        <v>40670</v>
      </c>
      <c r="N726" s="135"/>
      <c r="O726" s="132"/>
      <c r="P726" s="133"/>
      <c r="Q726" s="133"/>
      <c r="U726" s="130"/>
    </row>
    <row r="727" spans="1:21" s="84" customFormat="1" x14ac:dyDescent="0.25">
      <c r="A727">
        <v>726</v>
      </c>
      <c r="B727" s="85" t="s">
        <v>791</v>
      </c>
      <c r="C727" s="85" t="s">
        <v>30</v>
      </c>
      <c r="D727" s="85" t="s">
        <v>754</v>
      </c>
      <c r="E727" s="88" t="s">
        <v>32</v>
      </c>
      <c r="F727" s="85" t="s">
        <v>33</v>
      </c>
      <c r="G727" s="85"/>
      <c r="H727" s="85"/>
      <c r="I727" s="85"/>
      <c r="J727" s="91"/>
      <c r="K727" s="91"/>
      <c r="L727" s="91"/>
      <c r="M727" s="87"/>
      <c r="N727" s="92" t="s">
        <v>153</v>
      </c>
      <c r="O727" s="132"/>
      <c r="P727" s="133"/>
      <c r="Q727" s="133"/>
      <c r="U727" s="130"/>
    </row>
    <row r="728" spans="1:21" s="84" customFormat="1" x14ac:dyDescent="0.25">
      <c r="A728">
        <v>727</v>
      </c>
      <c r="B728" s="85" t="s">
        <v>792</v>
      </c>
      <c r="C728" s="85" t="s">
        <v>64</v>
      </c>
      <c r="D728" s="85" t="s">
        <v>754</v>
      </c>
      <c r="E728" s="94">
        <v>0</v>
      </c>
      <c r="F728" s="85" t="s">
        <v>33</v>
      </c>
      <c r="G728" s="85"/>
      <c r="H728" s="85"/>
      <c r="I728" s="85"/>
      <c r="J728" s="91"/>
      <c r="K728" s="91"/>
      <c r="L728" s="91"/>
      <c r="M728" s="87"/>
      <c r="N728" s="92"/>
      <c r="O728" s="132"/>
      <c r="P728" s="133"/>
      <c r="Q728" s="133"/>
      <c r="U728" s="130"/>
    </row>
    <row r="729" spans="1:21" s="84" customFormat="1" x14ac:dyDescent="0.25">
      <c r="A729">
        <v>728</v>
      </c>
      <c r="B729" s="85" t="s">
        <v>1383</v>
      </c>
      <c r="C729" s="85" t="s">
        <v>1384</v>
      </c>
      <c r="D729" s="85" t="s">
        <v>754</v>
      </c>
      <c r="E729" s="94">
        <v>94</v>
      </c>
      <c r="F729" s="85" t="s">
        <v>33</v>
      </c>
      <c r="G729" s="85"/>
      <c r="H729" s="85"/>
      <c r="I729" s="85"/>
      <c r="J729" s="91"/>
      <c r="K729" s="91"/>
      <c r="L729" s="91"/>
      <c r="M729" s="87">
        <v>40321</v>
      </c>
      <c r="N729" s="92"/>
      <c r="O729" s="132"/>
      <c r="P729" s="133"/>
      <c r="Q729" s="133"/>
      <c r="U729" s="130"/>
    </row>
    <row r="730" spans="1:21" s="84" customFormat="1" x14ac:dyDescent="0.25">
      <c r="A730">
        <v>729</v>
      </c>
      <c r="B730" s="85" t="s">
        <v>1385</v>
      </c>
      <c r="C730" s="85" t="s">
        <v>1386</v>
      </c>
      <c r="D730" s="85" t="s">
        <v>754</v>
      </c>
      <c r="E730" s="94" t="s">
        <v>1387</v>
      </c>
      <c r="F730" s="85" t="s">
        <v>33</v>
      </c>
      <c r="G730" s="85"/>
      <c r="H730" s="85"/>
      <c r="I730" s="85"/>
      <c r="J730" s="91"/>
      <c r="K730" s="91"/>
      <c r="L730" s="91"/>
      <c r="M730" s="87">
        <v>40307</v>
      </c>
      <c r="N730" s="135"/>
      <c r="O730" s="132"/>
      <c r="P730" s="133"/>
      <c r="Q730" s="133"/>
      <c r="U730" s="130"/>
    </row>
    <row r="731" spans="1:21" s="84" customFormat="1" x14ac:dyDescent="0.25">
      <c r="A731">
        <v>730</v>
      </c>
      <c r="B731" s="85" t="s">
        <v>1388</v>
      </c>
      <c r="C731" s="85" t="s">
        <v>1389</v>
      </c>
      <c r="D731" s="85" t="s">
        <v>754</v>
      </c>
      <c r="E731" s="94">
        <f>470/2</f>
        <v>235</v>
      </c>
      <c r="F731" s="85" t="s">
        <v>33</v>
      </c>
      <c r="G731" s="85"/>
      <c r="H731" s="85"/>
      <c r="I731" s="85"/>
      <c r="J731" s="91"/>
      <c r="K731" s="91"/>
      <c r="L731" s="91"/>
      <c r="M731" s="87">
        <v>40286</v>
      </c>
      <c r="N731" s="92"/>
      <c r="O731" s="132"/>
      <c r="P731" s="133"/>
      <c r="Q731" s="133"/>
      <c r="U731" s="130"/>
    </row>
    <row r="732" spans="1:21" s="84" customFormat="1" x14ac:dyDescent="0.25">
      <c r="A732">
        <v>731</v>
      </c>
      <c r="B732" s="85" t="s">
        <v>1390</v>
      </c>
      <c r="C732" s="85" t="s">
        <v>1389</v>
      </c>
      <c r="D732" s="85" t="s">
        <v>754</v>
      </c>
      <c r="E732" s="94">
        <f>500/2</f>
        <v>250</v>
      </c>
      <c r="F732" s="85" t="s">
        <v>33</v>
      </c>
      <c r="G732" s="85"/>
      <c r="H732" s="85"/>
      <c r="I732" s="85"/>
      <c r="J732" s="91"/>
      <c r="K732" s="91"/>
      <c r="L732" s="91"/>
      <c r="M732" s="87">
        <v>40286</v>
      </c>
      <c r="N732" s="92"/>
      <c r="O732" s="132"/>
      <c r="P732" s="133"/>
      <c r="Q732" s="133"/>
      <c r="U732" s="130"/>
    </row>
    <row r="733" spans="1:21" s="84" customFormat="1" x14ac:dyDescent="0.25">
      <c r="A733">
        <v>732</v>
      </c>
      <c r="B733" s="85" t="s">
        <v>793</v>
      </c>
      <c r="C733" s="85" t="s">
        <v>794</v>
      </c>
      <c r="D733" s="85" t="s">
        <v>754</v>
      </c>
      <c r="E733" s="94">
        <v>200</v>
      </c>
      <c r="F733" s="85" t="s">
        <v>33</v>
      </c>
      <c r="G733" s="85"/>
      <c r="H733" s="85"/>
      <c r="I733" s="85"/>
      <c r="J733" s="91"/>
      <c r="K733" s="91"/>
      <c r="L733" s="91"/>
      <c r="M733" s="87"/>
      <c r="N733" s="135"/>
      <c r="O733" s="132"/>
      <c r="P733" s="133"/>
      <c r="Q733" s="133"/>
      <c r="U733" s="130"/>
    </row>
    <row r="734" spans="1:21" s="84" customFormat="1" x14ac:dyDescent="0.25">
      <c r="A734">
        <v>733</v>
      </c>
      <c r="B734" s="85" t="s">
        <v>1391</v>
      </c>
      <c r="C734" s="85" t="s">
        <v>1386</v>
      </c>
      <c r="D734" s="85" t="s">
        <v>754</v>
      </c>
      <c r="E734" s="94">
        <v>96.5</v>
      </c>
      <c r="F734" s="85" t="s">
        <v>33</v>
      </c>
      <c r="G734" s="85"/>
      <c r="H734" s="85"/>
      <c r="I734" s="85"/>
      <c r="J734" s="91"/>
      <c r="K734" s="91"/>
      <c r="L734" s="91"/>
      <c r="M734" s="87">
        <v>40307</v>
      </c>
      <c r="N734" s="135"/>
      <c r="O734" s="132"/>
      <c r="P734" s="133"/>
      <c r="Q734" s="133"/>
      <c r="U734" s="130"/>
    </row>
    <row r="735" spans="1:21" s="84" customFormat="1" x14ac:dyDescent="0.25">
      <c r="A735">
        <v>734</v>
      </c>
      <c r="B735" s="85" t="s">
        <v>795</v>
      </c>
      <c r="C735" s="85" t="s">
        <v>796</v>
      </c>
      <c r="D735" s="85" t="s">
        <v>754</v>
      </c>
      <c r="E735" s="94">
        <v>150</v>
      </c>
      <c r="F735" s="85" t="s">
        <v>33</v>
      </c>
      <c r="G735" s="85"/>
      <c r="H735" s="85"/>
      <c r="I735" s="85"/>
      <c r="J735" s="91"/>
      <c r="K735" s="91"/>
      <c r="L735" s="91"/>
      <c r="M735" s="87">
        <v>39873</v>
      </c>
      <c r="N735" s="92"/>
      <c r="O735" s="132"/>
      <c r="P735" s="133"/>
      <c r="Q735" s="133"/>
      <c r="U735" s="130"/>
    </row>
    <row r="736" spans="1:21" s="84" customFormat="1" x14ac:dyDescent="0.25">
      <c r="A736">
        <v>735</v>
      </c>
      <c r="B736" s="85" t="s">
        <v>797</v>
      </c>
      <c r="C736" s="85" t="s">
        <v>772</v>
      </c>
      <c r="D736" s="85" t="s">
        <v>754</v>
      </c>
      <c r="E736" s="94">
        <v>287.5</v>
      </c>
      <c r="F736" s="85" t="s">
        <v>33</v>
      </c>
      <c r="G736" s="85"/>
      <c r="H736" s="85"/>
      <c r="I736" s="85"/>
      <c r="J736" s="91"/>
      <c r="K736" s="91"/>
      <c r="L736" s="91"/>
      <c r="M736" s="87"/>
      <c r="N736" s="135" t="s">
        <v>773</v>
      </c>
      <c r="O736" s="132"/>
      <c r="P736" s="133"/>
      <c r="Q736" s="133"/>
      <c r="U736" s="130"/>
    </row>
    <row r="737" spans="1:14" s="84" customFormat="1" x14ac:dyDescent="0.25">
      <c r="A737">
        <v>736</v>
      </c>
      <c r="B737" s="85" t="s">
        <v>798</v>
      </c>
      <c r="C737" s="85" t="s">
        <v>772</v>
      </c>
      <c r="D737" s="85" t="s">
        <v>754</v>
      </c>
      <c r="E737" s="94">
        <v>287.5</v>
      </c>
      <c r="F737" s="85" t="s">
        <v>33</v>
      </c>
      <c r="G737" s="85"/>
      <c r="H737" s="85"/>
      <c r="I737" s="85"/>
      <c r="J737" s="91"/>
      <c r="K737" s="91"/>
      <c r="L737" s="91"/>
      <c r="M737" s="87"/>
      <c r="N737" s="135" t="s">
        <v>773</v>
      </c>
    </row>
    <row r="738" spans="1:14" s="84" customFormat="1" x14ac:dyDescent="0.25">
      <c r="A738">
        <v>737</v>
      </c>
      <c r="B738" s="85" t="s">
        <v>799</v>
      </c>
      <c r="C738" s="85" t="s">
        <v>753</v>
      </c>
      <c r="D738" s="85" t="s">
        <v>754</v>
      </c>
      <c r="E738" s="94">
        <v>115</v>
      </c>
      <c r="F738" s="85" t="s">
        <v>33</v>
      </c>
      <c r="G738" s="85"/>
      <c r="H738" s="85"/>
      <c r="I738" s="85"/>
      <c r="J738" s="91"/>
      <c r="K738" s="91"/>
      <c r="L738" s="91"/>
      <c r="M738" s="87"/>
      <c r="N738" s="135" t="s">
        <v>773</v>
      </c>
    </row>
    <row r="739" spans="1:14" s="84" customFormat="1" x14ac:dyDescent="0.25">
      <c r="A739">
        <v>738</v>
      </c>
      <c r="B739" s="85" t="s">
        <v>800</v>
      </c>
      <c r="C739" s="85" t="s">
        <v>753</v>
      </c>
      <c r="D739" s="85" t="s">
        <v>754</v>
      </c>
      <c r="E739" s="94">
        <v>140</v>
      </c>
      <c r="F739" s="85" t="s">
        <v>33</v>
      </c>
      <c r="G739" s="85"/>
      <c r="H739" s="85"/>
      <c r="I739" s="85"/>
      <c r="J739" s="91"/>
      <c r="K739" s="91"/>
      <c r="L739" s="91"/>
      <c r="M739" s="87"/>
      <c r="N739" s="135" t="s">
        <v>773</v>
      </c>
    </row>
    <row r="740" spans="1:14" s="84" customFormat="1" x14ac:dyDescent="0.25">
      <c r="A740">
        <v>739</v>
      </c>
      <c r="B740" s="85" t="s">
        <v>801</v>
      </c>
      <c r="C740" s="92" t="s">
        <v>778</v>
      </c>
      <c r="D740" s="92" t="s">
        <v>754</v>
      </c>
      <c r="E740" s="94">
        <v>201.5</v>
      </c>
      <c r="F740" s="92" t="s">
        <v>33</v>
      </c>
      <c r="G740" s="92"/>
      <c r="H740" s="92"/>
      <c r="I740" s="92"/>
      <c r="J740" s="91"/>
      <c r="K740" s="91"/>
      <c r="L740" s="91"/>
      <c r="M740" s="95">
        <v>39880</v>
      </c>
      <c r="N740" s="92" t="s">
        <v>802</v>
      </c>
    </row>
    <row r="741" spans="1:14" s="84" customFormat="1" x14ac:dyDescent="0.25">
      <c r="A741">
        <v>740</v>
      </c>
      <c r="B741" s="85" t="s">
        <v>803</v>
      </c>
      <c r="C741" s="85" t="s">
        <v>804</v>
      </c>
      <c r="D741" s="85" t="s">
        <v>754</v>
      </c>
      <c r="E741" s="94">
        <v>340</v>
      </c>
      <c r="F741" s="85" t="s">
        <v>33</v>
      </c>
      <c r="G741" s="85"/>
      <c r="H741" s="85"/>
      <c r="I741" s="85"/>
      <c r="J741" s="91"/>
      <c r="K741" s="91"/>
      <c r="L741" s="91"/>
      <c r="M741" s="87">
        <v>39873</v>
      </c>
      <c r="N741" s="92"/>
    </row>
    <row r="742" spans="1:14" s="84" customFormat="1" x14ac:dyDescent="0.25">
      <c r="A742">
        <v>741</v>
      </c>
      <c r="B742" s="85" t="s">
        <v>805</v>
      </c>
      <c r="C742" s="85" t="s">
        <v>804</v>
      </c>
      <c r="D742" s="85" t="s">
        <v>754</v>
      </c>
      <c r="E742" s="88" t="s">
        <v>32</v>
      </c>
      <c r="F742" s="85" t="s">
        <v>33</v>
      </c>
      <c r="G742" s="85"/>
      <c r="H742" s="85"/>
      <c r="I742" s="85"/>
      <c r="J742" s="91"/>
      <c r="K742" s="91"/>
      <c r="L742" s="91"/>
      <c r="M742" s="87"/>
      <c r="N742" s="135" t="s">
        <v>153</v>
      </c>
    </row>
    <row r="743" spans="1:14" s="84" customFormat="1" x14ac:dyDescent="0.25">
      <c r="A743">
        <v>742</v>
      </c>
      <c r="B743" s="85" t="s">
        <v>806</v>
      </c>
      <c r="C743" s="85" t="s">
        <v>30</v>
      </c>
      <c r="D743" s="85" t="s">
        <v>754</v>
      </c>
      <c r="E743" s="88">
        <v>140</v>
      </c>
      <c r="F743" s="85" t="s">
        <v>33</v>
      </c>
      <c r="G743" s="85"/>
      <c r="H743" s="85"/>
      <c r="I743" s="85"/>
      <c r="J743" s="91"/>
      <c r="K743" s="91"/>
      <c r="L743" s="91"/>
      <c r="M743" s="87"/>
      <c r="N743" s="92"/>
    </row>
    <row r="744" spans="1:14" s="84" customFormat="1" x14ac:dyDescent="0.25">
      <c r="A744">
        <v>743</v>
      </c>
      <c r="B744" s="85" t="s">
        <v>807</v>
      </c>
      <c r="C744" s="85" t="s">
        <v>30</v>
      </c>
      <c r="D744" s="85" t="s">
        <v>754</v>
      </c>
      <c r="E744" s="88">
        <v>196</v>
      </c>
      <c r="F744" s="85" t="s">
        <v>33</v>
      </c>
      <c r="G744" s="85"/>
      <c r="H744" s="85"/>
      <c r="I744" s="85"/>
      <c r="J744" s="91"/>
      <c r="K744" s="91"/>
      <c r="L744" s="91"/>
      <c r="M744" s="87"/>
      <c r="N744" s="92"/>
    </row>
    <row r="745" spans="1:14" s="84" customFormat="1" x14ac:dyDescent="0.25">
      <c r="A745">
        <v>744</v>
      </c>
      <c r="B745" s="85" t="s">
        <v>808</v>
      </c>
      <c r="C745" s="85" t="s">
        <v>30</v>
      </c>
      <c r="D745" s="85" t="s">
        <v>754</v>
      </c>
      <c r="E745" s="88">
        <v>60</v>
      </c>
      <c r="F745" s="85" t="s">
        <v>33</v>
      </c>
      <c r="G745" s="85"/>
      <c r="H745" s="85"/>
      <c r="I745" s="85"/>
      <c r="J745" s="91"/>
      <c r="K745" s="91"/>
      <c r="L745" s="91"/>
      <c r="M745" s="87"/>
      <c r="N745" s="92"/>
    </row>
    <row r="746" spans="1:14" s="84" customFormat="1" x14ac:dyDescent="0.25">
      <c r="A746">
        <v>745</v>
      </c>
      <c r="B746" s="85" t="s">
        <v>809</v>
      </c>
      <c r="C746" s="85"/>
      <c r="D746" s="85" t="s">
        <v>754</v>
      </c>
      <c r="E746" s="88" t="s">
        <v>32</v>
      </c>
      <c r="F746" s="85" t="s">
        <v>33</v>
      </c>
      <c r="G746" s="85"/>
      <c r="H746" s="85"/>
      <c r="I746" s="85"/>
      <c r="J746" s="91"/>
      <c r="K746" s="91"/>
      <c r="L746" s="91"/>
      <c r="M746" s="87"/>
      <c r="N746" s="92"/>
    </row>
    <row r="747" spans="1:14" s="84" customFormat="1" x14ac:dyDescent="0.25">
      <c r="A747">
        <v>746</v>
      </c>
      <c r="B747" s="85" t="s">
        <v>810</v>
      </c>
      <c r="C747" s="85" t="s">
        <v>64</v>
      </c>
      <c r="D747" s="85" t="s">
        <v>754</v>
      </c>
      <c r="E747" s="88">
        <v>0</v>
      </c>
      <c r="F747" s="85" t="s">
        <v>33</v>
      </c>
      <c r="G747" s="85"/>
      <c r="H747" s="85"/>
      <c r="I747" s="85"/>
      <c r="J747" s="91"/>
      <c r="K747" s="91"/>
      <c r="L747" s="91"/>
      <c r="M747" s="87"/>
      <c r="N747" s="92"/>
    </row>
    <row r="748" spans="1:14" s="84" customFormat="1" x14ac:dyDescent="0.25">
      <c r="A748">
        <v>747</v>
      </c>
      <c r="B748" s="85" t="s">
        <v>1392</v>
      </c>
      <c r="C748" s="85" t="s">
        <v>30</v>
      </c>
      <c r="D748" s="85" t="s">
        <v>1393</v>
      </c>
      <c r="E748" s="118">
        <v>33</v>
      </c>
      <c r="F748" s="85" t="s">
        <v>207</v>
      </c>
      <c r="G748" s="85"/>
      <c r="H748" s="85"/>
      <c r="I748" s="85"/>
      <c r="J748" s="91"/>
      <c r="K748" s="91"/>
      <c r="L748" s="91"/>
      <c r="M748" s="87">
        <v>40085</v>
      </c>
      <c r="N748" s="124"/>
    </row>
    <row r="749" spans="1:14" s="84" customFormat="1" x14ac:dyDescent="0.25">
      <c r="A749">
        <v>748</v>
      </c>
      <c r="B749" s="85" t="s">
        <v>1394</v>
      </c>
      <c r="C749" s="85" t="s">
        <v>30</v>
      </c>
      <c r="D749" s="85" t="s">
        <v>1393</v>
      </c>
      <c r="E749" s="105">
        <v>4.2</v>
      </c>
      <c r="F749" s="85" t="s">
        <v>207</v>
      </c>
      <c r="G749" s="85"/>
      <c r="H749" s="85"/>
      <c r="I749" s="85"/>
      <c r="J749" s="91"/>
      <c r="K749" s="91"/>
      <c r="L749" s="91"/>
      <c r="M749" s="87">
        <v>40085</v>
      </c>
      <c r="N749" s="124" t="s">
        <v>610</v>
      </c>
    </row>
    <row r="750" spans="1:14" s="84" customFormat="1" x14ac:dyDescent="0.25">
      <c r="A750">
        <v>749</v>
      </c>
      <c r="B750" s="85" t="s">
        <v>1395</v>
      </c>
      <c r="C750" s="85" t="s">
        <v>30</v>
      </c>
      <c r="D750" s="85" t="s">
        <v>1393</v>
      </c>
      <c r="E750" s="105">
        <v>4.2</v>
      </c>
      <c r="F750" s="85" t="s">
        <v>207</v>
      </c>
      <c r="G750" s="85"/>
      <c r="H750" s="85"/>
      <c r="I750" s="85"/>
      <c r="J750" s="91"/>
      <c r="K750" s="91"/>
      <c r="L750" s="91"/>
      <c r="M750" s="87">
        <v>40085</v>
      </c>
      <c r="N750" s="124" t="s">
        <v>612</v>
      </c>
    </row>
    <row r="751" spans="1:14" s="84" customFormat="1" x14ac:dyDescent="0.25">
      <c r="A751">
        <v>750</v>
      </c>
      <c r="B751" s="85" t="s">
        <v>1396</v>
      </c>
      <c r="C751" s="85" t="s">
        <v>30</v>
      </c>
      <c r="D751" s="85" t="s">
        <v>1393</v>
      </c>
      <c r="E751" s="118">
        <v>2.2000000000000002</v>
      </c>
      <c r="F751" s="85" t="s">
        <v>207</v>
      </c>
      <c r="G751" s="85"/>
      <c r="H751" s="85"/>
      <c r="I751" s="85"/>
      <c r="J751" s="91"/>
      <c r="K751" s="91"/>
      <c r="L751" s="91"/>
      <c r="M751" s="87">
        <v>40085</v>
      </c>
      <c r="N751" s="124"/>
    </row>
    <row r="752" spans="1:14" s="84" customFormat="1" x14ac:dyDescent="0.25">
      <c r="A752">
        <v>751</v>
      </c>
      <c r="B752" s="85" t="s">
        <v>1397</v>
      </c>
      <c r="C752" s="85" t="s">
        <v>30</v>
      </c>
      <c r="D752" s="85" t="s">
        <v>1393</v>
      </c>
      <c r="E752" s="118">
        <v>2.2000000000000002</v>
      </c>
      <c r="F752" s="85" t="s">
        <v>207</v>
      </c>
      <c r="G752" s="85"/>
      <c r="H752" s="85"/>
      <c r="I752" s="85"/>
      <c r="J752" s="91"/>
      <c r="K752" s="91"/>
      <c r="L752" s="91"/>
      <c r="M752" s="87">
        <v>40085</v>
      </c>
      <c r="N752" s="124"/>
    </row>
    <row r="753" spans="1:14" s="84" customFormat="1" x14ac:dyDescent="0.25">
      <c r="A753">
        <v>752</v>
      </c>
      <c r="B753" s="85" t="s">
        <v>1398</v>
      </c>
      <c r="C753" s="85" t="s">
        <v>30</v>
      </c>
      <c r="D753" s="85" t="s">
        <v>1393</v>
      </c>
      <c r="E753" s="118">
        <v>2.2000000000000002</v>
      </c>
      <c r="F753" s="85" t="s">
        <v>207</v>
      </c>
      <c r="G753" s="85"/>
      <c r="H753" s="85"/>
      <c r="I753" s="85"/>
      <c r="J753" s="91"/>
      <c r="K753" s="91"/>
      <c r="L753" s="91"/>
      <c r="M753" s="87">
        <v>40085</v>
      </c>
      <c r="N753" s="124"/>
    </row>
    <row r="754" spans="1:14" s="84" customFormat="1" x14ac:dyDescent="0.25">
      <c r="A754">
        <v>753</v>
      </c>
      <c r="B754" s="85" t="s">
        <v>1399</v>
      </c>
      <c r="C754" s="85" t="s">
        <v>30</v>
      </c>
      <c r="D754" s="85" t="s">
        <v>1393</v>
      </c>
      <c r="E754" s="118">
        <v>15</v>
      </c>
      <c r="F754" s="85" t="s">
        <v>207</v>
      </c>
      <c r="G754" s="85"/>
      <c r="H754" s="85"/>
      <c r="I754" s="85"/>
      <c r="J754" s="91"/>
      <c r="K754" s="91"/>
      <c r="L754" s="91"/>
      <c r="M754" s="87">
        <v>40085</v>
      </c>
      <c r="N754" s="124" t="s">
        <v>617</v>
      </c>
    </row>
    <row r="755" spans="1:14" s="84" customFormat="1" x14ac:dyDescent="0.25">
      <c r="A755">
        <v>754</v>
      </c>
      <c r="B755" s="85" t="s">
        <v>1400</v>
      </c>
      <c r="C755" s="85" t="s">
        <v>30</v>
      </c>
      <c r="D755" s="85" t="s">
        <v>1393</v>
      </c>
      <c r="E755" s="118">
        <v>1</v>
      </c>
      <c r="F755" s="85" t="s">
        <v>207</v>
      </c>
      <c r="G755" s="85"/>
      <c r="H755" s="85"/>
      <c r="I755" s="85"/>
      <c r="J755" s="91"/>
      <c r="K755" s="91"/>
      <c r="L755" s="91"/>
      <c r="M755" s="87">
        <v>40085</v>
      </c>
      <c r="N755" s="124"/>
    </row>
    <row r="756" spans="1:14" s="84" customFormat="1" x14ac:dyDescent="0.25">
      <c r="A756">
        <v>755</v>
      </c>
      <c r="B756" s="85" t="s">
        <v>1401</v>
      </c>
      <c r="C756" s="85" t="s">
        <v>30</v>
      </c>
      <c r="D756" s="85" t="s">
        <v>1393</v>
      </c>
      <c r="E756" s="88">
        <v>6</v>
      </c>
      <c r="F756" s="85" t="s">
        <v>207</v>
      </c>
      <c r="G756" s="85"/>
      <c r="H756" s="85"/>
      <c r="I756" s="85"/>
      <c r="J756" s="91"/>
      <c r="K756" s="91"/>
      <c r="L756" s="91"/>
      <c r="M756" s="87">
        <v>40085</v>
      </c>
      <c r="N756" s="127"/>
    </row>
    <row r="757" spans="1:14" s="84" customFormat="1" x14ac:dyDescent="0.25">
      <c r="A757">
        <v>756</v>
      </c>
      <c r="B757" s="85" t="s">
        <v>1402</v>
      </c>
      <c r="C757" s="85" t="s">
        <v>30</v>
      </c>
      <c r="D757" s="85" t="s">
        <v>1393</v>
      </c>
      <c r="E757" s="118">
        <v>2.2000000000000002</v>
      </c>
      <c r="F757" s="85" t="s">
        <v>207</v>
      </c>
      <c r="G757" s="85"/>
      <c r="H757" s="85"/>
      <c r="I757" s="85"/>
      <c r="J757" s="91"/>
      <c r="K757" s="91"/>
      <c r="L757" s="91"/>
      <c r="M757" s="87">
        <v>40085</v>
      </c>
      <c r="N757" s="127"/>
    </row>
    <row r="758" spans="1:14" s="84" customFormat="1" x14ac:dyDescent="0.25">
      <c r="A758">
        <v>757</v>
      </c>
      <c r="B758" s="85" t="s">
        <v>1403</v>
      </c>
      <c r="C758" s="85" t="s">
        <v>30</v>
      </c>
      <c r="D758" s="85" t="s">
        <v>1393</v>
      </c>
      <c r="E758" s="110">
        <v>3.3</v>
      </c>
      <c r="F758" s="85" t="s">
        <v>207</v>
      </c>
      <c r="G758" s="85"/>
      <c r="H758" s="85"/>
      <c r="I758" s="85"/>
      <c r="J758" s="91"/>
      <c r="K758" s="91"/>
      <c r="L758" s="91"/>
      <c r="M758" s="87">
        <v>40085</v>
      </c>
      <c r="N758" s="127" t="s">
        <v>624</v>
      </c>
    </row>
    <row r="759" spans="1:14" s="84" customFormat="1" x14ac:dyDescent="0.25">
      <c r="A759">
        <v>758</v>
      </c>
      <c r="B759" s="85" t="s">
        <v>1404</v>
      </c>
      <c r="C759" s="85" t="s">
        <v>30</v>
      </c>
      <c r="D759" s="85" t="s">
        <v>1393</v>
      </c>
      <c r="E759" s="110">
        <v>3.3</v>
      </c>
      <c r="F759" s="85" t="s">
        <v>207</v>
      </c>
      <c r="G759" s="85"/>
      <c r="H759" s="85"/>
      <c r="I759" s="85"/>
      <c r="J759" s="91"/>
      <c r="K759" s="91"/>
      <c r="L759" s="91"/>
      <c r="M759" s="87">
        <v>40085</v>
      </c>
      <c r="N759" s="127" t="s">
        <v>626</v>
      </c>
    </row>
    <row r="760" spans="1:14" s="84" customFormat="1" x14ac:dyDescent="0.25">
      <c r="A760">
        <v>759</v>
      </c>
      <c r="B760" s="85" t="s">
        <v>1405</v>
      </c>
      <c r="C760" s="85" t="s">
        <v>30</v>
      </c>
      <c r="D760" s="85" t="s">
        <v>1393</v>
      </c>
      <c r="E760" s="110">
        <v>3.3</v>
      </c>
      <c r="F760" s="85" t="s">
        <v>207</v>
      </c>
      <c r="G760" s="85"/>
      <c r="H760" s="85"/>
      <c r="I760" s="85"/>
      <c r="J760" s="91"/>
      <c r="K760" s="91"/>
      <c r="L760" s="91"/>
      <c r="M760" s="87">
        <v>40085</v>
      </c>
      <c r="N760" s="127" t="s">
        <v>628</v>
      </c>
    </row>
    <row r="761" spans="1:14" s="84" customFormat="1" x14ac:dyDescent="0.25">
      <c r="A761">
        <v>760</v>
      </c>
      <c r="B761" s="85" t="s">
        <v>1406</v>
      </c>
      <c r="C761" s="85" t="s">
        <v>30</v>
      </c>
      <c r="D761" s="85" t="s">
        <v>1393</v>
      </c>
      <c r="E761" s="110">
        <v>3.3</v>
      </c>
      <c r="F761" s="85" t="s">
        <v>207</v>
      </c>
      <c r="G761" s="85"/>
      <c r="H761" s="85"/>
      <c r="I761" s="85"/>
      <c r="J761" s="91"/>
      <c r="K761" s="91"/>
      <c r="L761" s="91"/>
      <c r="M761" s="87">
        <v>40085</v>
      </c>
      <c r="N761" s="127" t="s">
        <v>1627</v>
      </c>
    </row>
    <row r="762" spans="1:14" s="84" customFormat="1" x14ac:dyDescent="0.25">
      <c r="A762">
        <v>761</v>
      </c>
      <c r="B762" s="85" t="s">
        <v>1407</v>
      </c>
      <c r="C762" s="85" t="s">
        <v>30</v>
      </c>
      <c r="D762" s="85" t="s">
        <v>1393</v>
      </c>
      <c r="E762" s="110">
        <v>3.3</v>
      </c>
      <c r="F762" s="85" t="s">
        <v>207</v>
      </c>
      <c r="G762" s="85"/>
      <c r="H762" s="85"/>
      <c r="I762" s="85"/>
      <c r="J762" s="91"/>
      <c r="K762" s="91"/>
      <c r="L762" s="91"/>
      <c r="M762" s="87">
        <v>40085</v>
      </c>
      <c r="N762" s="127" t="s">
        <v>631</v>
      </c>
    </row>
    <row r="763" spans="1:14" s="84" customFormat="1" x14ac:dyDescent="0.25">
      <c r="A763">
        <v>762</v>
      </c>
      <c r="B763" s="85" t="s">
        <v>1408</v>
      </c>
      <c r="C763" s="85" t="s">
        <v>30</v>
      </c>
      <c r="D763" s="85" t="s">
        <v>1393</v>
      </c>
      <c r="E763" s="110">
        <v>3.3</v>
      </c>
      <c r="F763" s="85" t="s">
        <v>207</v>
      </c>
      <c r="G763" s="85"/>
      <c r="H763" s="85"/>
      <c r="I763" s="85"/>
      <c r="J763" s="91"/>
      <c r="K763" s="91"/>
      <c r="L763" s="91"/>
      <c r="M763" s="87">
        <v>40085</v>
      </c>
      <c r="N763" s="127" t="s">
        <v>633</v>
      </c>
    </row>
    <row r="764" spans="1:14" s="84" customFormat="1" x14ac:dyDescent="0.25">
      <c r="A764">
        <v>763</v>
      </c>
      <c r="B764" s="85" t="s">
        <v>1409</v>
      </c>
      <c r="C764" s="85" t="s">
        <v>30</v>
      </c>
      <c r="D764" s="85" t="s">
        <v>1393</v>
      </c>
      <c r="E764" s="110">
        <v>3.3</v>
      </c>
      <c r="F764" s="85" t="s">
        <v>207</v>
      </c>
      <c r="G764" s="85"/>
      <c r="H764" s="85"/>
      <c r="I764" s="85"/>
      <c r="J764" s="91"/>
      <c r="K764" s="91"/>
      <c r="L764" s="91"/>
      <c r="M764" s="87">
        <v>40085</v>
      </c>
      <c r="N764" s="127"/>
    </row>
    <row r="765" spans="1:14" s="84" customFormat="1" x14ac:dyDescent="0.25">
      <c r="A765">
        <v>764</v>
      </c>
      <c r="B765" s="85" t="s">
        <v>1410</v>
      </c>
      <c r="C765" s="85" t="s">
        <v>30</v>
      </c>
      <c r="D765" s="85" t="s">
        <v>1393</v>
      </c>
      <c r="E765" s="110">
        <v>3.3</v>
      </c>
      <c r="F765" s="85" t="s">
        <v>207</v>
      </c>
      <c r="G765" s="85"/>
      <c r="H765" s="85"/>
      <c r="I765" s="85"/>
      <c r="J765" s="91"/>
      <c r="K765" s="91"/>
      <c r="L765" s="91"/>
      <c r="M765" s="87">
        <v>40085</v>
      </c>
      <c r="N765" s="127"/>
    </row>
    <row r="766" spans="1:14" s="84" customFormat="1" x14ac:dyDescent="0.25">
      <c r="A766">
        <v>765</v>
      </c>
      <c r="B766" s="85" t="s">
        <v>1411</v>
      </c>
      <c r="C766" s="85" t="s">
        <v>30</v>
      </c>
      <c r="D766" s="85" t="s">
        <v>1393</v>
      </c>
      <c r="E766" s="110">
        <v>3.3</v>
      </c>
      <c r="F766" s="85" t="s">
        <v>207</v>
      </c>
      <c r="G766" s="85"/>
      <c r="H766" s="85"/>
      <c r="I766" s="85"/>
      <c r="J766" s="91"/>
      <c r="K766" s="91"/>
      <c r="L766" s="91"/>
      <c r="M766" s="87">
        <v>40085</v>
      </c>
      <c r="N766" s="127" t="s">
        <v>637</v>
      </c>
    </row>
    <row r="767" spans="1:14" s="84" customFormat="1" x14ac:dyDescent="0.25">
      <c r="A767">
        <v>766</v>
      </c>
      <c r="B767" s="85" t="s">
        <v>1412</v>
      </c>
      <c r="C767" s="85" t="s">
        <v>30</v>
      </c>
      <c r="D767" s="85" t="s">
        <v>1393</v>
      </c>
      <c r="E767" s="110">
        <v>3.3</v>
      </c>
      <c r="F767" s="85" t="s">
        <v>207</v>
      </c>
      <c r="G767" s="85"/>
      <c r="H767" s="85"/>
      <c r="I767" s="85"/>
      <c r="J767" s="91"/>
      <c r="K767" s="91"/>
      <c r="L767" s="91"/>
      <c r="M767" s="87">
        <v>40085</v>
      </c>
      <c r="N767" s="127" t="s">
        <v>1363</v>
      </c>
    </row>
    <row r="768" spans="1:14" s="84" customFormat="1" x14ac:dyDescent="0.25">
      <c r="A768">
        <v>767</v>
      </c>
      <c r="B768" s="85" t="s">
        <v>1413</v>
      </c>
      <c r="C768" s="85" t="s">
        <v>30</v>
      </c>
      <c r="D768" s="85" t="s">
        <v>1393</v>
      </c>
      <c r="E768" s="110">
        <v>3.3</v>
      </c>
      <c r="F768" s="85" t="s">
        <v>207</v>
      </c>
      <c r="G768" s="85"/>
      <c r="H768" s="85"/>
      <c r="I768" s="85"/>
      <c r="J768" s="91"/>
      <c r="K768" s="91"/>
      <c r="L768" s="91"/>
      <c r="M768" s="87">
        <v>40085</v>
      </c>
      <c r="N768" s="127"/>
    </row>
    <row r="769" spans="1:14" s="84" customFormat="1" x14ac:dyDescent="0.25">
      <c r="A769">
        <v>768</v>
      </c>
      <c r="B769" s="85" t="s">
        <v>1414</v>
      </c>
      <c r="C769" s="85" t="s">
        <v>30</v>
      </c>
      <c r="D769" s="85" t="s">
        <v>1393</v>
      </c>
      <c r="E769" s="110">
        <v>3.3</v>
      </c>
      <c r="F769" s="85" t="s">
        <v>207</v>
      </c>
      <c r="G769" s="85"/>
      <c r="H769" s="85"/>
      <c r="I769" s="85"/>
      <c r="J769" s="91"/>
      <c r="K769" s="91"/>
      <c r="L769" s="91"/>
      <c r="M769" s="87">
        <v>40085</v>
      </c>
      <c r="N769" s="127" t="s">
        <v>640</v>
      </c>
    </row>
    <row r="770" spans="1:14" s="84" customFormat="1" x14ac:dyDescent="0.25">
      <c r="A770">
        <v>769</v>
      </c>
      <c r="B770" s="85" t="s">
        <v>1415</v>
      </c>
      <c r="C770" s="85" t="s">
        <v>30</v>
      </c>
      <c r="D770" s="85" t="s">
        <v>1393</v>
      </c>
      <c r="E770" s="88">
        <v>3.3</v>
      </c>
      <c r="F770" s="85" t="s">
        <v>207</v>
      </c>
      <c r="G770" s="85"/>
      <c r="H770" s="85"/>
      <c r="I770" s="85"/>
      <c r="J770" s="91"/>
      <c r="K770" s="91"/>
      <c r="L770" s="91"/>
      <c r="M770" s="87">
        <v>40085</v>
      </c>
      <c r="N770" s="92"/>
    </row>
    <row r="771" spans="1:14" s="84" customFormat="1" x14ac:dyDescent="0.25">
      <c r="A771">
        <v>770</v>
      </c>
      <c r="B771" s="85" t="s">
        <v>1416</v>
      </c>
      <c r="C771" s="85" t="s">
        <v>30</v>
      </c>
      <c r="D771" s="85" t="s">
        <v>1393</v>
      </c>
      <c r="E771" s="105">
        <v>2.25</v>
      </c>
      <c r="F771" s="85" t="s">
        <v>207</v>
      </c>
      <c r="G771" s="85"/>
      <c r="H771" s="85"/>
      <c r="I771" s="85"/>
      <c r="J771" s="91"/>
      <c r="K771" s="91"/>
      <c r="L771" s="91"/>
      <c r="M771" s="87">
        <v>40085</v>
      </c>
      <c r="N771" s="127" t="s">
        <v>287</v>
      </c>
    </row>
    <row r="772" spans="1:14" s="84" customFormat="1" x14ac:dyDescent="0.25">
      <c r="A772">
        <v>771</v>
      </c>
      <c r="B772" s="85" t="s">
        <v>1417</v>
      </c>
      <c r="C772" s="85" t="s">
        <v>30</v>
      </c>
      <c r="D772" s="85" t="s">
        <v>1393</v>
      </c>
      <c r="E772" s="105">
        <v>2.25</v>
      </c>
      <c r="F772" s="85" t="s">
        <v>207</v>
      </c>
      <c r="G772" s="85"/>
      <c r="H772" s="85"/>
      <c r="I772" s="85"/>
      <c r="J772" s="91"/>
      <c r="K772" s="91"/>
      <c r="L772" s="91"/>
      <c r="M772" s="87">
        <v>40085</v>
      </c>
      <c r="N772" s="127" t="s">
        <v>285</v>
      </c>
    </row>
    <row r="773" spans="1:14" s="84" customFormat="1" x14ac:dyDescent="0.25">
      <c r="A773">
        <v>772</v>
      </c>
      <c r="B773" s="85" t="s">
        <v>1418</v>
      </c>
      <c r="C773" s="85" t="s">
        <v>30</v>
      </c>
      <c r="D773" s="85" t="s">
        <v>1393</v>
      </c>
      <c r="E773" s="105">
        <v>2.25</v>
      </c>
      <c r="F773" s="85" t="s">
        <v>207</v>
      </c>
      <c r="G773" s="85"/>
      <c r="H773" s="85"/>
      <c r="I773" s="85"/>
      <c r="J773" s="91"/>
      <c r="K773" s="91"/>
      <c r="L773" s="91"/>
      <c r="M773" s="87">
        <v>40085</v>
      </c>
      <c r="N773" s="127"/>
    </row>
    <row r="774" spans="1:14" s="84" customFormat="1" x14ac:dyDescent="0.25">
      <c r="A774">
        <v>773</v>
      </c>
      <c r="B774" s="85" t="s">
        <v>1419</v>
      </c>
      <c r="C774" s="85" t="s">
        <v>30</v>
      </c>
      <c r="D774" s="85" t="s">
        <v>1393</v>
      </c>
      <c r="E774" s="88">
        <v>22</v>
      </c>
      <c r="F774" s="85" t="s">
        <v>207</v>
      </c>
      <c r="G774" s="85"/>
      <c r="H774" s="85"/>
      <c r="I774" s="85"/>
      <c r="J774" s="91"/>
      <c r="K774" s="91"/>
      <c r="L774" s="91"/>
      <c r="M774" s="87">
        <v>40085</v>
      </c>
      <c r="N774" s="127" t="s">
        <v>647</v>
      </c>
    </row>
    <row r="775" spans="1:14" s="84" customFormat="1" x14ac:dyDescent="0.25">
      <c r="A775">
        <v>801</v>
      </c>
      <c r="B775" s="85" t="s">
        <v>1580</v>
      </c>
      <c r="C775" s="85" t="s">
        <v>1581</v>
      </c>
      <c r="D775" s="85" t="s">
        <v>6</v>
      </c>
      <c r="E775" s="96">
        <v>45</v>
      </c>
      <c r="F775" s="85" t="s">
        <v>33</v>
      </c>
      <c r="G775" s="85"/>
      <c r="H775" s="85"/>
      <c r="I775" s="85"/>
      <c r="J775" s="91"/>
      <c r="K775" s="91"/>
      <c r="L775" s="91"/>
      <c r="M775" s="87">
        <v>40991</v>
      </c>
      <c r="N775" s="92"/>
    </row>
    <row r="776" spans="1:14" s="84" customFormat="1" x14ac:dyDescent="0.25">
      <c r="A776">
        <v>802</v>
      </c>
      <c r="B776" s="85" t="s">
        <v>1582</v>
      </c>
      <c r="C776" s="85" t="s">
        <v>64</v>
      </c>
      <c r="D776" s="85" t="s">
        <v>223</v>
      </c>
      <c r="E776" s="107">
        <v>25</v>
      </c>
      <c r="F776" s="85" t="s">
        <v>33</v>
      </c>
      <c r="G776" s="85"/>
      <c r="H776" s="85"/>
      <c r="I776" s="85"/>
      <c r="J776" s="91"/>
      <c r="K776" s="91"/>
      <c r="L776" s="91"/>
      <c r="M776" s="87">
        <v>40991</v>
      </c>
      <c r="N776" s="106"/>
    </row>
    <row r="777" spans="1:14" s="84" customFormat="1" x14ac:dyDescent="0.25">
      <c r="A777">
        <v>803</v>
      </c>
      <c r="B777" s="113" t="s">
        <v>1583</v>
      </c>
      <c r="C777" s="113" t="s">
        <v>30</v>
      </c>
      <c r="D777" s="113" t="s">
        <v>1584</v>
      </c>
      <c r="E777" s="88">
        <v>20</v>
      </c>
      <c r="F777" s="113" t="s">
        <v>1585</v>
      </c>
      <c r="G777" s="85"/>
      <c r="H777" s="85"/>
      <c r="I777" s="85"/>
      <c r="J777" s="91"/>
      <c r="K777" s="91"/>
      <c r="L777" s="91"/>
      <c r="M777" s="87">
        <v>41024</v>
      </c>
      <c r="N777" s="109" t="s">
        <v>1586</v>
      </c>
    </row>
    <row r="778" spans="1:14" s="84" customFormat="1" x14ac:dyDescent="0.25">
      <c r="A778">
        <v>804</v>
      </c>
      <c r="B778" s="85" t="s">
        <v>1587</v>
      </c>
      <c r="C778" s="113" t="s">
        <v>30</v>
      </c>
      <c r="D778" s="113" t="s">
        <v>1584</v>
      </c>
      <c r="E778" s="88">
        <v>5000</v>
      </c>
      <c r="F778" s="109" t="s">
        <v>33</v>
      </c>
      <c r="G778" s="85"/>
      <c r="H778" s="85"/>
      <c r="I778" s="85"/>
      <c r="J778" s="91"/>
      <c r="K778" s="91"/>
      <c r="L778" s="91"/>
      <c r="M778" s="87">
        <v>41024</v>
      </c>
      <c r="N778" s="109" t="s">
        <v>1588</v>
      </c>
    </row>
    <row r="779" spans="1:14" s="84" customFormat="1" x14ac:dyDescent="0.25">
      <c r="A779">
        <v>805</v>
      </c>
      <c r="B779" s="85" t="s">
        <v>1589</v>
      </c>
      <c r="C779" s="113" t="s">
        <v>30</v>
      </c>
      <c r="D779" s="113" t="s">
        <v>1584</v>
      </c>
      <c r="E779" s="88">
        <v>2000</v>
      </c>
      <c r="F779" s="109" t="s">
        <v>33</v>
      </c>
      <c r="G779" s="85"/>
      <c r="H779" s="85"/>
      <c r="I779" s="85"/>
      <c r="J779" s="91"/>
      <c r="K779" s="91"/>
      <c r="L779" s="91"/>
      <c r="M779" s="87">
        <v>41024</v>
      </c>
      <c r="N779" s="109" t="s">
        <v>1590</v>
      </c>
    </row>
    <row r="780" spans="1:14" s="84" customFormat="1" x14ac:dyDescent="0.25">
      <c r="A780">
        <v>806</v>
      </c>
      <c r="B780" s="85" t="s">
        <v>1591</v>
      </c>
      <c r="C780" s="113" t="s">
        <v>1592</v>
      </c>
      <c r="D780" s="113" t="s">
        <v>1584</v>
      </c>
      <c r="E780" s="88">
        <v>500</v>
      </c>
      <c r="F780" s="114" t="s">
        <v>33</v>
      </c>
      <c r="G780" s="85"/>
      <c r="H780" s="85"/>
      <c r="I780" s="85"/>
      <c r="J780" s="91"/>
      <c r="K780" s="91"/>
      <c r="L780" s="91"/>
      <c r="M780" s="87">
        <v>41024</v>
      </c>
      <c r="N780" s="109" t="s">
        <v>1586</v>
      </c>
    </row>
    <row r="781" spans="1:14" s="84" customFormat="1" x14ac:dyDescent="0.25">
      <c r="A781">
        <v>807</v>
      </c>
      <c r="B781" s="85" t="s">
        <v>1593</v>
      </c>
      <c r="C781" s="113" t="s">
        <v>30</v>
      </c>
      <c r="D781" s="113" t="s">
        <v>1584</v>
      </c>
      <c r="E781" s="88">
        <v>3000</v>
      </c>
      <c r="F781" s="109" t="s">
        <v>33</v>
      </c>
      <c r="G781" s="85"/>
      <c r="H781" s="85"/>
      <c r="I781" s="85"/>
      <c r="J781" s="91"/>
      <c r="K781" s="91"/>
      <c r="L781" s="91"/>
      <c r="M781" s="87">
        <v>41024</v>
      </c>
      <c r="N781" s="109" t="s">
        <v>1594</v>
      </c>
    </row>
    <row r="782" spans="1:14" s="84" customFormat="1" x14ac:dyDescent="0.25">
      <c r="A782">
        <v>808</v>
      </c>
      <c r="B782" s="113" t="s">
        <v>1595</v>
      </c>
      <c r="C782" s="113" t="s">
        <v>30</v>
      </c>
      <c r="D782" s="113" t="s">
        <v>1584</v>
      </c>
      <c r="E782" s="88">
        <v>300</v>
      </c>
      <c r="F782" s="109" t="s">
        <v>33</v>
      </c>
      <c r="G782" s="85"/>
      <c r="H782" s="85"/>
      <c r="I782" s="85"/>
      <c r="J782" s="91"/>
      <c r="K782" s="91"/>
      <c r="L782" s="91"/>
      <c r="M782" s="87">
        <v>41024</v>
      </c>
      <c r="N782" s="114" t="s">
        <v>1596</v>
      </c>
    </row>
    <row r="783" spans="1:14" s="84" customFormat="1" x14ac:dyDescent="0.25">
      <c r="A783">
        <v>809</v>
      </c>
      <c r="B783" s="113" t="s">
        <v>1597</v>
      </c>
      <c r="C783" s="113" t="s">
        <v>30</v>
      </c>
      <c r="D783" s="113" t="s">
        <v>1584</v>
      </c>
      <c r="E783" s="88">
        <v>7</v>
      </c>
      <c r="F783" s="109" t="s">
        <v>1585</v>
      </c>
      <c r="G783" s="85"/>
      <c r="H783" s="85"/>
      <c r="I783" s="85"/>
      <c r="J783" s="91"/>
      <c r="K783" s="91"/>
      <c r="L783" s="91"/>
      <c r="M783" s="87">
        <v>41024</v>
      </c>
      <c r="N783" s="109" t="s">
        <v>1586</v>
      </c>
    </row>
    <row r="784" spans="1:14" s="84" customFormat="1" x14ac:dyDescent="0.25">
      <c r="A784">
        <v>810</v>
      </c>
      <c r="B784" s="113" t="s">
        <v>1598</v>
      </c>
      <c r="C784" s="113" t="s">
        <v>30</v>
      </c>
      <c r="D784" s="113" t="s">
        <v>1584</v>
      </c>
      <c r="E784" s="88">
        <v>10</v>
      </c>
      <c r="F784" s="109" t="s">
        <v>33</v>
      </c>
      <c r="G784" s="85"/>
      <c r="H784" s="85"/>
      <c r="I784" s="85"/>
      <c r="J784" s="91"/>
      <c r="K784" s="91"/>
      <c r="L784" s="91"/>
      <c r="M784" s="87">
        <v>41024</v>
      </c>
      <c r="N784" s="109" t="s">
        <v>1586</v>
      </c>
    </row>
    <row r="785" spans="1:14" s="84" customFormat="1" x14ac:dyDescent="0.25">
      <c r="A785">
        <v>811</v>
      </c>
      <c r="B785" s="113" t="s">
        <v>1599</v>
      </c>
      <c r="C785" s="113" t="s">
        <v>30</v>
      </c>
      <c r="D785" s="113" t="s">
        <v>1584</v>
      </c>
      <c r="E785" s="88">
        <v>5</v>
      </c>
      <c r="F785" s="109" t="s">
        <v>33</v>
      </c>
      <c r="G785" s="85"/>
      <c r="H785" s="85"/>
      <c r="I785" s="85"/>
      <c r="J785" s="91"/>
      <c r="K785" s="91"/>
      <c r="L785" s="91"/>
      <c r="M785" s="87">
        <v>41024</v>
      </c>
      <c r="N785" s="109" t="s">
        <v>1586</v>
      </c>
    </row>
    <row r="786" spans="1:14" s="84" customFormat="1" x14ac:dyDescent="0.25">
      <c r="A786">
        <v>812</v>
      </c>
      <c r="B786" s="113" t="s">
        <v>1600</v>
      </c>
      <c r="C786" s="113" t="s">
        <v>30</v>
      </c>
      <c r="D786" s="113" t="s">
        <v>1584</v>
      </c>
      <c r="E786" s="88">
        <v>15</v>
      </c>
      <c r="F786" s="109" t="s">
        <v>33</v>
      </c>
      <c r="G786" s="85"/>
      <c r="H786" s="85"/>
      <c r="I786" s="85"/>
      <c r="J786" s="91"/>
      <c r="K786" s="91"/>
      <c r="L786" s="91"/>
      <c r="M786" s="87">
        <v>41024</v>
      </c>
      <c r="N786" s="109" t="s">
        <v>1586</v>
      </c>
    </row>
    <row r="787" spans="1:14" s="84" customFormat="1" x14ac:dyDescent="0.25">
      <c r="A787">
        <v>813</v>
      </c>
      <c r="B787" s="113" t="s">
        <v>1601</v>
      </c>
      <c r="C787" s="113" t="s">
        <v>30</v>
      </c>
      <c r="D787" s="113" t="s">
        <v>1584</v>
      </c>
      <c r="E787" s="88">
        <v>70</v>
      </c>
      <c r="F787" s="113" t="s">
        <v>33</v>
      </c>
      <c r="G787" s="85"/>
      <c r="H787" s="85"/>
      <c r="I787" s="85"/>
      <c r="J787" s="91"/>
      <c r="K787" s="91"/>
      <c r="L787" s="91"/>
      <c r="M787" s="87">
        <v>41024</v>
      </c>
      <c r="N787" s="109" t="s">
        <v>1586</v>
      </c>
    </row>
    <row r="788" spans="1:14" s="84" customFormat="1" x14ac:dyDescent="0.25">
      <c r="A788">
        <v>814</v>
      </c>
      <c r="B788" s="113" t="s">
        <v>1602</v>
      </c>
      <c r="C788" s="113" t="s">
        <v>30</v>
      </c>
      <c r="D788" s="113" t="s">
        <v>1584</v>
      </c>
      <c r="E788" s="88">
        <v>600</v>
      </c>
      <c r="F788" s="113" t="s">
        <v>1603</v>
      </c>
      <c r="G788" s="85"/>
      <c r="H788" s="85"/>
      <c r="I788" s="85"/>
      <c r="J788" s="91"/>
      <c r="K788" s="91"/>
      <c r="L788" s="91"/>
      <c r="M788" s="87">
        <v>41024</v>
      </c>
      <c r="N788" s="109" t="s">
        <v>1586</v>
      </c>
    </row>
    <row r="789" spans="1:14" s="84" customFormat="1" x14ac:dyDescent="0.25">
      <c r="A789">
        <v>815</v>
      </c>
      <c r="B789" s="113" t="s">
        <v>1604</v>
      </c>
      <c r="C789" s="113" t="s">
        <v>30</v>
      </c>
      <c r="D789" s="113" t="s">
        <v>1584</v>
      </c>
      <c r="E789" s="88">
        <v>100</v>
      </c>
      <c r="F789" s="113" t="s">
        <v>1605</v>
      </c>
      <c r="G789" s="85"/>
      <c r="H789" s="85"/>
      <c r="I789" s="85"/>
      <c r="J789" s="91"/>
      <c r="K789" s="91"/>
      <c r="L789" s="91"/>
      <c r="M789" s="87">
        <v>41024</v>
      </c>
      <c r="N789" s="109" t="s">
        <v>1586</v>
      </c>
    </row>
    <row r="790" spans="1:14" s="84" customFormat="1" x14ac:dyDescent="0.25">
      <c r="A790">
        <v>816</v>
      </c>
      <c r="B790" s="113" t="s">
        <v>1606</v>
      </c>
      <c r="C790" s="113" t="s">
        <v>30</v>
      </c>
      <c r="D790" s="113" t="s">
        <v>1584</v>
      </c>
      <c r="E790" s="88">
        <v>45</v>
      </c>
      <c r="F790" s="113" t="s">
        <v>1603</v>
      </c>
      <c r="G790" s="85"/>
      <c r="H790" s="85"/>
      <c r="I790" s="85"/>
      <c r="J790" s="91"/>
      <c r="K790" s="91"/>
      <c r="L790" s="91"/>
      <c r="M790" s="87">
        <v>41024</v>
      </c>
      <c r="N790" s="109" t="s">
        <v>1586</v>
      </c>
    </row>
    <row r="791" spans="1:14" s="84" customFormat="1" x14ac:dyDescent="0.25">
      <c r="A791">
        <v>817</v>
      </c>
      <c r="B791" s="113" t="s">
        <v>1607</v>
      </c>
      <c r="C791" s="113" t="s">
        <v>30</v>
      </c>
      <c r="D791" s="113" t="s">
        <v>1584</v>
      </c>
      <c r="E791" s="88">
        <v>22.5</v>
      </c>
      <c r="F791" s="113" t="s">
        <v>1603</v>
      </c>
      <c r="G791" s="85"/>
      <c r="H791" s="85"/>
      <c r="I791" s="85"/>
      <c r="J791" s="91"/>
      <c r="K791" s="91"/>
      <c r="L791" s="91"/>
      <c r="M791" s="87">
        <v>41024</v>
      </c>
      <c r="N791" s="109" t="s">
        <v>1586</v>
      </c>
    </row>
    <row r="792" spans="1:14" s="84" customFormat="1" x14ac:dyDescent="0.25">
      <c r="A792">
        <v>818</v>
      </c>
      <c r="B792" s="113" t="s">
        <v>1608</v>
      </c>
      <c r="C792" s="113" t="s">
        <v>30</v>
      </c>
      <c r="D792" s="113" t="s">
        <v>1584</v>
      </c>
      <c r="E792" s="88">
        <v>120</v>
      </c>
      <c r="F792" s="113" t="s">
        <v>33</v>
      </c>
      <c r="G792" s="85"/>
      <c r="H792" s="85"/>
      <c r="I792" s="85"/>
      <c r="J792" s="91"/>
      <c r="K792" s="91"/>
      <c r="L792" s="91"/>
      <c r="M792" s="87">
        <v>41024</v>
      </c>
      <c r="N792" s="109" t="s">
        <v>1586</v>
      </c>
    </row>
    <row r="793" spans="1:14" s="84" customFormat="1" x14ac:dyDescent="0.25">
      <c r="A793">
        <v>819</v>
      </c>
      <c r="B793" s="113" t="s">
        <v>1609</v>
      </c>
      <c r="C793" s="113" t="s">
        <v>30</v>
      </c>
      <c r="D793" s="113" t="s">
        <v>1584</v>
      </c>
      <c r="E793" s="88">
        <v>50</v>
      </c>
      <c r="F793" s="113" t="s">
        <v>33</v>
      </c>
      <c r="G793" s="85"/>
      <c r="H793" s="85"/>
      <c r="I793" s="85"/>
      <c r="J793" s="91"/>
      <c r="K793" s="91"/>
      <c r="L793" s="91"/>
      <c r="M793" s="87">
        <v>41024</v>
      </c>
      <c r="N793" s="109" t="s">
        <v>1586</v>
      </c>
    </row>
    <row r="794" spans="1:14" s="84" customFormat="1" x14ac:dyDescent="0.25">
      <c r="A794">
        <v>820</v>
      </c>
      <c r="B794" s="113" t="s">
        <v>1610</v>
      </c>
      <c r="C794" s="113" t="s">
        <v>30</v>
      </c>
      <c r="D794" s="113" t="s">
        <v>1584</v>
      </c>
      <c r="E794" s="88">
        <v>25</v>
      </c>
      <c r="F794" s="113" t="s">
        <v>33</v>
      </c>
      <c r="G794" s="85"/>
      <c r="H794" s="85"/>
      <c r="I794" s="85"/>
      <c r="J794" s="91"/>
      <c r="K794" s="91"/>
      <c r="L794" s="91"/>
      <c r="M794" s="87">
        <v>41024</v>
      </c>
      <c r="N794" s="109" t="s">
        <v>1586</v>
      </c>
    </row>
    <row r="795" spans="1:14" s="84" customFormat="1" x14ac:dyDescent="0.25">
      <c r="A795">
        <v>821</v>
      </c>
      <c r="B795" s="113" t="s">
        <v>1611</v>
      </c>
      <c r="C795" s="113" t="s">
        <v>30</v>
      </c>
      <c r="D795" s="113" t="s">
        <v>1584</v>
      </c>
      <c r="E795" s="88">
        <v>100</v>
      </c>
      <c r="F795" s="113" t="s">
        <v>33</v>
      </c>
      <c r="G795" s="85"/>
      <c r="H795" s="85"/>
      <c r="I795" s="85"/>
      <c r="J795" s="91"/>
      <c r="K795" s="91"/>
      <c r="L795" s="91"/>
      <c r="M795" s="87">
        <v>41024</v>
      </c>
      <c r="N795" s="109" t="s">
        <v>1586</v>
      </c>
    </row>
    <row r="796" spans="1:14" s="84" customFormat="1" x14ac:dyDescent="0.25">
      <c r="A796">
        <v>822</v>
      </c>
      <c r="B796" s="113" t="s">
        <v>1612</v>
      </c>
      <c r="C796" s="113" t="s">
        <v>30</v>
      </c>
      <c r="D796" s="109" t="s">
        <v>1613</v>
      </c>
      <c r="E796" s="88">
        <v>600</v>
      </c>
      <c r="F796" s="113" t="s">
        <v>1614</v>
      </c>
      <c r="G796" s="85"/>
      <c r="H796" s="85"/>
      <c r="I796" s="85"/>
      <c r="J796" s="91"/>
      <c r="K796" s="91"/>
      <c r="L796" s="91"/>
      <c r="M796" s="87">
        <v>41024</v>
      </c>
      <c r="N796" s="109" t="s">
        <v>1586</v>
      </c>
    </row>
    <row r="797" spans="1:14" s="84" customFormat="1" x14ac:dyDescent="0.25">
      <c r="A797">
        <v>823</v>
      </c>
      <c r="B797" s="113" t="s">
        <v>1615</v>
      </c>
      <c r="C797" s="113" t="s">
        <v>30</v>
      </c>
      <c r="D797" s="113" t="s">
        <v>1616</v>
      </c>
      <c r="E797" s="88">
        <v>100</v>
      </c>
      <c r="F797" s="113" t="s">
        <v>1603</v>
      </c>
      <c r="G797" s="85"/>
      <c r="H797" s="85"/>
      <c r="I797" s="85"/>
      <c r="J797" s="91"/>
      <c r="K797" s="91"/>
      <c r="L797" s="91"/>
      <c r="M797" s="87">
        <v>41024</v>
      </c>
      <c r="N797" s="109" t="s">
        <v>1586</v>
      </c>
    </row>
    <row r="798" spans="1:14" s="84" customFormat="1" x14ac:dyDescent="0.25">
      <c r="A798">
        <v>824</v>
      </c>
      <c r="B798" s="113" t="s">
        <v>1617</v>
      </c>
      <c r="C798" s="113" t="s">
        <v>30</v>
      </c>
      <c r="D798" s="113" t="s">
        <v>1616</v>
      </c>
      <c r="E798" s="88">
        <v>50</v>
      </c>
      <c r="F798" s="113" t="s">
        <v>1603</v>
      </c>
      <c r="G798" s="85"/>
      <c r="H798" s="85"/>
      <c r="I798" s="85"/>
      <c r="J798" s="91"/>
      <c r="K798" s="91"/>
      <c r="L798" s="91"/>
      <c r="M798" s="87">
        <v>41024</v>
      </c>
      <c r="N798" s="109" t="s">
        <v>1586</v>
      </c>
    </row>
    <row r="799" spans="1:14" s="84" customFormat="1" x14ac:dyDescent="0.25">
      <c r="A799">
        <v>825</v>
      </c>
      <c r="B799" s="113" t="s">
        <v>1618</v>
      </c>
      <c r="C799" s="113" t="s">
        <v>30</v>
      </c>
      <c r="D799" s="113" t="s">
        <v>1613</v>
      </c>
      <c r="E799" s="88">
        <v>15</v>
      </c>
      <c r="F799" s="113" t="s">
        <v>296</v>
      </c>
      <c r="G799" s="85"/>
      <c r="H799" s="85"/>
      <c r="I799" s="85"/>
      <c r="J799" s="91"/>
      <c r="K799" s="91"/>
      <c r="L799" s="91"/>
      <c r="M799" s="87">
        <v>41024</v>
      </c>
      <c r="N799" s="109" t="s">
        <v>1586</v>
      </c>
    </row>
    <row r="800" spans="1:14" s="84" customFormat="1" x14ac:dyDescent="0.25">
      <c r="A800">
        <v>826</v>
      </c>
      <c r="B800" s="113" t="s">
        <v>1619</v>
      </c>
      <c r="C800" s="113" t="s">
        <v>30</v>
      </c>
      <c r="D800" s="113" t="s">
        <v>1613</v>
      </c>
      <c r="E800" s="88">
        <v>1</v>
      </c>
      <c r="F800" s="113" t="s">
        <v>296</v>
      </c>
      <c r="G800" s="85"/>
      <c r="H800" s="85"/>
      <c r="I800" s="85"/>
      <c r="J800" s="91"/>
      <c r="K800" s="91"/>
      <c r="L800" s="91"/>
      <c r="M800" s="87">
        <v>41024</v>
      </c>
      <c r="N800" s="109" t="s">
        <v>1586</v>
      </c>
    </row>
    <row r="801" spans="1:14" s="84" customFormat="1" x14ac:dyDescent="0.25">
      <c r="A801">
        <v>827</v>
      </c>
      <c r="B801" s="113" t="s">
        <v>1620</v>
      </c>
      <c r="C801" s="113" t="s">
        <v>30</v>
      </c>
      <c r="D801" s="113" t="s">
        <v>1613</v>
      </c>
      <c r="E801" s="88">
        <v>1</v>
      </c>
      <c r="F801" s="113" t="s">
        <v>1621</v>
      </c>
      <c r="G801" s="85"/>
      <c r="H801" s="85"/>
      <c r="I801" s="85"/>
      <c r="J801" s="91"/>
      <c r="K801" s="91"/>
      <c r="L801" s="91"/>
      <c r="M801" s="87">
        <v>41024</v>
      </c>
      <c r="N801" s="109" t="s">
        <v>1586</v>
      </c>
    </row>
    <row r="802" spans="1:14" s="84" customFormat="1" x14ac:dyDescent="0.25">
      <c r="A802">
        <v>828</v>
      </c>
      <c r="B802" s="113" t="s">
        <v>1622</v>
      </c>
      <c r="C802" s="113" t="s">
        <v>30</v>
      </c>
      <c r="D802" s="113" t="s">
        <v>1613</v>
      </c>
      <c r="E802" s="88">
        <v>30</v>
      </c>
      <c r="F802" s="113" t="s">
        <v>1621</v>
      </c>
      <c r="G802" s="85"/>
      <c r="H802" s="85"/>
      <c r="I802" s="85"/>
      <c r="J802" s="91"/>
      <c r="K802" s="91"/>
      <c r="L802" s="91"/>
      <c r="M802" s="87">
        <v>41024</v>
      </c>
      <c r="N802" s="109" t="s">
        <v>1586</v>
      </c>
    </row>
    <row r="803" spans="1:14" s="84" customFormat="1" x14ac:dyDescent="0.25">
      <c r="A803">
        <v>829</v>
      </c>
      <c r="B803" s="85" t="s">
        <v>1623</v>
      </c>
      <c r="C803" s="85" t="s">
        <v>1624</v>
      </c>
      <c r="D803" s="85" t="s">
        <v>8</v>
      </c>
      <c r="E803" s="108">
        <v>250</v>
      </c>
      <c r="F803" s="85" t="s">
        <v>33</v>
      </c>
      <c r="G803" s="85"/>
      <c r="H803" s="85"/>
      <c r="I803" s="85"/>
      <c r="J803" s="91"/>
      <c r="K803" s="91"/>
      <c r="L803" s="91"/>
      <c r="M803" s="87">
        <v>40991</v>
      </c>
      <c r="N803" s="98" t="s">
        <v>1625</v>
      </c>
    </row>
    <row r="804" spans="1:14" s="84" customFormat="1" x14ac:dyDescent="0.25">
      <c r="A804">
        <v>830</v>
      </c>
      <c r="B804" s="85" t="s">
        <v>1626</v>
      </c>
      <c r="C804" s="92" t="s">
        <v>30</v>
      </c>
      <c r="D804" s="92" t="s">
        <v>526</v>
      </c>
      <c r="E804" s="122" t="s">
        <v>374</v>
      </c>
      <c r="F804" s="92" t="s">
        <v>36</v>
      </c>
      <c r="G804" s="92"/>
      <c r="H804" s="92">
        <v>0.25</v>
      </c>
      <c r="I804" s="98">
        <v>0.4</v>
      </c>
      <c r="J804" s="85">
        <v>0</v>
      </c>
      <c r="K804" s="91"/>
      <c r="L804" s="85">
        <f>H804*J804+I804</f>
        <v>0.4</v>
      </c>
      <c r="M804" s="87">
        <v>39897</v>
      </c>
      <c r="N804" s="98" t="s">
        <v>573</v>
      </c>
    </row>
  </sheetData>
  <sheetProtection selectLockedCells="1" selectUnlockedCells="1"/>
  <autoFilter ref="A2:IV804">
    <sortState ref="A3:IV804">
      <sortCondition ref="A2:A804"/>
    </sortState>
  </autoFilter>
  <printOptions gridLines="1"/>
  <pageMargins left="0.5" right="0.5" top="0.5" bottom="0.5" header="0.51180555555555551" footer="0.51180555555555551"/>
  <pageSetup firstPageNumber="0" fitToHeight="7" orientation="landscape"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J153"/>
  <sheetViews>
    <sheetView topLeftCell="A2" workbookViewId="0">
      <pane ySplit="900" activePane="bottomLeft"/>
      <selection activeCell="A804" sqref="A804"/>
      <selection pane="bottomLeft" activeCell="A804" sqref="A804"/>
    </sheetView>
  </sheetViews>
  <sheetFormatPr baseColWidth="10" defaultColWidth="41.28515625" defaultRowHeight="15" x14ac:dyDescent="0.25"/>
  <cols>
    <col min="1" max="1" width="10" bestFit="1" customWidth="1"/>
    <col min="2" max="2" width="34.5703125" customWidth="1"/>
    <col min="3" max="3" width="21.42578125" bestFit="1" customWidth="1"/>
    <col min="4" max="4" width="10.7109375" customWidth="1"/>
    <col min="5" max="5" width="27.28515625" bestFit="1" customWidth="1"/>
    <col min="6" max="6" width="20.5703125" bestFit="1" customWidth="1"/>
    <col min="7" max="7" width="19.28515625" bestFit="1" customWidth="1"/>
    <col min="8" max="8" width="24" bestFit="1" customWidth="1"/>
    <col min="9" max="9" width="13.42578125" bestFit="1" customWidth="1"/>
    <col min="10" max="10" width="79" customWidth="1"/>
    <col min="257" max="257" width="10" bestFit="1" customWidth="1"/>
    <col min="258" max="258" width="34.5703125" customWidth="1"/>
    <col min="259" max="259" width="21.42578125" bestFit="1" customWidth="1"/>
    <col min="260" max="260" width="10.7109375" customWidth="1"/>
    <col min="261" max="261" width="27.28515625" bestFit="1" customWidth="1"/>
    <col min="262" max="262" width="20.5703125" bestFit="1" customWidth="1"/>
    <col min="263" max="263" width="19.28515625" bestFit="1" customWidth="1"/>
    <col min="264" max="264" width="24" bestFit="1" customWidth="1"/>
    <col min="265" max="265" width="13.42578125" bestFit="1" customWidth="1"/>
    <col min="266" max="266" width="79" customWidth="1"/>
    <col min="513" max="513" width="10" bestFit="1" customWidth="1"/>
    <col min="514" max="514" width="34.5703125" customWidth="1"/>
    <col min="515" max="515" width="21.42578125" bestFit="1" customWidth="1"/>
    <col min="516" max="516" width="10.7109375" customWidth="1"/>
    <col min="517" max="517" width="27.28515625" bestFit="1" customWidth="1"/>
    <col min="518" max="518" width="20.5703125" bestFit="1" customWidth="1"/>
    <col min="519" max="519" width="19.28515625" bestFit="1" customWidth="1"/>
    <col min="520" max="520" width="24" bestFit="1" customWidth="1"/>
    <col min="521" max="521" width="13.42578125" bestFit="1" customWidth="1"/>
    <col min="522" max="522" width="79" customWidth="1"/>
    <col min="769" max="769" width="10" bestFit="1" customWidth="1"/>
    <col min="770" max="770" width="34.5703125" customWidth="1"/>
    <col min="771" max="771" width="21.42578125" bestFit="1" customWidth="1"/>
    <col min="772" max="772" width="10.7109375" customWidth="1"/>
    <col min="773" max="773" width="27.28515625" bestFit="1" customWidth="1"/>
    <col min="774" max="774" width="20.5703125" bestFit="1" customWidth="1"/>
    <col min="775" max="775" width="19.28515625" bestFit="1" customWidth="1"/>
    <col min="776" max="776" width="24" bestFit="1" customWidth="1"/>
    <col min="777" max="777" width="13.42578125" bestFit="1" customWidth="1"/>
    <col min="778" max="778" width="79" customWidth="1"/>
    <col min="1025" max="1025" width="10" bestFit="1" customWidth="1"/>
    <col min="1026" max="1026" width="34.5703125" customWidth="1"/>
    <col min="1027" max="1027" width="21.42578125" bestFit="1" customWidth="1"/>
    <col min="1028" max="1028" width="10.7109375" customWidth="1"/>
    <col min="1029" max="1029" width="27.28515625" bestFit="1" customWidth="1"/>
    <col min="1030" max="1030" width="20.5703125" bestFit="1" customWidth="1"/>
    <col min="1031" max="1031" width="19.28515625" bestFit="1" customWidth="1"/>
    <col min="1032" max="1032" width="24" bestFit="1" customWidth="1"/>
    <col min="1033" max="1033" width="13.42578125" bestFit="1" customWidth="1"/>
    <col min="1034" max="1034" width="79" customWidth="1"/>
    <col min="1281" max="1281" width="10" bestFit="1" customWidth="1"/>
    <col min="1282" max="1282" width="34.5703125" customWidth="1"/>
    <col min="1283" max="1283" width="21.42578125" bestFit="1" customWidth="1"/>
    <col min="1284" max="1284" width="10.7109375" customWidth="1"/>
    <col min="1285" max="1285" width="27.28515625" bestFit="1" customWidth="1"/>
    <col min="1286" max="1286" width="20.5703125" bestFit="1" customWidth="1"/>
    <col min="1287" max="1287" width="19.28515625" bestFit="1" customWidth="1"/>
    <col min="1288" max="1288" width="24" bestFit="1" customWidth="1"/>
    <col min="1289" max="1289" width="13.42578125" bestFit="1" customWidth="1"/>
    <col min="1290" max="1290" width="79" customWidth="1"/>
    <col min="1537" max="1537" width="10" bestFit="1" customWidth="1"/>
    <col min="1538" max="1538" width="34.5703125" customWidth="1"/>
    <col min="1539" max="1539" width="21.42578125" bestFit="1" customWidth="1"/>
    <col min="1540" max="1540" width="10.7109375" customWidth="1"/>
    <col min="1541" max="1541" width="27.28515625" bestFit="1" customWidth="1"/>
    <col min="1542" max="1542" width="20.5703125" bestFit="1" customWidth="1"/>
    <col min="1543" max="1543" width="19.28515625" bestFit="1" customWidth="1"/>
    <col min="1544" max="1544" width="24" bestFit="1" customWidth="1"/>
    <col min="1545" max="1545" width="13.42578125" bestFit="1" customWidth="1"/>
    <col min="1546" max="1546" width="79" customWidth="1"/>
    <col min="1793" max="1793" width="10" bestFit="1" customWidth="1"/>
    <col min="1794" max="1794" width="34.5703125" customWidth="1"/>
    <col min="1795" max="1795" width="21.42578125" bestFit="1" customWidth="1"/>
    <col min="1796" max="1796" width="10.7109375" customWidth="1"/>
    <col min="1797" max="1797" width="27.28515625" bestFit="1" customWidth="1"/>
    <col min="1798" max="1798" width="20.5703125" bestFit="1" customWidth="1"/>
    <col min="1799" max="1799" width="19.28515625" bestFit="1" customWidth="1"/>
    <col min="1800" max="1800" width="24" bestFit="1" customWidth="1"/>
    <col min="1801" max="1801" width="13.42578125" bestFit="1" customWidth="1"/>
    <col min="1802" max="1802" width="79" customWidth="1"/>
    <col min="2049" max="2049" width="10" bestFit="1" customWidth="1"/>
    <col min="2050" max="2050" width="34.5703125" customWidth="1"/>
    <col min="2051" max="2051" width="21.42578125" bestFit="1" customWidth="1"/>
    <col min="2052" max="2052" width="10.7109375" customWidth="1"/>
    <col min="2053" max="2053" width="27.28515625" bestFit="1" customWidth="1"/>
    <col min="2054" max="2054" width="20.5703125" bestFit="1" customWidth="1"/>
    <col min="2055" max="2055" width="19.28515625" bestFit="1" customWidth="1"/>
    <col min="2056" max="2056" width="24" bestFit="1" customWidth="1"/>
    <col min="2057" max="2057" width="13.42578125" bestFit="1" customWidth="1"/>
    <col min="2058" max="2058" width="79" customWidth="1"/>
    <col min="2305" max="2305" width="10" bestFit="1" customWidth="1"/>
    <col min="2306" max="2306" width="34.5703125" customWidth="1"/>
    <col min="2307" max="2307" width="21.42578125" bestFit="1" customWidth="1"/>
    <col min="2308" max="2308" width="10.7109375" customWidth="1"/>
    <col min="2309" max="2309" width="27.28515625" bestFit="1" customWidth="1"/>
    <col min="2310" max="2310" width="20.5703125" bestFit="1" customWidth="1"/>
    <col min="2311" max="2311" width="19.28515625" bestFit="1" customWidth="1"/>
    <col min="2312" max="2312" width="24" bestFit="1" customWidth="1"/>
    <col min="2313" max="2313" width="13.42578125" bestFit="1" customWidth="1"/>
    <col min="2314" max="2314" width="79" customWidth="1"/>
    <col min="2561" max="2561" width="10" bestFit="1" customWidth="1"/>
    <col min="2562" max="2562" width="34.5703125" customWidth="1"/>
    <col min="2563" max="2563" width="21.42578125" bestFit="1" customWidth="1"/>
    <col min="2564" max="2564" width="10.7109375" customWidth="1"/>
    <col min="2565" max="2565" width="27.28515625" bestFit="1" customWidth="1"/>
    <col min="2566" max="2566" width="20.5703125" bestFit="1" customWidth="1"/>
    <col min="2567" max="2567" width="19.28515625" bestFit="1" customWidth="1"/>
    <col min="2568" max="2568" width="24" bestFit="1" customWidth="1"/>
    <col min="2569" max="2569" width="13.42578125" bestFit="1" customWidth="1"/>
    <col min="2570" max="2570" width="79" customWidth="1"/>
    <col min="2817" max="2817" width="10" bestFit="1" customWidth="1"/>
    <col min="2818" max="2818" width="34.5703125" customWidth="1"/>
    <col min="2819" max="2819" width="21.42578125" bestFit="1" customWidth="1"/>
    <col min="2820" max="2820" width="10.7109375" customWidth="1"/>
    <col min="2821" max="2821" width="27.28515625" bestFit="1" customWidth="1"/>
    <col min="2822" max="2822" width="20.5703125" bestFit="1" customWidth="1"/>
    <col min="2823" max="2823" width="19.28515625" bestFit="1" customWidth="1"/>
    <col min="2824" max="2824" width="24" bestFit="1" customWidth="1"/>
    <col min="2825" max="2825" width="13.42578125" bestFit="1" customWidth="1"/>
    <col min="2826" max="2826" width="79" customWidth="1"/>
    <col min="3073" max="3073" width="10" bestFit="1" customWidth="1"/>
    <col min="3074" max="3074" width="34.5703125" customWidth="1"/>
    <col min="3075" max="3075" width="21.42578125" bestFit="1" customWidth="1"/>
    <col min="3076" max="3076" width="10.7109375" customWidth="1"/>
    <col min="3077" max="3077" width="27.28515625" bestFit="1" customWidth="1"/>
    <col min="3078" max="3078" width="20.5703125" bestFit="1" customWidth="1"/>
    <col min="3079" max="3079" width="19.28515625" bestFit="1" customWidth="1"/>
    <col min="3080" max="3080" width="24" bestFit="1" customWidth="1"/>
    <col min="3081" max="3081" width="13.42578125" bestFit="1" customWidth="1"/>
    <col min="3082" max="3082" width="79" customWidth="1"/>
    <col min="3329" max="3329" width="10" bestFit="1" customWidth="1"/>
    <col min="3330" max="3330" width="34.5703125" customWidth="1"/>
    <col min="3331" max="3331" width="21.42578125" bestFit="1" customWidth="1"/>
    <col min="3332" max="3332" width="10.7109375" customWidth="1"/>
    <col min="3333" max="3333" width="27.28515625" bestFit="1" customWidth="1"/>
    <col min="3334" max="3334" width="20.5703125" bestFit="1" customWidth="1"/>
    <col min="3335" max="3335" width="19.28515625" bestFit="1" customWidth="1"/>
    <col min="3336" max="3336" width="24" bestFit="1" customWidth="1"/>
    <col min="3337" max="3337" width="13.42578125" bestFit="1" customWidth="1"/>
    <col min="3338" max="3338" width="79" customWidth="1"/>
    <col min="3585" max="3585" width="10" bestFit="1" customWidth="1"/>
    <col min="3586" max="3586" width="34.5703125" customWidth="1"/>
    <col min="3587" max="3587" width="21.42578125" bestFit="1" customWidth="1"/>
    <col min="3588" max="3588" width="10.7109375" customWidth="1"/>
    <col min="3589" max="3589" width="27.28515625" bestFit="1" customWidth="1"/>
    <col min="3590" max="3590" width="20.5703125" bestFit="1" customWidth="1"/>
    <col min="3591" max="3591" width="19.28515625" bestFit="1" customWidth="1"/>
    <col min="3592" max="3592" width="24" bestFit="1" customWidth="1"/>
    <col min="3593" max="3593" width="13.42578125" bestFit="1" customWidth="1"/>
    <col min="3594" max="3594" width="79" customWidth="1"/>
    <col min="3841" max="3841" width="10" bestFit="1" customWidth="1"/>
    <col min="3842" max="3842" width="34.5703125" customWidth="1"/>
    <col min="3843" max="3843" width="21.42578125" bestFit="1" customWidth="1"/>
    <col min="3844" max="3844" width="10.7109375" customWidth="1"/>
    <col min="3845" max="3845" width="27.28515625" bestFit="1" customWidth="1"/>
    <col min="3846" max="3846" width="20.5703125" bestFit="1" customWidth="1"/>
    <col min="3847" max="3847" width="19.28515625" bestFit="1" customWidth="1"/>
    <col min="3848" max="3848" width="24" bestFit="1" customWidth="1"/>
    <col min="3849" max="3849" width="13.42578125" bestFit="1" customWidth="1"/>
    <col min="3850" max="3850" width="79" customWidth="1"/>
    <col min="4097" max="4097" width="10" bestFit="1" customWidth="1"/>
    <col min="4098" max="4098" width="34.5703125" customWidth="1"/>
    <col min="4099" max="4099" width="21.42578125" bestFit="1" customWidth="1"/>
    <col min="4100" max="4100" width="10.7109375" customWidth="1"/>
    <col min="4101" max="4101" width="27.28515625" bestFit="1" customWidth="1"/>
    <col min="4102" max="4102" width="20.5703125" bestFit="1" customWidth="1"/>
    <col min="4103" max="4103" width="19.28515625" bestFit="1" customWidth="1"/>
    <col min="4104" max="4104" width="24" bestFit="1" customWidth="1"/>
    <col min="4105" max="4105" width="13.42578125" bestFit="1" customWidth="1"/>
    <col min="4106" max="4106" width="79" customWidth="1"/>
    <col min="4353" max="4353" width="10" bestFit="1" customWidth="1"/>
    <col min="4354" max="4354" width="34.5703125" customWidth="1"/>
    <col min="4355" max="4355" width="21.42578125" bestFit="1" customWidth="1"/>
    <col min="4356" max="4356" width="10.7109375" customWidth="1"/>
    <col min="4357" max="4357" width="27.28515625" bestFit="1" customWidth="1"/>
    <col min="4358" max="4358" width="20.5703125" bestFit="1" customWidth="1"/>
    <col min="4359" max="4359" width="19.28515625" bestFit="1" customWidth="1"/>
    <col min="4360" max="4360" width="24" bestFit="1" customWidth="1"/>
    <col min="4361" max="4361" width="13.42578125" bestFit="1" customWidth="1"/>
    <col min="4362" max="4362" width="79" customWidth="1"/>
    <col min="4609" max="4609" width="10" bestFit="1" customWidth="1"/>
    <col min="4610" max="4610" width="34.5703125" customWidth="1"/>
    <col min="4611" max="4611" width="21.42578125" bestFit="1" customWidth="1"/>
    <col min="4612" max="4612" width="10.7109375" customWidth="1"/>
    <col min="4613" max="4613" width="27.28515625" bestFit="1" customWidth="1"/>
    <col min="4614" max="4614" width="20.5703125" bestFit="1" customWidth="1"/>
    <col min="4615" max="4615" width="19.28515625" bestFit="1" customWidth="1"/>
    <col min="4616" max="4616" width="24" bestFit="1" customWidth="1"/>
    <col min="4617" max="4617" width="13.42578125" bestFit="1" customWidth="1"/>
    <col min="4618" max="4618" width="79" customWidth="1"/>
    <col min="4865" max="4865" width="10" bestFit="1" customWidth="1"/>
    <col min="4866" max="4866" width="34.5703125" customWidth="1"/>
    <col min="4867" max="4867" width="21.42578125" bestFit="1" customWidth="1"/>
    <col min="4868" max="4868" width="10.7109375" customWidth="1"/>
    <col min="4869" max="4869" width="27.28515625" bestFit="1" customWidth="1"/>
    <col min="4870" max="4870" width="20.5703125" bestFit="1" customWidth="1"/>
    <col min="4871" max="4871" width="19.28515625" bestFit="1" customWidth="1"/>
    <col min="4872" max="4872" width="24" bestFit="1" customWidth="1"/>
    <col min="4873" max="4873" width="13.42578125" bestFit="1" customWidth="1"/>
    <col min="4874" max="4874" width="79" customWidth="1"/>
    <col min="5121" max="5121" width="10" bestFit="1" customWidth="1"/>
    <col min="5122" max="5122" width="34.5703125" customWidth="1"/>
    <col min="5123" max="5123" width="21.42578125" bestFit="1" customWidth="1"/>
    <col min="5124" max="5124" width="10.7109375" customWidth="1"/>
    <col min="5125" max="5125" width="27.28515625" bestFit="1" customWidth="1"/>
    <col min="5126" max="5126" width="20.5703125" bestFit="1" customWidth="1"/>
    <col min="5127" max="5127" width="19.28515625" bestFit="1" customWidth="1"/>
    <col min="5128" max="5128" width="24" bestFit="1" customWidth="1"/>
    <col min="5129" max="5129" width="13.42578125" bestFit="1" customWidth="1"/>
    <col min="5130" max="5130" width="79" customWidth="1"/>
    <col min="5377" max="5377" width="10" bestFit="1" customWidth="1"/>
    <col min="5378" max="5378" width="34.5703125" customWidth="1"/>
    <col min="5379" max="5379" width="21.42578125" bestFit="1" customWidth="1"/>
    <col min="5380" max="5380" width="10.7109375" customWidth="1"/>
    <col min="5381" max="5381" width="27.28515625" bestFit="1" customWidth="1"/>
    <col min="5382" max="5382" width="20.5703125" bestFit="1" customWidth="1"/>
    <col min="5383" max="5383" width="19.28515625" bestFit="1" customWidth="1"/>
    <col min="5384" max="5384" width="24" bestFit="1" customWidth="1"/>
    <col min="5385" max="5385" width="13.42578125" bestFit="1" customWidth="1"/>
    <col min="5386" max="5386" width="79" customWidth="1"/>
    <col min="5633" max="5633" width="10" bestFit="1" customWidth="1"/>
    <col min="5634" max="5634" width="34.5703125" customWidth="1"/>
    <col min="5635" max="5635" width="21.42578125" bestFit="1" customWidth="1"/>
    <col min="5636" max="5636" width="10.7109375" customWidth="1"/>
    <col min="5637" max="5637" width="27.28515625" bestFit="1" customWidth="1"/>
    <col min="5638" max="5638" width="20.5703125" bestFit="1" customWidth="1"/>
    <col min="5639" max="5639" width="19.28515625" bestFit="1" customWidth="1"/>
    <col min="5640" max="5640" width="24" bestFit="1" customWidth="1"/>
    <col min="5641" max="5641" width="13.42578125" bestFit="1" customWidth="1"/>
    <col min="5642" max="5642" width="79" customWidth="1"/>
    <col min="5889" max="5889" width="10" bestFit="1" customWidth="1"/>
    <col min="5890" max="5890" width="34.5703125" customWidth="1"/>
    <col min="5891" max="5891" width="21.42578125" bestFit="1" customWidth="1"/>
    <col min="5892" max="5892" width="10.7109375" customWidth="1"/>
    <col min="5893" max="5893" width="27.28515625" bestFit="1" customWidth="1"/>
    <col min="5894" max="5894" width="20.5703125" bestFit="1" customWidth="1"/>
    <col min="5895" max="5895" width="19.28515625" bestFit="1" customWidth="1"/>
    <col min="5896" max="5896" width="24" bestFit="1" customWidth="1"/>
    <col min="5897" max="5897" width="13.42578125" bestFit="1" customWidth="1"/>
    <col min="5898" max="5898" width="79" customWidth="1"/>
    <col min="6145" max="6145" width="10" bestFit="1" customWidth="1"/>
    <col min="6146" max="6146" width="34.5703125" customWidth="1"/>
    <col min="6147" max="6147" width="21.42578125" bestFit="1" customWidth="1"/>
    <col min="6148" max="6148" width="10.7109375" customWidth="1"/>
    <col min="6149" max="6149" width="27.28515625" bestFit="1" customWidth="1"/>
    <col min="6150" max="6150" width="20.5703125" bestFit="1" customWidth="1"/>
    <col min="6151" max="6151" width="19.28515625" bestFit="1" customWidth="1"/>
    <col min="6152" max="6152" width="24" bestFit="1" customWidth="1"/>
    <col min="6153" max="6153" width="13.42578125" bestFit="1" customWidth="1"/>
    <col min="6154" max="6154" width="79" customWidth="1"/>
    <col min="6401" max="6401" width="10" bestFit="1" customWidth="1"/>
    <col min="6402" max="6402" width="34.5703125" customWidth="1"/>
    <col min="6403" max="6403" width="21.42578125" bestFit="1" customWidth="1"/>
    <col min="6404" max="6404" width="10.7109375" customWidth="1"/>
    <col min="6405" max="6405" width="27.28515625" bestFit="1" customWidth="1"/>
    <col min="6406" max="6406" width="20.5703125" bestFit="1" customWidth="1"/>
    <col min="6407" max="6407" width="19.28515625" bestFit="1" customWidth="1"/>
    <col min="6408" max="6408" width="24" bestFit="1" customWidth="1"/>
    <col min="6409" max="6409" width="13.42578125" bestFit="1" customWidth="1"/>
    <col min="6410" max="6410" width="79" customWidth="1"/>
    <col min="6657" max="6657" width="10" bestFit="1" customWidth="1"/>
    <col min="6658" max="6658" width="34.5703125" customWidth="1"/>
    <col min="6659" max="6659" width="21.42578125" bestFit="1" customWidth="1"/>
    <col min="6660" max="6660" width="10.7109375" customWidth="1"/>
    <col min="6661" max="6661" width="27.28515625" bestFit="1" customWidth="1"/>
    <col min="6662" max="6662" width="20.5703125" bestFit="1" customWidth="1"/>
    <col min="6663" max="6663" width="19.28515625" bestFit="1" customWidth="1"/>
    <col min="6664" max="6664" width="24" bestFit="1" customWidth="1"/>
    <col min="6665" max="6665" width="13.42578125" bestFit="1" customWidth="1"/>
    <col min="6666" max="6666" width="79" customWidth="1"/>
    <col min="6913" max="6913" width="10" bestFit="1" customWidth="1"/>
    <col min="6914" max="6914" width="34.5703125" customWidth="1"/>
    <col min="6915" max="6915" width="21.42578125" bestFit="1" customWidth="1"/>
    <col min="6916" max="6916" width="10.7109375" customWidth="1"/>
    <col min="6917" max="6917" width="27.28515625" bestFit="1" customWidth="1"/>
    <col min="6918" max="6918" width="20.5703125" bestFit="1" customWidth="1"/>
    <col min="6919" max="6919" width="19.28515625" bestFit="1" customWidth="1"/>
    <col min="6920" max="6920" width="24" bestFit="1" customWidth="1"/>
    <col min="6921" max="6921" width="13.42578125" bestFit="1" customWidth="1"/>
    <col min="6922" max="6922" width="79" customWidth="1"/>
    <col min="7169" max="7169" width="10" bestFit="1" customWidth="1"/>
    <col min="7170" max="7170" width="34.5703125" customWidth="1"/>
    <col min="7171" max="7171" width="21.42578125" bestFit="1" customWidth="1"/>
    <col min="7172" max="7172" width="10.7109375" customWidth="1"/>
    <col min="7173" max="7173" width="27.28515625" bestFit="1" customWidth="1"/>
    <col min="7174" max="7174" width="20.5703125" bestFit="1" customWidth="1"/>
    <col min="7175" max="7175" width="19.28515625" bestFit="1" customWidth="1"/>
    <col min="7176" max="7176" width="24" bestFit="1" customWidth="1"/>
    <col min="7177" max="7177" width="13.42578125" bestFit="1" customWidth="1"/>
    <col min="7178" max="7178" width="79" customWidth="1"/>
    <col min="7425" max="7425" width="10" bestFit="1" customWidth="1"/>
    <col min="7426" max="7426" width="34.5703125" customWidth="1"/>
    <col min="7427" max="7427" width="21.42578125" bestFit="1" customWidth="1"/>
    <col min="7428" max="7428" width="10.7109375" customWidth="1"/>
    <col min="7429" max="7429" width="27.28515625" bestFit="1" customWidth="1"/>
    <col min="7430" max="7430" width="20.5703125" bestFit="1" customWidth="1"/>
    <col min="7431" max="7431" width="19.28515625" bestFit="1" customWidth="1"/>
    <col min="7432" max="7432" width="24" bestFit="1" customWidth="1"/>
    <col min="7433" max="7433" width="13.42578125" bestFit="1" customWidth="1"/>
    <col min="7434" max="7434" width="79" customWidth="1"/>
    <col min="7681" max="7681" width="10" bestFit="1" customWidth="1"/>
    <col min="7682" max="7682" width="34.5703125" customWidth="1"/>
    <col min="7683" max="7683" width="21.42578125" bestFit="1" customWidth="1"/>
    <col min="7684" max="7684" width="10.7109375" customWidth="1"/>
    <col min="7685" max="7685" width="27.28515625" bestFit="1" customWidth="1"/>
    <col min="7686" max="7686" width="20.5703125" bestFit="1" customWidth="1"/>
    <col min="7687" max="7687" width="19.28515625" bestFit="1" customWidth="1"/>
    <col min="7688" max="7688" width="24" bestFit="1" customWidth="1"/>
    <col min="7689" max="7689" width="13.42578125" bestFit="1" customWidth="1"/>
    <col min="7690" max="7690" width="79" customWidth="1"/>
    <col min="7937" max="7937" width="10" bestFit="1" customWidth="1"/>
    <col min="7938" max="7938" width="34.5703125" customWidth="1"/>
    <col min="7939" max="7939" width="21.42578125" bestFit="1" customWidth="1"/>
    <col min="7940" max="7940" width="10.7109375" customWidth="1"/>
    <col min="7941" max="7941" width="27.28515625" bestFit="1" customWidth="1"/>
    <col min="7942" max="7942" width="20.5703125" bestFit="1" customWidth="1"/>
    <col min="7943" max="7943" width="19.28515625" bestFit="1" customWidth="1"/>
    <col min="7944" max="7944" width="24" bestFit="1" customWidth="1"/>
    <col min="7945" max="7945" width="13.42578125" bestFit="1" customWidth="1"/>
    <col min="7946" max="7946" width="79" customWidth="1"/>
    <col min="8193" max="8193" width="10" bestFit="1" customWidth="1"/>
    <col min="8194" max="8194" width="34.5703125" customWidth="1"/>
    <col min="8195" max="8195" width="21.42578125" bestFit="1" customWidth="1"/>
    <col min="8196" max="8196" width="10.7109375" customWidth="1"/>
    <col min="8197" max="8197" width="27.28515625" bestFit="1" customWidth="1"/>
    <col min="8198" max="8198" width="20.5703125" bestFit="1" customWidth="1"/>
    <col min="8199" max="8199" width="19.28515625" bestFit="1" customWidth="1"/>
    <col min="8200" max="8200" width="24" bestFit="1" customWidth="1"/>
    <col min="8201" max="8201" width="13.42578125" bestFit="1" customWidth="1"/>
    <col min="8202" max="8202" width="79" customWidth="1"/>
    <col min="8449" max="8449" width="10" bestFit="1" customWidth="1"/>
    <col min="8450" max="8450" width="34.5703125" customWidth="1"/>
    <col min="8451" max="8451" width="21.42578125" bestFit="1" customWidth="1"/>
    <col min="8452" max="8452" width="10.7109375" customWidth="1"/>
    <col min="8453" max="8453" width="27.28515625" bestFit="1" customWidth="1"/>
    <col min="8454" max="8454" width="20.5703125" bestFit="1" customWidth="1"/>
    <col min="8455" max="8455" width="19.28515625" bestFit="1" customWidth="1"/>
    <col min="8456" max="8456" width="24" bestFit="1" customWidth="1"/>
    <col min="8457" max="8457" width="13.42578125" bestFit="1" customWidth="1"/>
    <col min="8458" max="8458" width="79" customWidth="1"/>
    <col min="8705" max="8705" width="10" bestFit="1" customWidth="1"/>
    <col min="8706" max="8706" width="34.5703125" customWidth="1"/>
    <col min="8707" max="8707" width="21.42578125" bestFit="1" customWidth="1"/>
    <col min="8708" max="8708" width="10.7109375" customWidth="1"/>
    <col min="8709" max="8709" width="27.28515625" bestFit="1" customWidth="1"/>
    <col min="8710" max="8710" width="20.5703125" bestFit="1" customWidth="1"/>
    <col min="8711" max="8711" width="19.28515625" bestFit="1" customWidth="1"/>
    <col min="8712" max="8712" width="24" bestFit="1" customWidth="1"/>
    <col min="8713" max="8713" width="13.42578125" bestFit="1" customWidth="1"/>
    <col min="8714" max="8714" width="79" customWidth="1"/>
    <col min="8961" max="8961" width="10" bestFit="1" customWidth="1"/>
    <col min="8962" max="8962" width="34.5703125" customWidth="1"/>
    <col min="8963" max="8963" width="21.42578125" bestFit="1" customWidth="1"/>
    <col min="8964" max="8964" width="10.7109375" customWidth="1"/>
    <col min="8965" max="8965" width="27.28515625" bestFit="1" customWidth="1"/>
    <col min="8966" max="8966" width="20.5703125" bestFit="1" customWidth="1"/>
    <col min="8967" max="8967" width="19.28515625" bestFit="1" customWidth="1"/>
    <col min="8968" max="8968" width="24" bestFit="1" customWidth="1"/>
    <col min="8969" max="8969" width="13.42578125" bestFit="1" customWidth="1"/>
    <col min="8970" max="8970" width="79" customWidth="1"/>
    <col min="9217" max="9217" width="10" bestFit="1" customWidth="1"/>
    <col min="9218" max="9218" width="34.5703125" customWidth="1"/>
    <col min="9219" max="9219" width="21.42578125" bestFit="1" customWidth="1"/>
    <col min="9220" max="9220" width="10.7109375" customWidth="1"/>
    <col min="9221" max="9221" width="27.28515625" bestFit="1" customWidth="1"/>
    <col min="9222" max="9222" width="20.5703125" bestFit="1" customWidth="1"/>
    <col min="9223" max="9223" width="19.28515625" bestFit="1" customWidth="1"/>
    <col min="9224" max="9224" width="24" bestFit="1" customWidth="1"/>
    <col min="9225" max="9225" width="13.42578125" bestFit="1" customWidth="1"/>
    <col min="9226" max="9226" width="79" customWidth="1"/>
    <col min="9473" max="9473" width="10" bestFit="1" customWidth="1"/>
    <col min="9474" max="9474" width="34.5703125" customWidth="1"/>
    <col min="9475" max="9475" width="21.42578125" bestFit="1" customWidth="1"/>
    <col min="9476" max="9476" width="10.7109375" customWidth="1"/>
    <col min="9477" max="9477" width="27.28515625" bestFit="1" customWidth="1"/>
    <col min="9478" max="9478" width="20.5703125" bestFit="1" customWidth="1"/>
    <col min="9479" max="9479" width="19.28515625" bestFit="1" customWidth="1"/>
    <col min="9480" max="9480" width="24" bestFit="1" customWidth="1"/>
    <col min="9481" max="9481" width="13.42578125" bestFit="1" customWidth="1"/>
    <col min="9482" max="9482" width="79" customWidth="1"/>
    <col min="9729" max="9729" width="10" bestFit="1" customWidth="1"/>
    <col min="9730" max="9730" width="34.5703125" customWidth="1"/>
    <col min="9731" max="9731" width="21.42578125" bestFit="1" customWidth="1"/>
    <col min="9732" max="9732" width="10.7109375" customWidth="1"/>
    <col min="9733" max="9733" width="27.28515625" bestFit="1" customWidth="1"/>
    <col min="9734" max="9734" width="20.5703125" bestFit="1" customWidth="1"/>
    <col min="9735" max="9735" width="19.28515625" bestFit="1" customWidth="1"/>
    <col min="9736" max="9736" width="24" bestFit="1" customWidth="1"/>
    <col min="9737" max="9737" width="13.42578125" bestFit="1" customWidth="1"/>
    <col min="9738" max="9738" width="79" customWidth="1"/>
    <col min="9985" max="9985" width="10" bestFit="1" customWidth="1"/>
    <col min="9986" max="9986" width="34.5703125" customWidth="1"/>
    <col min="9987" max="9987" width="21.42578125" bestFit="1" customWidth="1"/>
    <col min="9988" max="9988" width="10.7109375" customWidth="1"/>
    <col min="9989" max="9989" width="27.28515625" bestFit="1" customWidth="1"/>
    <col min="9990" max="9990" width="20.5703125" bestFit="1" customWidth="1"/>
    <col min="9991" max="9991" width="19.28515625" bestFit="1" customWidth="1"/>
    <col min="9992" max="9992" width="24" bestFit="1" customWidth="1"/>
    <col min="9993" max="9993" width="13.42578125" bestFit="1" customWidth="1"/>
    <col min="9994" max="9994" width="79" customWidth="1"/>
    <col min="10241" max="10241" width="10" bestFit="1" customWidth="1"/>
    <col min="10242" max="10242" width="34.5703125" customWidth="1"/>
    <col min="10243" max="10243" width="21.42578125" bestFit="1" customWidth="1"/>
    <col min="10244" max="10244" width="10.7109375" customWidth="1"/>
    <col min="10245" max="10245" width="27.28515625" bestFit="1" customWidth="1"/>
    <col min="10246" max="10246" width="20.5703125" bestFit="1" customWidth="1"/>
    <col min="10247" max="10247" width="19.28515625" bestFit="1" customWidth="1"/>
    <col min="10248" max="10248" width="24" bestFit="1" customWidth="1"/>
    <col min="10249" max="10249" width="13.42578125" bestFit="1" customWidth="1"/>
    <col min="10250" max="10250" width="79" customWidth="1"/>
    <col min="10497" max="10497" width="10" bestFit="1" customWidth="1"/>
    <col min="10498" max="10498" width="34.5703125" customWidth="1"/>
    <col min="10499" max="10499" width="21.42578125" bestFit="1" customWidth="1"/>
    <col min="10500" max="10500" width="10.7109375" customWidth="1"/>
    <col min="10501" max="10501" width="27.28515625" bestFit="1" customWidth="1"/>
    <col min="10502" max="10502" width="20.5703125" bestFit="1" customWidth="1"/>
    <col min="10503" max="10503" width="19.28515625" bestFit="1" customWidth="1"/>
    <col min="10504" max="10504" width="24" bestFit="1" customWidth="1"/>
    <col min="10505" max="10505" width="13.42578125" bestFit="1" customWidth="1"/>
    <col min="10506" max="10506" width="79" customWidth="1"/>
    <col min="10753" max="10753" width="10" bestFit="1" customWidth="1"/>
    <col min="10754" max="10754" width="34.5703125" customWidth="1"/>
    <col min="10755" max="10755" width="21.42578125" bestFit="1" customWidth="1"/>
    <col min="10756" max="10756" width="10.7109375" customWidth="1"/>
    <col min="10757" max="10757" width="27.28515625" bestFit="1" customWidth="1"/>
    <col min="10758" max="10758" width="20.5703125" bestFit="1" customWidth="1"/>
    <col min="10759" max="10759" width="19.28515625" bestFit="1" customWidth="1"/>
    <col min="10760" max="10760" width="24" bestFit="1" customWidth="1"/>
    <col min="10761" max="10761" width="13.42578125" bestFit="1" customWidth="1"/>
    <col min="10762" max="10762" width="79" customWidth="1"/>
    <col min="11009" max="11009" width="10" bestFit="1" customWidth="1"/>
    <col min="11010" max="11010" width="34.5703125" customWidth="1"/>
    <col min="11011" max="11011" width="21.42578125" bestFit="1" customWidth="1"/>
    <col min="11012" max="11012" width="10.7109375" customWidth="1"/>
    <col min="11013" max="11013" width="27.28515625" bestFit="1" customWidth="1"/>
    <col min="11014" max="11014" width="20.5703125" bestFit="1" customWidth="1"/>
    <col min="11015" max="11015" width="19.28515625" bestFit="1" customWidth="1"/>
    <col min="11016" max="11016" width="24" bestFit="1" customWidth="1"/>
    <col min="11017" max="11017" width="13.42578125" bestFit="1" customWidth="1"/>
    <col min="11018" max="11018" width="79" customWidth="1"/>
    <col min="11265" max="11265" width="10" bestFit="1" customWidth="1"/>
    <col min="11266" max="11266" width="34.5703125" customWidth="1"/>
    <col min="11267" max="11267" width="21.42578125" bestFit="1" customWidth="1"/>
    <col min="11268" max="11268" width="10.7109375" customWidth="1"/>
    <col min="11269" max="11269" width="27.28515625" bestFit="1" customWidth="1"/>
    <col min="11270" max="11270" width="20.5703125" bestFit="1" customWidth="1"/>
    <col min="11271" max="11271" width="19.28515625" bestFit="1" customWidth="1"/>
    <col min="11272" max="11272" width="24" bestFit="1" customWidth="1"/>
    <col min="11273" max="11273" width="13.42578125" bestFit="1" customWidth="1"/>
    <col min="11274" max="11274" width="79" customWidth="1"/>
    <col min="11521" max="11521" width="10" bestFit="1" customWidth="1"/>
    <col min="11522" max="11522" width="34.5703125" customWidth="1"/>
    <col min="11523" max="11523" width="21.42578125" bestFit="1" customWidth="1"/>
    <col min="11524" max="11524" width="10.7109375" customWidth="1"/>
    <col min="11525" max="11525" width="27.28515625" bestFit="1" customWidth="1"/>
    <col min="11526" max="11526" width="20.5703125" bestFit="1" customWidth="1"/>
    <col min="11527" max="11527" width="19.28515625" bestFit="1" customWidth="1"/>
    <col min="11528" max="11528" width="24" bestFit="1" customWidth="1"/>
    <col min="11529" max="11529" width="13.42578125" bestFit="1" customWidth="1"/>
    <col min="11530" max="11530" width="79" customWidth="1"/>
    <col min="11777" max="11777" width="10" bestFit="1" customWidth="1"/>
    <col min="11778" max="11778" width="34.5703125" customWidth="1"/>
    <col min="11779" max="11779" width="21.42578125" bestFit="1" customWidth="1"/>
    <col min="11780" max="11780" width="10.7109375" customWidth="1"/>
    <col min="11781" max="11781" width="27.28515625" bestFit="1" customWidth="1"/>
    <col min="11782" max="11782" width="20.5703125" bestFit="1" customWidth="1"/>
    <col min="11783" max="11783" width="19.28515625" bestFit="1" customWidth="1"/>
    <col min="11784" max="11784" width="24" bestFit="1" customWidth="1"/>
    <col min="11785" max="11785" width="13.42578125" bestFit="1" customWidth="1"/>
    <col min="11786" max="11786" width="79" customWidth="1"/>
    <col min="12033" max="12033" width="10" bestFit="1" customWidth="1"/>
    <col min="12034" max="12034" width="34.5703125" customWidth="1"/>
    <col min="12035" max="12035" width="21.42578125" bestFit="1" customWidth="1"/>
    <col min="12036" max="12036" width="10.7109375" customWidth="1"/>
    <col min="12037" max="12037" width="27.28515625" bestFit="1" customWidth="1"/>
    <col min="12038" max="12038" width="20.5703125" bestFit="1" customWidth="1"/>
    <col min="12039" max="12039" width="19.28515625" bestFit="1" customWidth="1"/>
    <col min="12040" max="12040" width="24" bestFit="1" customWidth="1"/>
    <col min="12041" max="12041" width="13.42578125" bestFit="1" customWidth="1"/>
    <col min="12042" max="12042" width="79" customWidth="1"/>
    <col min="12289" max="12289" width="10" bestFit="1" customWidth="1"/>
    <col min="12290" max="12290" width="34.5703125" customWidth="1"/>
    <col min="12291" max="12291" width="21.42578125" bestFit="1" customWidth="1"/>
    <col min="12292" max="12292" width="10.7109375" customWidth="1"/>
    <col min="12293" max="12293" width="27.28515625" bestFit="1" customWidth="1"/>
    <col min="12294" max="12294" width="20.5703125" bestFit="1" customWidth="1"/>
    <col min="12295" max="12295" width="19.28515625" bestFit="1" customWidth="1"/>
    <col min="12296" max="12296" width="24" bestFit="1" customWidth="1"/>
    <col min="12297" max="12297" width="13.42578125" bestFit="1" customWidth="1"/>
    <col min="12298" max="12298" width="79" customWidth="1"/>
    <col min="12545" max="12545" width="10" bestFit="1" customWidth="1"/>
    <col min="12546" max="12546" width="34.5703125" customWidth="1"/>
    <col min="12547" max="12547" width="21.42578125" bestFit="1" customWidth="1"/>
    <col min="12548" max="12548" width="10.7109375" customWidth="1"/>
    <col min="12549" max="12549" width="27.28515625" bestFit="1" customWidth="1"/>
    <col min="12550" max="12550" width="20.5703125" bestFit="1" customWidth="1"/>
    <col min="12551" max="12551" width="19.28515625" bestFit="1" customWidth="1"/>
    <col min="12552" max="12552" width="24" bestFit="1" customWidth="1"/>
    <col min="12553" max="12553" width="13.42578125" bestFit="1" customWidth="1"/>
    <col min="12554" max="12554" width="79" customWidth="1"/>
    <col min="12801" max="12801" width="10" bestFit="1" customWidth="1"/>
    <col min="12802" max="12802" width="34.5703125" customWidth="1"/>
    <col min="12803" max="12803" width="21.42578125" bestFit="1" customWidth="1"/>
    <col min="12804" max="12804" width="10.7109375" customWidth="1"/>
    <col min="12805" max="12805" width="27.28515625" bestFit="1" customWidth="1"/>
    <col min="12806" max="12806" width="20.5703125" bestFit="1" customWidth="1"/>
    <col min="12807" max="12807" width="19.28515625" bestFit="1" customWidth="1"/>
    <col min="12808" max="12808" width="24" bestFit="1" customWidth="1"/>
    <col min="12809" max="12809" width="13.42578125" bestFit="1" customWidth="1"/>
    <col min="12810" max="12810" width="79" customWidth="1"/>
    <col min="13057" max="13057" width="10" bestFit="1" customWidth="1"/>
    <col min="13058" max="13058" width="34.5703125" customWidth="1"/>
    <col min="13059" max="13059" width="21.42578125" bestFit="1" customWidth="1"/>
    <col min="13060" max="13060" width="10.7109375" customWidth="1"/>
    <col min="13061" max="13061" width="27.28515625" bestFit="1" customWidth="1"/>
    <col min="13062" max="13062" width="20.5703125" bestFit="1" customWidth="1"/>
    <col min="13063" max="13063" width="19.28515625" bestFit="1" customWidth="1"/>
    <col min="13064" max="13064" width="24" bestFit="1" customWidth="1"/>
    <col min="13065" max="13065" width="13.42578125" bestFit="1" customWidth="1"/>
    <col min="13066" max="13066" width="79" customWidth="1"/>
    <col min="13313" max="13313" width="10" bestFit="1" customWidth="1"/>
    <col min="13314" max="13314" width="34.5703125" customWidth="1"/>
    <col min="13315" max="13315" width="21.42578125" bestFit="1" customWidth="1"/>
    <col min="13316" max="13316" width="10.7109375" customWidth="1"/>
    <col min="13317" max="13317" width="27.28515625" bestFit="1" customWidth="1"/>
    <col min="13318" max="13318" width="20.5703125" bestFit="1" customWidth="1"/>
    <col min="13319" max="13319" width="19.28515625" bestFit="1" customWidth="1"/>
    <col min="13320" max="13320" width="24" bestFit="1" customWidth="1"/>
    <col min="13321" max="13321" width="13.42578125" bestFit="1" customWidth="1"/>
    <col min="13322" max="13322" width="79" customWidth="1"/>
    <col min="13569" max="13569" width="10" bestFit="1" customWidth="1"/>
    <col min="13570" max="13570" width="34.5703125" customWidth="1"/>
    <col min="13571" max="13571" width="21.42578125" bestFit="1" customWidth="1"/>
    <col min="13572" max="13572" width="10.7109375" customWidth="1"/>
    <col min="13573" max="13573" width="27.28515625" bestFit="1" customWidth="1"/>
    <col min="13574" max="13574" width="20.5703125" bestFit="1" customWidth="1"/>
    <col min="13575" max="13575" width="19.28515625" bestFit="1" customWidth="1"/>
    <col min="13576" max="13576" width="24" bestFit="1" customWidth="1"/>
    <col min="13577" max="13577" width="13.42578125" bestFit="1" customWidth="1"/>
    <col min="13578" max="13578" width="79" customWidth="1"/>
    <col min="13825" max="13825" width="10" bestFit="1" customWidth="1"/>
    <col min="13826" max="13826" width="34.5703125" customWidth="1"/>
    <col min="13827" max="13827" width="21.42578125" bestFit="1" customWidth="1"/>
    <col min="13828" max="13828" width="10.7109375" customWidth="1"/>
    <col min="13829" max="13829" width="27.28515625" bestFit="1" customWidth="1"/>
    <col min="13830" max="13830" width="20.5703125" bestFit="1" customWidth="1"/>
    <col min="13831" max="13831" width="19.28515625" bestFit="1" customWidth="1"/>
    <col min="13832" max="13832" width="24" bestFit="1" customWidth="1"/>
    <col min="13833" max="13833" width="13.42578125" bestFit="1" customWidth="1"/>
    <col min="13834" max="13834" width="79" customWidth="1"/>
    <col min="14081" max="14081" width="10" bestFit="1" customWidth="1"/>
    <col min="14082" max="14082" width="34.5703125" customWidth="1"/>
    <col min="14083" max="14083" width="21.42578125" bestFit="1" customWidth="1"/>
    <col min="14084" max="14084" width="10.7109375" customWidth="1"/>
    <col min="14085" max="14085" width="27.28515625" bestFit="1" customWidth="1"/>
    <col min="14086" max="14086" width="20.5703125" bestFit="1" customWidth="1"/>
    <col min="14087" max="14087" width="19.28515625" bestFit="1" customWidth="1"/>
    <col min="14088" max="14088" width="24" bestFit="1" customWidth="1"/>
    <col min="14089" max="14089" width="13.42578125" bestFit="1" customWidth="1"/>
    <col min="14090" max="14090" width="79" customWidth="1"/>
    <col min="14337" max="14337" width="10" bestFit="1" customWidth="1"/>
    <col min="14338" max="14338" width="34.5703125" customWidth="1"/>
    <col min="14339" max="14339" width="21.42578125" bestFit="1" customWidth="1"/>
    <col min="14340" max="14340" width="10.7109375" customWidth="1"/>
    <col min="14341" max="14341" width="27.28515625" bestFit="1" customWidth="1"/>
    <col min="14342" max="14342" width="20.5703125" bestFit="1" customWidth="1"/>
    <col min="14343" max="14343" width="19.28515625" bestFit="1" customWidth="1"/>
    <col min="14344" max="14344" width="24" bestFit="1" customWidth="1"/>
    <col min="14345" max="14345" width="13.42578125" bestFit="1" customWidth="1"/>
    <col min="14346" max="14346" width="79" customWidth="1"/>
    <col min="14593" max="14593" width="10" bestFit="1" customWidth="1"/>
    <col min="14594" max="14594" width="34.5703125" customWidth="1"/>
    <col min="14595" max="14595" width="21.42578125" bestFit="1" customWidth="1"/>
    <col min="14596" max="14596" width="10.7109375" customWidth="1"/>
    <col min="14597" max="14597" width="27.28515625" bestFit="1" customWidth="1"/>
    <col min="14598" max="14598" width="20.5703125" bestFit="1" customWidth="1"/>
    <col min="14599" max="14599" width="19.28515625" bestFit="1" customWidth="1"/>
    <col min="14600" max="14600" width="24" bestFit="1" customWidth="1"/>
    <col min="14601" max="14601" width="13.42578125" bestFit="1" customWidth="1"/>
    <col min="14602" max="14602" width="79" customWidth="1"/>
    <col min="14849" max="14849" width="10" bestFit="1" customWidth="1"/>
    <col min="14850" max="14850" width="34.5703125" customWidth="1"/>
    <col min="14851" max="14851" width="21.42578125" bestFit="1" customWidth="1"/>
    <col min="14852" max="14852" width="10.7109375" customWidth="1"/>
    <col min="14853" max="14853" width="27.28515625" bestFit="1" customWidth="1"/>
    <col min="14854" max="14854" width="20.5703125" bestFit="1" customWidth="1"/>
    <col min="14855" max="14855" width="19.28515625" bestFit="1" customWidth="1"/>
    <col min="14856" max="14856" width="24" bestFit="1" customWidth="1"/>
    <col min="14857" max="14857" width="13.42578125" bestFit="1" customWidth="1"/>
    <col min="14858" max="14858" width="79" customWidth="1"/>
    <col min="15105" max="15105" width="10" bestFit="1" customWidth="1"/>
    <col min="15106" max="15106" width="34.5703125" customWidth="1"/>
    <col min="15107" max="15107" width="21.42578125" bestFit="1" customWidth="1"/>
    <col min="15108" max="15108" width="10.7109375" customWidth="1"/>
    <col min="15109" max="15109" width="27.28515625" bestFit="1" customWidth="1"/>
    <col min="15110" max="15110" width="20.5703125" bestFit="1" customWidth="1"/>
    <col min="15111" max="15111" width="19.28515625" bestFit="1" customWidth="1"/>
    <col min="15112" max="15112" width="24" bestFit="1" customWidth="1"/>
    <col min="15113" max="15113" width="13.42578125" bestFit="1" customWidth="1"/>
    <col min="15114" max="15114" width="79" customWidth="1"/>
    <col min="15361" max="15361" width="10" bestFit="1" customWidth="1"/>
    <col min="15362" max="15362" width="34.5703125" customWidth="1"/>
    <col min="15363" max="15363" width="21.42578125" bestFit="1" customWidth="1"/>
    <col min="15364" max="15364" width="10.7109375" customWidth="1"/>
    <col min="15365" max="15365" width="27.28515625" bestFit="1" customWidth="1"/>
    <col min="15366" max="15366" width="20.5703125" bestFit="1" customWidth="1"/>
    <col min="15367" max="15367" width="19.28515625" bestFit="1" customWidth="1"/>
    <col min="15368" max="15368" width="24" bestFit="1" customWidth="1"/>
    <col min="15369" max="15369" width="13.42578125" bestFit="1" customWidth="1"/>
    <col min="15370" max="15370" width="79" customWidth="1"/>
    <col min="15617" max="15617" width="10" bestFit="1" customWidth="1"/>
    <col min="15618" max="15618" width="34.5703125" customWidth="1"/>
    <col min="15619" max="15619" width="21.42578125" bestFit="1" customWidth="1"/>
    <col min="15620" max="15620" width="10.7109375" customWidth="1"/>
    <col min="15621" max="15621" width="27.28515625" bestFit="1" customWidth="1"/>
    <col min="15622" max="15622" width="20.5703125" bestFit="1" customWidth="1"/>
    <col min="15623" max="15623" width="19.28515625" bestFit="1" customWidth="1"/>
    <col min="15624" max="15624" width="24" bestFit="1" customWidth="1"/>
    <col min="15625" max="15625" width="13.42578125" bestFit="1" customWidth="1"/>
    <col min="15626" max="15626" width="79" customWidth="1"/>
    <col min="15873" max="15873" width="10" bestFit="1" customWidth="1"/>
    <col min="15874" max="15874" width="34.5703125" customWidth="1"/>
    <col min="15875" max="15875" width="21.42578125" bestFit="1" customWidth="1"/>
    <col min="15876" max="15876" width="10.7109375" customWidth="1"/>
    <col min="15877" max="15877" width="27.28515625" bestFit="1" customWidth="1"/>
    <col min="15878" max="15878" width="20.5703125" bestFit="1" customWidth="1"/>
    <col min="15879" max="15879" width="19.28515625" bestFit="1" customWidth="1"/>
    <col min="15880" max="15880" width="24" bestFit="1" customWidth="1"/>
    <col min="15881" max="15881" width="13.42578125" bestFit="1" customWidth="1"/>
    <col min="15882" max="15882" width="79" customWidth="1"/>
    <col min="16129" max="16129" width="10" bestFit="1" customWidth="1"/>
    <col min="16130" max="16130" width="34.5703125" customWidth="1"/>
    <col min="16131" max="16131" width="21.42578125" bestFit="1" customWidth="1"/>
    <col min="16132" max="16132" width="10.7109375" customWidth="1"/>
    <col min="16133" max="16133" width="27.28515625" bestFit="1" customWidth="1"/>
    <col min="16134" max="16134" width="20.5703125" bestFit="1" customWidth="1"/>
    <col min="16135" max="16135" width="19.28515625" bestFit="1" customWidth="1"/>
    <col min="16136" max="16136" width="24" bestFit="1" customWidth="1"/>
    <col min="16137" max="16137" width="13.42578125" bestFit="1" customWidth="1"/>
    <col min="16138" max="16138" width="79" customWidth="1"/>
  </cols>
  <sheetData>
    <row r="1" spans="1:10" x14ac:dyDescent="0.25">
      <c r="A1" t="s">
        <v>1628</v>
      </c>
      <c r="E1" s="1"/>
    </row>
    <row r="2" spans="1:10" x14ac:dyDescent="0.25">
      <c r="A2" s="5" t="s">
        <v>823</v>
      </c>
      <c r="B2" s="5" t="s">
        <v>824</v>
      </c>
      <c r="C2" s="5" t="s">
        <v>0</v>
      </c>
      <c r="D2" s="5" t="s">
        <v>166</v>
      </c>
      <c r="E2" s="5" t="s">
        <v>22</v>
      </c>
      <c r="F2" s="5" t="s">
        <v>825</v>
      </c>
      <c r="G2" s="5" t="s">
        <v>826</v>
      </c>
      <c r="H2" s="5" t="s">
        <v>827</v>
      </c>
      <c r="I2" s="5" t="s">
        <v>28</v>
      </c>
      <c r="J2" s="5" t="s">
        <v>29</v>
      </c>
    </row>
    <row r="3" spans="1:10" x14ac:dyDescent="0.25">
      <c r="A3">
        <v>2</v>
      </c>
      <c r="B3" s="10" t="s">
        <v>829</v>
      </c>
      <c r="C3" s="158">
        <v>4</v>
      </c>
      <c r="D3" s="10" t="s">
        <v>207</v>
      </c>
      <c r="E3" s="10" t="s">
        <v>830</v>
      </c>
      <c r="F3" s="6" t="s">
        <v>831</v>
      </c>
      <c r="G3" s="6" t="s">
        <v>831</v>
      </c>
      <c r="H3" s="6"/>
      <c r="I3" s="6"/>
      <c r="J3" s="1"/>
    </row>
    <row r="4" spans="1:10" x14ac:dyDescent="0.25">
      <c r="A4">
        <v>3</v>
      </c>
      <c r="B4" s="10" t="s">
        <v>832</v>
      </c>
      <c r="C4" s="158">
        <v>8</v>
      </c>
      <c r="D4" s="10" t="s">
        <v>207</v>
      </c>
      <c r="E4" s="10" t="s">
        <v>830</v>
      </c>
      <c r="F4" s="6"/>
      <c r="G4" s="6" t="s">
        <v>831</v>
      </c>
      <c r="H4" s="6"/>
      <c r="I4" s="6"/>
    </row>
    <row r="5" spans="1:10" x14ac:dyDescent="0.25">
      <c r="A5">
        <v>4</v>
      </c>
      <c r="B5" s="10" t="s">
        <v>1420</v>
      </c>
      <c r="C5" s="158">
        <v>330</v>
      </c>
      <c r="D5" s="10" t="s">
        <v>207</v>
      </c>
      <c r="E5" s="10" t="s">
        <v>830</v>
      </c>
      <c r="F5" s="6"/>
      <c r="G5" s="6" t="s">
        <v>831</v>
      </c>
      <c r="H5" s="6"/>
      <c r="I5" s="6"/>
    </row>
    <row r="6" spans="1:10" x14ac:dyDescent="0.25">
      <c r="A6">
        <v>5</v>
      </c>
      <c r="B6" s="10" t="s">
        <v>833</v>
      </c>
      <c r="C6" s="158">
        <v>2.75</v>
      </c>
      <c r="D6" s="10" t="s">
        <v>207</v>
      </c>
      <c r="E6" s="10" t="s">
        <v>830</v>
      </c>
      <c r="F6" s="6" t="s">
        <v>831</v>
      </c>
      <c r="G6" s="6" t="s">
        <v>831</v>
      </c>
      <c r="H6" s="6"/>
      <c r="I6" s="6"/>
      <c r="J6" s="6"/>
    </row>
    <row r="7" spans="1:10" x14ac:dyDescent="0.25">
      <c r="A7">
        <v>6</v>
      </c>
      <c r="B7" s="10" t="s">
        <v>834</v>
      </c>
      <c r="C7" s="158">
        <v>3</v>
      </c>
      <c r="D7" s="10" t="s">
        <v>207</v>
      </c>
      <c r="E7" s="10" t="s">
        <v>830</v>
      </c>
      <c r="F7" s="6" t="s">
        <v>831</v>
      </c>
      <c r="G7" s="6" t="s">
        <v>831</v>
      </c>
      <c r="H7" s="6"/>
      <c r="I7" s="6"/>
    </row>
    <row r="8" spans="1:10" x14ac:dyDescent="0.25">
      <c r="A8">
        <v>7</v>
      </c>
      <c r="B8" s="10" t="s">
        <v>835</v>
      </c>
      <c r="C8" s="158">
        <v>32</v>
      </c>
      <c r="D8" s="10" t="s">
        <v>207</v>
      </c>
      <c r="E8" s="10" t="s">
        <v>830</v>
      </c>
      <c r="F8" s="6"/>
      <c r="G8" s="6" t="s">
        <v>831</v>
      </c>
      <c r="H8" s="6"/>
      <c r="I8" s="6"/>
      <c r="J8" s="1"/>
    </row>
    <row r="9" spans="1:10" x14ac:dyDescent="0.25">
      <c r="A9">
        <v>8</v>
      </c>
      <c r="B9" s="10" t="s">
        <v>836</v>
      </c>
      <c r="C9" s="158">
        <v>3</v>
      </c>
      <c r="D9" s="10" t="s">
        <v>207</v>
      </c>
      <c r="E9" s="10" t="s">
        <v>830</v>
      </c>
      <c r="F9" s="6" t="s">
        <v>831</v>
      </c>
      <c r="G9" s="6"/>
      <c r="H9" s="6"/>
      <c r="I9" s="6"/>
    </row>
    <row r="10" spans="1:10" x14ac:dyDescent="0.25">
      <c r="A10">
        <v>9</v>
      </c>
      <c r="B10" s="10" t="s">
        <v>837</v>
      </c>
      <c r="C10" s="158">
        <v>25</v>
      </c>
      <c r="D10" s="10" t="s">
        <v>296</v>
      </c>
      <c r="E10" s="28" t="s">
        <v>838</v>
      </c>
      <c r="I10" s="29">
        <v>39868</v>
      </c>
      <c r="J10" t="s">
        <v>1421</v>
      </c>
    </row>
    <row r="11" spans="1:10" x14ac:dyDescent="0.25">
      <c r="A11">
        <v>10</v>
      </c>
      <c r="B11" s="10" t="s">
        <v>839</v>
      </c>
      <c r="C11" s="158">
        <v>50</v>
      </c>
      <c r="D11" s="10" t="s">
        <v>204</v>
      </c>
      <c r="E11" s="10" t="s">
        <v>203</v>
      </c>
      <c r="F11" s="6" t="s">
        <v>831</v>
      </c>
      <c r="G11" s="6"/>
      <c r="H11" s="6"/>
      <c r="I11" s="6"/>
      <c r="J11" t="s">
        <v>840</v>
      </c>
    </row>
    <row r="12" spans="1:10" x14ac:dyDescent="0.25">
      <c r="A12">
        <v>11</v>
      </c>
      <c r="B12" s="10" t="s">
        <v>841</v>
      </c>
      <c r="C12" s="158">
        <v>20</v>
      </c>
      <c r="D12" s="10" t="s">
        <v>204</v>
      </c>
      <c r="E12" s="10" t="s">
        <v>203</v>
      </c>
      <c r="F12" s="6" t="s">
        <v>831</v>
      </c>
      <c r="G12" s="6"/>
      <c r="H12" s="6"/>
      <c r="I12" s="6"/>
      <c r="J12" t="s">
        <v>840</v>
      </c>
    </row>
    <row r="13" spans="1:10" x14ac:dyDescent="0.25">
      <c r="A13">
        <v>12</v>
      </c>
      <c r="B13" s="10" t="s">
        <v>842</v>
      </c>
      <c r="C13" s="158">
        <v>10</v>
      </c>
      <c r="D13" s="10" t="s">
        <v>204</v>
      </c>
      <c r="E13" s="10" t="s">
        <v>203</v>
      </c>
      <c r="F13" s="6" t="s">
        <v>831</v>
      </c>
      <c r="G13" s="6"/>
      <c r="H13" s="6"/>
      <c r="I13" s="29">
        <v>39868</v>
      </c>
      <c r="J13" t="s">
        <v>840</v>
      </c>
    </row>
    <row r="14" spans="1:10" x14ac:dyDescent="0.25">
      <c r="A14">
        <v>13</v>
      </c>
      <c r="B14" s="10" t="s">
        <v>843</v>
      </c>
      <c r="C14" s="158">
        <v>25</v>
      </c>
      <c r="D14" s="10" t="s">
        <v>207</v>
      </c>
      <c r="E14" s="10" t="s">
        <v>203</v>
      </c>
      <c r="F14" s="6"/>
      <c r="G14" s="6"/>
      <c r="H14" s="6"/>
      <c r="I14" s="29">
        <v>39898</v>
      </c>
      <c r="J14" t="s">
        <v>844</v>
      </c>
    </row>
    <row r="15" spans="1:10" x14ac:dyDescent="0.25">
      <c r="A15">
        <v>14</v>
      </c>
      <c r="B15" s="10" t="s">
        <v>845</v>
      </c>
      <c r="C15" s="158">
        <v>35</v>
      </c>
      <c r="D15" s="10" t="s">
        <v>204</v>
      </c>
      <c r="E15" s="10" t="s">
        <v>203</v>
      </c>
      <c r="F15" s="6"/>
      <c r="G15" s="6"/>
      <c r="H15" s="6"/>
      <c r="I15" s="6"/>
    </row>
    <row r="16" spans="1:10" x14ac:dyDescent="0.25">
      <c r="A16">
        <v>15</v>
      </c>
      <c r="B16" s="10" t="s">
        <v>846</v>
      </c>
      <c r="C16" s="158">
        <v>0.5</v>
      </c>
      <c r="D16" s="10" t="s">
        <v>378</v>
      </c>
      <c r="E16" s="10" t="s">
        <v>203</v>
      </c>
      <c r="F16" s="6"/>
      <c r="G16" s="6"/>
      <c r="H16" s="6"/>
      <c r="I16" s="29">
        <v>39929</v>
      </c>
      <c r="J16" t="s">
        <v>847</v>
      </c>
    </row>
    <row r="17" spans="1:10" x14ac:dyDescent="0.25">
      <c r="A17">
        <v>16</v>
      </c>
      <c r="B17" s="10" t="s">
        <v>848</v>
      </c>
      <c r="C17" s="158">
        <v>2.5</v>
      </c>
      <c r="D17" s="10" t="s">
        <v>204</v>
      </c>
      <c r="E17" s="10" t="s">
        <v>203</v>
      </c>
      <c r="F17" s="6"/>
      <c r="G17" s="6"/>
      <c r="H17" s="6"/>
      <c r="I17" s="6"/>
    </row>
    <row r="18" spans="1:10" x14ac:dyDescent="0.25">
      <c r="A18">
        <v>17</v>
      </c>
      <c r="B18" s="10" t="s">
        <v>849</v>
      </c>
      <c r="C18" s="158">
        <v>5</v>
      </c>
      <c r="D18" s="10" t="s">
        <v>204</v>
      </c>
      <c r="E18" s="10" t="s">
        <v>203</v>
      </c>
      <c r="F18" s="6"/>
      <c r="G18" s="6"/>
      <c r="H18" s="6"/>
      <c r="I18" s="6"/>
      <c r="J18" s="6" t="s">
        <v>850</v>
      </c>
    </row>
    <row r="19" spans="1:10" x14ac:dyDescent="0.25">
      <c r="A19">
        <v>18</v>
      </c>
      <c r="B19" s="10" t="s">
        <v>851</v>
      </c>
      <c r="C19" s="158">
        <v>0.25</v>
      </c>
      <c r="D19" s="10" t="s">
        <v>33</v>
      </c>
      <c r="E19" s="10" t="s">
        <v>852</v>
      </c>
    </row>
    <row r="20" spans="1:10" x14ac:dyDescent="0.25">
      <c r="A20">
        <v>19</v>
      </c>
      <c r="B20" s="10" t="s">
        <v>853</v>
      </c>
      <c r="C20" s="158">
        <v>0.10416666666666666</v>
      </c>
      <c r="D20" s="10" t="s">
        <v>33</v>
      </c>
      <c r="E20" s="10" t="s">
        <v>852</v>
      </c>
    </row>
    <row r="21" spans="1:10" x14ac:dyDescent="0.25">
      <c r="A21">
        <v>20</v>
      </c>
      <c r="B21" s="10" t="s">
        <v>854</v>
      </c>
      <c r="C21" s="158">
        <v>0.47916666666666663</v>
      </c>
      <c r="D21" s="10" t="s">
        <v>33</v>
      </c>
      <c r="E21" s="10" t="s">
        <v>852</v>
      </c>
    </row>
    <row r="22" spans="1:10" x14ac:dyDescent="0.25">
      <c r="A22">
        <v>21</v>
      </c>
      <c r="B22" s="10" t="s">
        <v>855</v>
      </c>
      <c r="C22" s="158">
        <v>0.35416666666666663</v>
      </c>
      <c r="D22" s="10" t="s">
        <v>33</v>
      </c>
      <c r="E22" s="10" t="s">
        <v>852</v>
      </c>
    </row>
    <row r="23" spans="1:10" x14ac:dyDescent="0.25">
      <c r="A23">
        <v>22</v>
      </c>
      <c r="B23" s="10" t="s">
        <v>856</v>
      </c>
      <c r="C23" s="158">
        <v>0.52083333333333326</v>
      </c>
      <c r="D23" s="10" t="s">
        <v>33</v>
      </c>
      <c r="E23" s="10" t="s">
        <v>852</v>
      </c>
      <c r="F23" s="1"/>
      <c r="G23" s="1"/>
      <c r="H23" s="1"/>
      <c r="I23" s="1"/>
      <c r="J23" s="1"/>
    </row>
    <row r="24" spans="1:10" ht="30" x14ac:dyDescent="0.25">
      <c r="A24">
        <v>23</v>
      </c>
      <c r="B24" s="10" t="s">
        <v>857</v>
      </c>
      <c r="C24" s="158">
        <v>0.35416666666666663</v>
      </c>
      <c r="D24" s="10" t="s">
        <v>33</v>
      </c>
      <c r="E24" s="10" t="s">
        <v>852</v>
      </c>
    </row>
    <row r="25" spans="1:10" ht="30" x14ac:dyDescent="0.25">
      <c r="A25">
        <v>24</v>
      </c>
      <c r="B25" s="10" t="s">
        <v>858</v>
      </c>
      <c r="C25" s="158">
        <v>0.52083333333333326</v>
      </c>
      <c r="D25" s="10" t="s">
        <v>33</v>
      </c>
      <c r="E25" s="10" t="s">
        <v>852</v>
      </c>
      <c r="F25" s="30"/>
      <c r="G25" s="30"/>
      <c r="H25" s="30"/>
      <c r="I25" s="30"/>
      <c r="J25" s="30"/>
    </row>
    <row r="26" spans="1:10" x14ac:dyDescent="0.25">
      <c r="A26">
        <v>25</v>
      </c>
      <c r="B26" s="10" t="s">
        <v>859</v>
      </c>
      <c r="C26" s="158">
        <v>0.47916666666666663</v>
      </c>
      <c r="D26" s="10" t="s">
        <v>33</v>
      </c>
      <c r="E26" s="10" t="s">
        <v>852</v>
      </c>
    </row>
    <row r="27" spans="1:10" x14ac:dyDescent="0.25">
      <c r="A27">
        <v>26</v>
      </c>
      <c r="B27" s="10" t="s">
        <v>860</v>
      </c>
      <c r="C27" s="158">
        <v>0.64583333333333326</v>
      </c>
      <c r="D27" s="10" t="s">
        <v>33</v>
      </c>
      <c r="E27" s="10" t="s">
        <v>852</v>
      </c>
    </row>
    <row r="28" spans="1:10" x14ac:dyDescent="0.25">
      <c r="A28">
        <v>27</v>
      </c>
      <c r="B28" s="10" t="s">
        <v>861</v>
      </c>
      <c r="C28" s="158">
        <v>0.35416666666666663</v>
      </c>
      <c r="D28" s="10" t="s">
        <v>33</v>
      </c>
      <c r="E28" s="10" t="s">
        <v>852</v>
      </c>
    </row>
    <row r="29" spans="1:10" ht="30" x14ac:dyDescent="0.25">
      <c r="A29">
        <v>28</v>
      </c>
      <c r="B29" s="10" t="s">
        <v>862</v>
      </c>
      <c r="C29" s="158">
        <v>0.27083333333333331</v>
      </c>
      <c r="D29" s="10" t="s">
        <v>33</v>
      </c>
      <c r="E29" s="10" t="s">
        <v>852</v>
      </c>
    </row>
    <row r="30" spans="1:10" ht="30" x14ac:dyDescent="0.25">
      <c r="A30">
        <v>29</v>
      </c>
      <c r="B30" s="10" t="s">
        <v>863</v>
      </c>
      <c r="C30" s="158">
        <v>9.375E-2</v>
      </c>
      <c r="D30" s="10" t="s">
        <v>33</v>
      </c>
      <c r="E30" s="10" t="s">
        <v>864</v>
      </c>
      <c r="I30" s="31">
        <v>39861</v>
      </c>
    </row>
    <row r="31" spans="1:10" x14ac:dyDescent="0.25">
      <c r="A31">
        <v>30</v>
      </c>
      <c r="B31" s="10" t="s">
        <v>865</v>
      </c>
      <c r="C31" s="158">
        <v>1</v>
      </c>
      <c r="D31" s="10" t="s">
        <v>296</v>
      </c>
      <c r="E31" s="10" t="s">
        <v>864</v>
      </c>
    </row>
    <row r="32" spans="1:10" x14ac:dyDescent="0.25">
      <c r="A32">
        <v>31</v>
      </c>
      <c r="B32" s="10" t="s">
        <v>866</v>
      </c>
      <c r="C32" s="158">
        <v>0.02</v>
      </c>
      <c r="D32" s="10" t="s">
        <v>296</v>
      </c>
      <c r="E32" s="10" t="s">
        <v>867</v>
      </c>
      <c r="I32" s="31">
        <v>39837</v>
      </c>
    </row>
    <row r="33" spans="1:9" x14ac:dyDescent="0.25">
      <c r="A33">
        <v>32</v>
      </c>
      <c r="B33" s="10" t="s">
        <v>868</v>
      </c>
      <c r="C33" s="158">
        <v>0.1875</v>
      </c>
      <c r="D33" s="10" t="s">
        <v>33</v>
      </c>
      <c r="E33" s="10" t="s">
        <v>867</v>
      </c>
    </row>
    <row r="34" spans="1:9" x14ac:dyDescent="0.25">
      <c r="A34">
        <v>33</v>
      </c>
      <c r="B34" s="10" t="s">
        <v>869</v>
      </c>
      <c r="C34" s="158">
        <v>0.14583333333333331</v>
      </c>
      <c r="D34" s="10" t="s">
        <v>33</v>
      </c>
      <c r="E34" s="10" t="s">
        <v>867</v>
      </c>
    </row>
    <row r="35" spans="1:9" x14ac:dyDescent="0.25">
      <c r="A35">
        <v>34</v>
      </c>
      <c r="B35" s="10" t="s">
        <v>870</v>
      </c>
      <c r="C35" s="158">
        <v>0.15</v>
      </c>
      <c r="D35" s="10" t="s">
        <v>378</v>
      </c>
      <c r="E35" s="10" t="s">
        <v>867</v>
      </c>
      <c r="I35" s="31">
        <v>39898</v>
      </c>
    </row>
    <row r="36" spans="1:9" x14ac:dyDescent="0.25">
      <c r="A36">
        <v>35</v>
      </c>
      <c r="B36" s="10" t="s">
        <v>871</v>
      </c>
      <c r="C36" s="158">
        <v>0.04</v>
      </c>
      <c r="D36" s="10" t="s">
        <v>378</v>
      </c>
      <c r="E36" s="10" t="s">
        <v>867</v>
      </c>
      <c r="I36" s="31">
        <v>39898</v>
      </c>
    </row>
    <row r="37" spans="1:9" x14ac:dyDescent="0.25">
      <c r="A37">
        <v>36</v>
      </c>
      <c r="B37" s="10" t="s">
        <v>872</v>
      </c>
      <c r="C37" s="158">
        <v>0.10833333333333334</v>
      </c>
      <c r="D37" s="10" t="s">
        <v>33</v>
      </c>
      <c r="E37" s="10" t="s">
        <v>873</v>
      </c>
    </row>
    <row r="38" spans="1:9" x14ac:dyDescent="0.25">
      <c r="A38">
        <v>37</v>
      </c>
      <c r="B38" s="10" t="s">
        <v>874</v>
      </c>
      <c r="C38" s="158">
        <v>0.13958333333333334</v>
      </c>
      <c r="D38" s="10" t="s">
        <v>33</v>
      </c>
      <c r="E38" s="10" t="s">
        <v>873</v>
      </c>
    </row>
    <row r="39" spans="1:9" ht="30" x14ac:dyDescent="0.25">
      <c r="A39">
        <v>38</v>
      </c>
      <c r="B39" s="10" t="s">
        <v>875</v>
      </c>
      <c r="C39" s="158">
        <v>0.23541666666666666</v>
      </c>
      <c r="D39" s="10" t="s">
        <v>33</v>
      </c>
      <c r="E39" s="10" t="s">
        <v>873</v>
      </c>
    </row>
    <row r="40" spans="1:9" x14ac:dyDescent="0.25">
      <c r="A40">
        <v>39</v>
      </c>
      <c r="B40" s="10" t="s">
        <v>876</v>
      </c>
      <c r="C40" s="158">
        <v>0.13958333333333334</v>
      </c>
      <c r="D40" s="10" t="s">
        <v>33</v>
      </c>
      <c r="E40" s="10" t="s">
        <v>873</v>
      </c>
    </row>
    <row r="41" spans="1:9" ht="30" x14ac:dyDescent="0.25">
      <c r="A41">
        <v>40</v>
      </c>
      <c r="B41" s="10" t="s">
        <v>877</v>
      </c>
      <c r="C41" s="158">
        <v>0.16874999999999998</v>
      </c>
      <c r="D41" s="10" t="s">
        <v>33</v>
      </c>
      <c r="E41" s="10" t="s">
        <v>873</v>
      </c>
    </row>
    <row r="42" spans="1:9" x14ac:dyDescent="0.25">
      <c r="A42">
        <v>41</v>
      </c>
      <c r="B42" s="10" t="s">
        <v>878</v>
      </c>
      <c r="C42" s="158">
        <v>0.5</v>
      </c>
      <c r="D42" s="10" t="s">
        <v>33</v>
      </c>
      <c r="E42" s="10" t="s">
        <v>873</v>
      </c>
    </row>
    <row r="43" spans="1:9" x14ac:dyDescent="0.25">
      <c r="A43">
        <v>42</v>
      </c>
      <c r="B43" s="10" t="s">
        <v>879</v>
      </c>
      <c r="C43" s="158">
        <v>0.20416666666666666</v>
      </c>
      <c r="D43" s="10" t="s">
        <v>33</v>
      </c>
      <c r="E43" s="10" t="s">
        <v>873</v>
      </c>
    </row>
    <row r="44" spans="1:9" x14ac:dyDescent="0.25">
      <c r="A44">
        <v>43</v>
      </c>
      <c r="B44" s="10" t="s">
        <v>880</v>
      </c>
      <c r="C44" s="158">
        <v>0.02</v>
      </c>
      <c r="D44" s="10" t="s">
        <v>296</v>
      </c>
      <c r="E44" s="10" t="s">
        <v>881</v>
      </c>
      <c r="I44" s="31">
        <v>39838</v>
      </c>
    </row>
    <row r="45" spans="1:9" x14ac:dyDescent="0.25">
      <c r="A45">
        <v>44</v>
      </c>
      <c r="B45" s="10" t="s">
        <v>882</v>
      </c>
      <c r="C45" s="158">
        <v>0.03</v>
      </c>
      <c r="D45" s="10" t="s">
        <v>296</v>
      </c>
      <c r="E45" s="10" t="s">
        <v>881</v>
      </c>
      <c r="I45" s="31">
        <v>39838</v>
      </c>
    </row>
    <row r="46" spans="1:9" x14ac:dyDescent="0.25">
      <c r="A46">
        <v>45</v>
      </c>
      <c r="B46" s="10" t="s">
        <v>883</v>
      </c>
      <c r="C46" s="158">
        <v>0.02</v>
      </c>
      <c r="D46" s="10" t="s">
        <v>296</v>
      </c>
      <c r="E46" s="10" t="s">
        <v>881</v>
      </c>
      <c r="I46" s="31">
        <v>39838</v>
      </c>
    </row>
    <row r="47" spans="1:9" x14ac:dyDescent="0.25">
      <c r="A47">
        <v>46</v>
      </c>
      <c r="B47" s="10" t="s">
        <v>884</v>
      </c>
      <c r="C47" s="158">
        <v>0.16666666666666666</v>
      </c>
      <c r="D47" s="10" t="s">
        <v>33</v>
      </c>
      <c r="E47" s="10" t="s">
        <v>885</v>
      </c>
    </row>
    <row r="48" spans="1:9" x14ac:dyDescent="0.25">
      <c r="A48">
        <v>47</v>
      </c>
      <c r="B48" s="10" t="s">
        <v>886</v>
      </c>
      <c r="C48" s="158">
        <v>8.3333333333333329E-2</v>
      </c>
      <c r="D48" s="10" t="s">
        <v>33</v>
      </c>
      <c r="E48" s="10" t="s">
        <v>885</v>
      </c>
    </row>
    <row r="49" spans="1:9" x14ac:dyDescent="0.25">
      <c r="A49">
        <v>48</v>
      </c>
      <c r="B49" s="10" t="s">
        <v>887</v>
      </c>
      <c r="C49" s="158">
        <v>0.13</v>
      </c>
      <c r="D49" s="10" t="s">
        <v>888</v>
      </c>
      <c r="E49" s="10" t="s">
        <v>885</v>
      </c>
      <c r="I49" s="31">
        <v>39837</v>
      </c>
    </row>
    <row r="50" spans="1:9" x14ac:dyDescent="0.25">
      <c r="A50">
        <v>49</v>
      </c>
      <c r="B50" s="10" t="s">
        <v>889</v>
      </c>
      <c r="C50" s="158">
        <v>8.3333333333333329E-2</v>
      </c>
      <c r="D50" s="10" t="s">
        <v>33</v>
      </c>
      <c r="E50" s="10" t="s">
        <v>885</v>
      </c>
    </row>
    <row r="51" spans="1:9" x14ac:dyDescent="0.25">
      <c r="A51">
        <v>50</v>
      </c>
      <c r="B51" s="10" t="s">
        <v>890</v>
      </c>
      <c r="C51" s="158">
        <v>0.125</v>
      </c>
      <c r="D51" s="10" t="s">
        <v>33</v>
      </c>
      <c r="E51" s="10" t="s">
        <v>885</v>
      </c>
    </row>
    <row r="52" spans="1:9" x14ac:dyDescent="0.25">
      <c r="A52">
        <v>51</v>
      </c>
      <c r="B52" s="10" t="s">
        <v>891</v>
      </c>
      <c r="C52" s="158">
        <v>0.36</v>
      </c>
      <c r="D52" s="10" t="s">
        <v>892</v>
      </c>
      <c r="E52" s="10" t="s">
        <v>893</v>
      </c>
      <c r="I52" s="31">
        <v>39837</v>
      </c>
    </row>
    <row r="53" spans="1:9" x14ac:dyDescent="0.25">
      <c r="A53">
        <v>52</v>
      </c>
      <c r="B53" s="10" t="s">
        <v>894</v>
      </c>
      <c r="C53" s="158">
        <v>0.24</v>
      </c>
      <c r="D53" s="10" t="s">
        <v>892</v>
      </c>
      <c r="E53" s="10" t="s">
        <v>893</v>
      </c>
      <c r="I53" s="31">
        <v>39837</v>
      </c>
    </row>
    <row r="54" spans="1:9" x14ac:dyDescent="0.25">
      <c r="A54">
        <v>53</v>
      </c>
      <c r="B54" s="10" t="s">
        <v>895</v>
      </c>
      <c r="C54" s="158">
        <v>0.12</v>
      </c>
      <c r="D54" s="10" t="s">
        <v>33</v>
      </c>
      <c r="E54" s="28" t="s">
        <v>16</v>
      </c>
      <c r="F54" s="32"/>
    </row>
    <row r="55" spans="1:9" x14ac:dyDescent="0.25">
      <c r="A55">
        <v>54</v>
      </c>
      <c r="B55" s="10" t="s">
        <v>896</v>
      </c>
      <c r="C55" s="158">
        <v>0.5</v>
      </c>
      <c r="D55" s="10" t="s">
        <v>33</v>
      </c>
      <c r="E55" s="28" t="s">
        <v>16</v>
      </c>
      <c r="F55" s="32"/>
    </row>
    <row r="56" spans="1:9" x14ac:dyDescent="0.25">
      <c r="A56">
        <v>55</v>
      </c>
      <c r="B56" s="10" t="s">
        <v>897</v>
      </c>
      <c r="C56" s="158">
        <v>0.25</v>
      </c>
      <c r="D56" s="10" t="s">
        <v>33</v>
      </c>
      <c r="E56" s="28" t="s">
        <v>16</v>
      </c>
      <c r="F56" s="32"/>
    </row>
    <row r="57" spans="1:9" x14ac:dyDescent="0.25">
      <c r="A57">
        <v>56</v>
      </c>
      <c r="B57" s="10" t="s">
        <v>898</v>
      </c>
      <c r="C57" s="158">
        <v>0.75</v>
      </c>
      <c r="D57" s="10" t="s">
        <v>33</v>
      </c>
      <c r="E57" s="28" t="s">
        <v>16</v>
      </c>
      <c r="F57" s="32"/>
    </row>
    <row r="58" spans="1:9" x14ac:dyDescent="0.25">
      <c r="A58">
        <v>57</v>
      </c>
      <c r="B58" s="10" t="s">
        <v>899</v>
      </c>
      <c r="C58" s="158">
        <v>0.5</v>
      </c>
      <c r="D58" s="10" t="s">
        <v>33</v>
      </c>
      <c r="E58" s="30" t="s">
        <v>16</v>
      </c>
      <c r="F58" s="32"/>
    </row>
    <row r="59" spans="1:9" x14ac:dyDescent="0.25">
      <c r="A59">
        <v>58</v>
      </c>
      <c r="B59" s="10" t="s">
        <v>900</v>
      </c>
      <c r="C59" s="158">
        <v>0.25</v>
      </c>
      <c r="D59" s="10" t="s">
        <v>33</v>
      </c>
      <c r="E59" s="30" t="s">
        <v>16</v>
      </c>
      <c r="F59" s="32"/>
      <c r="H59" t="s">
        <v>901</v>
      </c>
    </row>
    <row r="60" spans="1:9" x14ac:dyDescent="0.25">
      <c r="A60">
        <v>59</v>
      </c>
      <c r="B60" s="10" t="s">
        <v>902</v>
      </c>
      <c r="C60" s="158">
        <v>0.25</v>
      </c>
      <c r="D60" s="10" t="s">
        <v>33</v>
      </c>
      <c r="E60" s="30" t="s">
        <v>16</v>
      </c>
      <c r="F60" s="32"/>
      <c r="H60" t="s">
        <v>901</v>
      </c>
    </row>
    <row r="61" spans="1:9" x14ac:dyDescent="0.25">
      <c r="A61">
        <v>60</v>
      </c>
      <c r="B61" s="10" t="s">
        <v>903</v>
      </c>
      <c r="C61" s="158">
        <v>0.5</v>
      </c>
      <c r="D61" s="10" t="s">
        <v>33</v>
      </c>
      <c r="E61" s="30" t="s">
        <v>16</v>
      </c>
      <c r="F61" s="32"/>
      <c r="H61" t="s">
        <v>901</v>
      </c>
    </row>
    <row r="62" spans="1:9" x14ac:dyDescent="0.25">
      <c r="A62">
        <v>61</v>
      </c>
      <c r="B62" s="10" t="s">
        <v>904</v>
      </c>
      <c r="C62" s="158">
        <v>0.75</v>
      </c>
      <c r="D62" s="10" t="s">
        <v>33</v>
      </c>
      <c r="E62" s="28" t="s">
        <v>16</v>
      </c>
      <c r="F62" s="32"/>
      <c r="H62" t="s">
        <v>901</v>
      </c>
    </row>
    <row r="63" spans="1:9" x14ac:dyDescent="0.25">
      <c r="A63">
        <v>62</v>
      </c>
      <c r="B63" s="10" t="s">
        <v>905</v>
      </c>
      <c r="C63" s="158">
        <v>0.5</v>
      </c>
      <c r="D63" s="10" t="s">
        <v>33</v>
      </c>
      <c r="E63" s="28" t="s">
        <v>16</v>
      </c>
      <c r="F63" s="32"/>
      <c r="H63" t="s">
        <v>901</v>
      </c>
    </row>
    <row r="64" spans="1:9" x14ac:dyDescent="0.25">
      <c r="A64">
        <v>63</v>
      </c>
      <c r="B64" s="10" t="s">
        <v>906</v>
      </c>
      <c r="C64" s="158">
        <v>1.5</v>
      </c>
      <c r="D64" s="10" t="s">
        <v>33</v>
      </c>
      <c r="E64" s="28" t="s">
        <v>16</v>
      </c>
      <c r="F64" s="32"/>
      <c r="H64" t="s">
        <v>901</v>
      </c>
    </row>
    <row r="65" spans="1:10" x14ac:dyDescent="0.25">
      <c r="A65">
        <v>64</v>
      </c>
      <c r="B65" s="10" t="s">
        <v>907</v>
      </c>
      <c r="C65" s="158">
        <v>0.25</v>
      </c>
      <c r="D65" s="10" t="s">
        <v>33</v>
      </c>
      <c r="E65" s="28" t="s">
        <v>16</v>
      </c>
    </row>
    <row r="66" spans="1:10" x14ac:dyDescent="0.25">
      <c r="A66">
        <v>65</v>
      </c>
      <c r="B66" s="10" t="s">
        <v>908</v>
      </c>
      <c r="C66" s="158">
        <v>0.25</v>
      </c>
      <c r="D66" s="10" t="s">
        <v>33</v>
      </c>
      <c r="E66" s="28" t="s">
        <v>16</v>
      </c>
    </row>
    <row r="67" spans="1:10" x14ac:dyDescent="0.25">
      <c r="A67">
        <v>66</v>
      </c>
      <c r="B67" s="10" t="s">
        <v>909</v>
      </c>
      <c r="C67" s="158">
        <v>0.5</v>
      </c>
      <c r="D67" s="10" t="s">
        <v>33</v>
      </c>
      <c r="E67" s="28" t="s">
        <v>16</v>
      </c>
    </row>
    <row r="68" spans="1:10" x14ac:dyDescent="0.25">
      <c r="A68">
        <v>67</v>
      </c>
      <c r="B68" s="10" t="s">
        <v>910</v>
      </c>
      <c r="C68" s="158">
        <v>0.12</v>
      </c>
      <c r="D68" s="10" t="s">
        <v>33</v>
      </c>
      <c r="E68" s="28" t="s">
        <v>16</v>
      </c>
      <c r="F68" s="32"/>
      <c r="H68" t="s">
        <v>901</v>
      </c>
    </row>
    <row r="69" spans="1:10" x14ac:dyDescent="0.25">
      <c r="A69">
        <v>68</v>
      </c>
      <c r="B69" s="10" t="s">
        <v>911</v>
      </c>
      <c r="C69" s="158">
        <v>0.5</v>
      </c>
      <c r="D69" s="10" t="s">
        <v>33</v>
      </c>
      <c r="E69" s="28" t="s">
        <v>16</v>
      </c>
      <c r="F69" s="32"/>
      <c r="H69" t="s">
        <v>901</v>
      </c>
    </row>
    <row r="70" spans="1:10" x14ac:dyDescent="0.25">
      <c r="A70">
        <v>69</v>
      </c>
      <c r="B70" s="10" t="s">
        <v>912</v>
      </c>
      <c r="C70" s="158">
        <v>1.5</v>
      </c>
      <c r="D70" s="10" t="s">
        <v>33</v>
      </c>
      <c r="E70" s="28" t="s">
        <v>16</v>
      </c>
      <c r="F70" s="32"/>
      <c r="H70" t="s">
        <v>901</v>
      </c>
    </row>
    <row r="71" spans="1:10" x14ac:dyDescent="0.25">
      <c r="A71">
        <v>70</v>
      </c>
      <c r="B71" s="10" t="s">
        <v>913</v>
      </c>
      <c r="C71" s="158">
        <v>1</v>
      </c>
      <c r="D71" s="10" t="s">
        <v>33</v>
      </c>
      <c r="E71" s="28" t="s">
        <v>16</v>
      </c>
      <c r="F71" s="32"/>
      <c r="H71" t="s">
        <v>901</v>
      </c>
    </row>
    <row r="72" spans="1:10" x14ac:dyDescent="0.25">
      <c r="A72">
        <v>71</v>
      </c>
      <c r="B72" s="10" t="s">
        <v>914</v>
      </c>
      <c r="C72" s="158">
        <v>2</v>
      </c>
      <c r="D72" s="10" t="s">
        <v>33</v>
      </c>
      <c r="E72" s="28" t="s">
        <v>16</v>
      </c>
      <c r="F72" s="32"/>
      <c r="H72" t="s">
        <v>901</v>
      </c>
    </row>
    <row r="73" spans="1:10" x14ac:dyDescent="0.25">
      <c r="A73">
        <v>72</v>
      </c>
      <c r="B73" s="10" t="s">
        <v>915</v>
      </c>
      <c r="C73" s="158">
        <v>0.15</v>
      </c>
      <c r="D73" s="10" t="s">
        <v>378</v>
      </c>
      <c r="E73" s="10" t="s">
        <v>916</v>
      </c>
      <c r="F73" s="6" t="s">
        <v>831</v>
      </c>
      <c r="G73" s="6"/>
      <c r="H73" s="6"/>
      <c r="I73" s="29">
        <v>39898</v>
      </c>
    </row>
    <row r="74" spans="1:10" x14ac:dyDescent="0.25">
      <c r="A74">
        <v>73</v>
      </c>
      <c r="B74" s="10" t="s">
        <v>917</v>
      </c>
      <c r="C74" s="158">
        <v>0.08</v>
      </c>
      <c r="D74" s="10" t="s">
        <v>378</v>
      </c>
      <c r="E74" s="10" t="s">
        <v>916</v>
      </c>
      <c r="F74" s="6"/>
      <c r="G74" s="6"/>
      <c r="H74" s="6"/>
      <c r="I74" s="6"/>
    </row>
    <row r="75" spans="1:10" x14ac:dyDescent="0.25">
      <c r="A75">
        <v>74</v>
      </c>
      <c r="B75" s="10" t="s">
        <v>778</v>
      </c>
      <c r="C75" s="158">
        <v>0.15</v>
      </c>
      <c r="D75" s="10" t="s">
        <v>378</v>
      </c>
      <c r="E75" s="10" t="s">
        <v>916</v>
      </c>
      <c r="F75" s="6" t="s">
        <v>831</v>
      </c>
      <c r="G75" s="6"/>
      <c r="H75" s="6"/>
      <c r="I75" s="29">
        <v>39868</v>
      </c>
    </row>
    <row r="76" spans="1:10" x14ac:dyDescent="0.25">
      <c r="A76">
        <v>75</v>
      </c>
      <c r="B76" s="10" t="s">
        <v>918</v>
      </c>
      <c r="C76" s="158">
        <v>5</v>
      </c>
      <c r="D76" s="10" t="s">
        <v>33</v>
      </c>
      <c r="E76" s="10" t="s">
        <v>919</v>
      </c>
      <c r="J76" t="s">
        <v>920</v>
      </c>
    </row>
    <row r="77" spans="1:10" x14ac:dyDescent="0.25">
      <c r="A77">
        <v>76</v>
      </c>
      <c r="B77" s="10" t="s">
        <v>921</v>
      </c>
      <c r="C77" s="158">
        <v>5.25</v>
      </c>
      <c r="D77" s="10" t="s">
        <v>204</v>
      </c>
      <c r="E77" s="10" t="s">
        <v>919</v>
      </c>
    </row>
    <row r="78" spans="1:10" x14ac:dyDescent="0.25">
      <c r="A78">
        <v>77</v>
      </c>
      <c r="B78" s="10" t="s">
        <v>922</v>
      </c>
      <c r="C78" s="158">
        <v>0</v>
      </c>
      <c r="D78" s="10" t="s">
        <v>33</v>
      </c>
      <c r="E78" s="10" t="s">
        <v>919</v>
      </c>
      <c r="I78" s="29">
        <v>39869</v>
      </c>
      <c r="J78" t="s">
        <v>923</v>
      </c>
    </row>
    <row r="79" spans="1:10" x14ac:dyDescent="0.25">
      <c r="A79">
        <v>78</v>
      </c>
      <c r="B79" s="10" t="s">
        <v>924</v>
      </c>
      <c r="C79" s="158">
        <v>5.625</v>
      </c>
      <c r="D79" s="10" t="s">
        <v>33</v>
      </c>
      <c r="E79" s="10" t="s">
        <v>919</v>
      </c>
      <c r="H79" t="s">
        <v>925</v>
      </c>
    </row>
    <row r="80" spans="1:10" x14ac:dyDescent="0.25">
      <c r="A80">
        <v>79</v>
      </c>
      <c r="B80" s="10" t="s">
        <v>926</v>
      </c>
      <c r="C80" s="158">
        <v>3.75</v>
      </c>
      <c r="D80" s="10" t="s">
        <v>33</v>
      </c>
      <c r="E80" s="10" t="s">
        <v>919</v>
      </c>
      <c r="H80" t="s">
        <v>925</v>
      </c>
    </row>
    <row r="81" spans="1:8" x14ac:dyDescent="0.25">
      <c r="A81">
        <v>80</v>
      </c>
      <c r="B81" s="10" t="s">
        <v>927</v>
      </c>
      <c r="C81" s="158">
        <v>1.875</v>
      </c>
      <c r="D81" s="10" t="s">
        <v>33</v>
      </c>
      <c r="E81" s="10" t="s">
        <v>919</v>
      </c>
      <c r="H81" t="s">
        <v>925</v>
      </c>
    </row>
    <row r="82" spans="1:8" x14ac:dyDescent="0.25">
      <c r="A82">
        <v>81</v>
      </c>
      <c r="B82" s="10" t="s">
        <v>928</v>
      </c>
      <c r="C82" s="158">
        <v>0.1875</v>
      </c>
      <c r="D82" s="10" t="s">
        <v>33</v>
      </c>
      <c r="E82" s="10" t="s">
        <v>919</v>
      </c>
      <c r="H82" t="s">
        <v>925</v>
      </c>
    </row>
    <row r="83" spans="1:8" x14ac:dyDescent="0.25">
      <c r="A83">
        <v>82</v>
      </c>
      <c r="B83" s="10" t="s">
        <v>929</v>
      </c>
      <c r="C83" s="158">
        <v>0.125</v>
      </c>
      <c r="D83" s="10" t="s">
        <v>33</v>
      </c>
      <c r="E83" s="10" t="s">
        <v>919</v>
      </c>
      <c r="H83" t="s">
        <v>925</v>
      </c>
    </row>
    <row r="84" spans="1:8" x14ac:dyDescent="0.25">
      <c r="A84">
        <v>83</v>
      </c>
      <c r="B84" s="10" t="s">
        <v>930</v>
      </c>
      <c r="C84" s="158">
        <v>6.25E-2</v>
      </c>
      <c r="D84" s="10" t="s">
        <v>33</v>
      </c>
      <c r="E84" s="6" t="s">
        <v>919</v>
      </c>
      <c r="H84" t="s">
        <v>925</v>
      </c>
    </row>
    <row r="85" spans="1:8" x14ac:dyDescent="0.25">
      <c r="A85">
        <v>84</v>
      </c>
      <c r="B85" s="10" t="s">
        <v>931</v>
      </c>
      <c r="C85" s="158">
        <v>1.875</v>
      </c>
      <c r="D85" s="10" t="s">
        <v>33</v>
      </c>
      <c r="E85" s="6" t="s">
        <v>919</v>
      </c>
      <c r="H85" t="s">
        <v>925</v>
      </c>
    </row>
    <row r="86" spans="1:8" x14ac:dyDescent="0.25">
      <c r="A86">
        <v>85</v>
      </c>
      <c r="B86" s="10" t="s">
        <v>932</v>
      </c>
      <c r="C86" s="158">
        <v>1.25</v>
      </c>
      <c r="D86" s="10" t="s">
        <v>33</v>
      </c>
      <c r="E86" s="6" t="s">
        <v>919</v>
      </c>
      <c r="H86" t="s">
        <v>925</v>
      </c>
    </row>
    <row r="87" spans="1:8" x14ac:dyDescent="0.25">
      <c r="A87">
        <v>86</v>
      </c>
      <c r="B87" s="10" t="s">
        <v>933</v>
      </c>
      <c r="C87" s="158">
        <v>0.625</v>
      </c>
      <c r="D87" s="10" t="s">
        <v>33</v>
      </c>
      <c r="E87" s="6" t="s">
        <v>919</v>
      </c>
      <c r="H87" t="s">
        <v>925</v>
      </c>
    </row>
    <row r="88" spans="1:8" x14ac:dyDescent="0.25">
      <c r="A88">
        <v>87</v>
      </c>
      <c r="B88" s="10" t="s">
        <v>934</v>
      </c>
      <c r="C88" s="158">
        <v>2.8125</v>
      </c>
      <c r="D88" s="10" t="s">
        <v>33</v>
      </c>
      <c r="E88" s="6" t="s">
        <v>919</v>
      </c>
      <c r="H88" t="s">
        <v>925</v>
      </c>
    </row>
    <row r="89" spans="1:8" x14ac:dyDescent="0.25">
      <c r="A89">
        <v>88</v>
      </c>
      <c r="B89" s="10" t="s">
        <v>935</v>
      </c>
      <c r="C89" s="158">
        <v>1.875</v>
      </c>
      <c r="D89" s="10" t="s">
        <v>33</v>
      </c>
      <c r="E89" s="6" t="s">
        <v>919</v>
      </c>
      <c r="H89" t="s">
        <v>925</v>
      </c>
    </row>
    <row r="90" spans="1:8" x14ac:dyDescent="0.25">
      <c r="A90">
        <v>89</v>
      </c>
      <c r="B90" s="10" t="s">
        <v>936</v>
      </c>
      <c r="C90" s="158">
        <v>0.9375</v>
      </c>
      <c r="D90" s="10" t="s">
        <v>33</v>
      </c>
      <c r="E90" s="6" t="s">
        <v>919</v>
      </c>
      <c r="H90" t="s">
        <v>925</v>
      </c>
    </row>
    <row r="91" spans="1:8" x14ac:dyDescent="0.25">
      <c r="A91">
        <v>90</v>
      </c>
      <c r="B91" s="10" t="s">
        <v>937</v>
      </c>
      <c r="C91" s="158">
        <v>3.75</v>
      </c>
      <c r="D91" s="10" t="s">
        <v>33</v>
      </c>
      <c r="E91" s="6" t="s">
        <v>919</v>
      </c>
      <c r="H91" t="s">
        <v>925</v>
      </c>
    </row>
    <row r="92" spans="1:8" x14ac:dyDescent="0.25">
      <c r="A92">
        <v>91</v>
      </c>
      <c r="B92" s="10" t="s">
        <v>938</v>
      </c>
      <c r="C92" s="158">
        <v>2.5</v>
      </c>
      <c r="D92" s="10" t="s">
        <v>33</v>
      </c>
      <c r="E92" s="6" t="s">
        <v>919</v>
      </c>
      <c r="H92" t="s">
        <v>925</v>
      </c>
    </row>
    <row r="93" spans="1:8" x14ac:dyDescent="0.25">
      <c r="A93">
        <v>92</v>
      </c>
      <c r="B93" s="10" t="s">
        <v>939</v>
      </c>
      <c r="C93" s="158">
        <v>1.25</v>
      </c>
      <c r="D93" s="10" t="s">
        <v>33</v>
      </c>
      <c r="E93" s="6" t="s">
        <v>919</v>
      </c>
      <c r="H93" t="s">
        <v>925</v>
      </c>
    </row>
    <row r="94" spans="1:8" x14ac:dyDescent="0.25">
      <c r="A94">
        <v>93</v>
      </c>
      <c r="B94" s="10" t="s">
        <v>940</v>
      </c>
      <c r="C94" s="158">
        <v>0.5625</v>
      </c>
      <c r="D94" s="10" t="s">
        <v>33</v>
      </c>
      <c r="E94" s="6" t="s">
        <v>919</v>
      </c>
      <c r="H94" t="s">
        <v>925</v>
      </c>
    </row>
    <row r="95" spans="1:8" x14ac:dyDescent="0.25">
      <c r="A95">
        <v>94</v>
      </c>
      <c r="B95" s="10" t="s">
        <v>941</v>
      </c>
      <c r="C95" s="158">
        <v>0.375</v>
      </c>
      <c r="D95" s="10" t="s">
        <v>33</v>
      </c>
      <c r="E95" s="6" t="s">
        <v>919</v>
      </c>
      <c r="H95" t="s">
        <v>925</v>
      </c>
    </row>
    <row r="96" spans="1:8" x14ac:dyDescent="0.25">
      <c r="A96">
        <v>95</v>
      </c>
      <c r="B96" s="10" t="s">
        <v>942</v>
      </c>
      <c r="C96" s="158">
        <v>0.1875</v>
      </c>
      <c r="D96" s="10" t="s">
        <v>33</v>
      </c>
      <c r="E96" s="6" t="s">
        <v>919</v>
      </c>
      <c r="H96" t="s">
        <v>925</v>
      </c>
    </row>
    <row r="97" spans="1:10" x14ac:dyDescent="0.25">
      <c r="A97">
        <v>96</v>
      </c>
      <c r="B97" s="10" t="s">
        <v>943</v>
      </c>
      <c r="C97" s="158">
        <v>0.9375</v>
      </c>
      <c r="D97" s="10" t="s">
        <v>33</v>
      </c>
      <c r="E97" s="6" t="s">
        <v>919</v>
      </c>
      <c r="H97" t="s">
        <v>925</v>
      </c>
    </row>
    <row r="98" spans="1:10" x14ac:dyDescent="0.25">
      <c r="A98">
        <v>97</v>
      </c>
      <c r="B98" s="10" t="s">
        <v>944</v>
      </c>
      <c r="C98" s="158">
        <v>0.625</v>
      </c>
      <c r="D98" s="10" t="s">
        <v>33</v>
      </c>
      <c r="E98" s="6" t="s">
        <v>919</v>
      </c>
      <c r="H98" t="s">
        <v>925</v>
      </c>
    </row>
    <row r="99" spans="1:10" x14ac:dyDescent="0.25">
      <c r="A99">
        <v>98</v>
      </c>
      <c r="B99" s="10" t="s">
        <v>945</v>
      </c>
      <c r="C99" s="158">
        <v>0.3125</v>
      </c>
      <c r="D99" s="10" t="s">
        <v>33</v>
      </c>
      <c r="E99" s="6" t="s">
        <v>919</v>
      </c>
      <c r="H99" t="s">
        <v>925</v>
      </c>
    </row>
    <row r="100" spans="1:10" x14ac:dyDescent="0.25">
      <c r="A100">
        <v>99</v>
      </c>
      <c r="B100" s="10" t="s">
        <v>946</v>
      </c>
      <c r="C100" s="158">
        <v>2.5</v>
      </c>
      <c r="D100" s="10" t="s">
        <v>33</v>
      </c>
      <c r="E100" s="6" t="s">
        <v>919</v>
      </c>
    </row>
    <row r="101" spans="1:10" x14ac:dyDescent="0.25">
      <c r="A101">
        <v>100</v>
      </c>
      <c r="B101" s="10" t="s">
        <v>947</v>
      </c>
      <c r="C101" s="158">
        <v>0.02</v>
      </c>
      <c r="D101" s="10" t="s">
        <v>375</v>
      </c>
      <c r="E101" s="6" t="s">
        <v>919</v>
      </c>
      <c r="J101" t="s">
        <v>948</v>
      </c>
    </row>
    <row r="102" spans="1:10" x14ac:dyDescent="0.25">
      <c r="A102">
        <v>101</v>
      </c>
      <c r="B102" s="10" t="s">
        <v>949</v>
      </c>
      <c r="C102" s="158">
        <v>0.06</v>
      </c>
      <c r="D102" s="10" t="s">
        <v>378</v>
      </c>
      <c r="E102" s="6" t="s">
        <v>919</v>
      </c>
    </row>
    <row r="103" spans="1:10" x14ac:dyDescent="0.25">
      <c r="A103">
        <v>102</v>
      </c>
      <c r="B103" s="10" t="s">
        <v>950</v>
      </c>
      <c r="C103" s="158">
        <v>0</v>
      </c>
      <c r="D103" s="10" t="s">
        <v>33</v>
      </c>
      <c r="E103" s="1" t="s">
        <v>919</v>
      </c>
      <c r="F103" s="32"/>
      <c r="I103" s="29">
        <v>39933</v>
      </c>
      <c r="J103" t="s">
        <v>951</v>
      </c>
    </row>
    <row r="104" spans="1:10" x14ac:dyDescent="0.25">
      <c r="A104">
        <v>103</v>
      </c>
      <c r="B104" s="10" t="s">
        <v>952</v>
      </c>
      <c r="C104" s="158">
        <v>0.02</v>
      </c>
      <c r="D104" s="10" t="s">
        <v>378</v>
      </c>
      <c r="E104" s="6" t="s">
        <v>919</v>
      </c>
      <c r="J104" t="s">
        <v>948</v>
      </c>
    </row>
    <row r="105" spans="1:10" x14ac:dyDescent="0.25">
      <c r="A105">
        <v>104</v>
      </c>
      <c r="B105" s="10" t="s">
        <v>953</v>
      </c>
      <c r="C105" s="158">
        <v>2</v>
      </c>
      <c r="D105" s="10" t="s">
        <v>954</v>
      </c>
      <c r="E105" s="6" t="s">
        <v>919</v>
      </c>
      <c r="J105" t="s">
        <v>955</v>
      </c>
    </row>
    <row r="106" spans="1:10" x14ac:dyDescent="0.25">
      <c r="A106">
        <v>105</v>
      </c>
      <c r="B106" s="10" t="s">
        <v>956</v>
      </c>
      <c r="C106" s="158">
        <v>0.1</v>
      </c>
      <c r="D106" s="10" t="s">
        <v>33</v>
      </c>
      <c r="E106" s="10" t="s">
        <v>919</v>
      </c>
      <c r="J106" t="s">
        <v>948</v>
      </c>
    </row>
    <row r="107" spans="1:10" x14ac:dyDescent="0.25">
      <c r="A107">
        <v>106</v>
      </c>
      <c r="B107" s="10" t="s">
        <v>957</v>
      </c>
      <c r="C107" s="158">
        <v>0.65</v>
      </c>
      <c r="D107" s="10" t="s">
        <v>33</v>
      </c>
      <c r="E107" s="6" t="s">
        <v>919</v>
      </c>
      <c r="F107" s="6"/>
      <c r="G107" s="6"/>
      <c r="I107" s="29">
        <v>39873</v>
      </c>
      <c r="J107" t="s">
        <v>958</v>
      </c>
    </row>
    <row r="108" spans="1:10" x14ac:dyDescent="0.25">
      <c r="A108">
        <v>107</v>
      </c>
      <c r="B108" s="10" t="s">
        <v>959</v>
      </c>
      <c r="C108" s="158">
        <v>1.3</v>
      </c>
      <c r="D108" s="10" t="s">
        <v>33</v>
      </c>
      <c r="E108" s="6" t="s">
        <v>919</v>
      </c>
      <c r="F108" s="6"/>
      <c r="G108" s="6"/>
      <c r="I108" s="29">
        <v>39873</v>
      </c>
      <c r="J108" t="s">
        <v>960</v>
      </c>
    </row>
    <row r="109" spans="1:10" x14ac:dyDescent="0.25">
      <c r="A109">
        <v>108</v>
      </c>
      <c r="B109" s="10" t="s">
        <v>961</v>
      </c>
      <c r="C109" s="158">
        <v>0.25</v>
      </c>
      <c r="D109" s="10" t="s">
        <v>33</v>
      </c>
      <c r="E109" s="6" t="s">
        <v>919</v>
      </c>
      <c r="I109" s="29">
        <v>39861</v>
      </c>
    </row>
    <row r="110" spans="1:10" x14ac:dyDescent="0.25">
      <c r="A110">
        <v>109</v>
      </c>
      <c r="B110" s="10" t="s">
        <v>962</v>
      </c>
      <c r="C110" s="158">
        <v>0.6</v>
      </c>
      <c r="D110" s="10" t="s">
        <v>33</v>
      </c>
      <c r="E110" s="1" t="s">
        <v>919</v>
      </c>
      <c r="I110" s="29">
        <v>39861</v>
      </c>
      <c r="J110" t="s">
        <v>963</v>
      </c>
    </row>
    <row r="111" spans="1:10" ht="30" x14ac:dyDescent="0.25">
      <c r="A111">
        <v>110</v>
      </c>
      <c r="B111" s="10" t="s">
        <v>964</v>
      </c>
      <c r="C111" s="158">
        <v>4.5</v>
      </c>
      <c r="D111" s="10" t="s">
        <v>33</v>
      </c>
      <c r="E111" s="6" t="s">
        <v>919</v>
      </c>
    </row>
    <row r="112" spans="1:10" ht="30" x14ac:dyDescent="0.25">
      <c r="A112">
        <v>111</v>
      </c>
      <c r="B112" s="10" t="s">
        <v>965</v>
      </c>
      <c r="C112" s="158">
        <v>8.75</v>
      </c>
      <c r="D112" s="10" t="s">
        <v>33</v>
      </c>
      <c r="E112" s="10" t="s">
        <v>919</v>
      </c>
    </row>
    <row r="113" spans="1:10" x14ac:dyDescent="0.25">
      <c r="A113">
        <v>112</v>
      </c>
      <c r="B113" s="10" t="s">
        <v>966</v>
      </c>
      <c r="C113" s="158">
        <v>0.8</v>
      </c>
      <c r="D113" s="10" t="s">
        <v>296</v>
      </c>
      <c r="E113" s="10" t="s">
        <v>919</v>
      </c>
    </row>
    <row r="114" spans="1:10" x14ac:dyDescent="0.25">
      <c r="A114">
        <v>113</v>
      </c>
      <c r="B114" s="10" t="s">
        <v>967</v>
      </c>
      <c r="C114" s="158">
        <v>0.5</v>
      </c>
      <c r="D114" s="10" t="s">
        <v>378</v>
      </c>
      <c r="E114" s="28" t="s">
        <v>968</v>
      </c>
      <c r="I114" s="29">
        <v>39861</v>
      </c>
      <c r="J114" t="s">
        <v>969</v>
      </c>
    </row>
    <row r="115" spans="1:10" x14ac:dyDescent="0.25">
      <c r="A115">
        <v>114</v>
      </c>
      <c r="B115" s="10" t="s">
        <v>970</v>
      </c>
      <c r="C115" s="158">
        <v>0.5</v>
      </c>
      <c r="D115" s="10" t="s">
        <v>378</v>
      </c>
      <c r="E115" s="28" t="s">
        <v>968</v>
      </c>
      <c r="I115" s="29">
        <v>39861</v>
      </c>
      <c r="J115" t="s">
        <v>969</v>
      </c>
    </row>
    <row r="116" spans="1:10" x14ac:dyDescent="0.25">
      <c r="A116">
        <v>115</v>
      </c>
      <c r="B116" s="10" t="s">
        <v>971</v>
      </c>
      <c r="C116" s="158">
        <v>0.7</v>
      </c>
      <c r="D116" s="10" t="s">
        <v>972</v>
      </c>
      <c r="E116" s="10" t="s">
        <v>968</v>
      </c>
      <c r="F116" s="6"/>
      <c r="G116" s="6"/>
      <c r="H116" s="6" t="s">
        <v>973</v>
      </c>
      <c r="I116" s="6"/>
      <c r="J116" t="s">
        <v>974</v>
      </c>
    </row>
    <row r="117" spans="1:10" x14ac:dyDescent="0.25">
      <c r="A117">
        <v>116</v>
      </c>
      <c r="B117" s="10" t="s">
        <v>975</v>
      </c>
      <c r="C117" s="158">
        <v>0.35</v>
      </c>
      <c r="D117" s="10" t="s">
        <v>972</v>
      </c>
      <c r="E117" s="10" t="s">
        <v>968</v>
      </c>
      <c r="F117" s="6"/>
      <c r="G117" s="6"/>
      <c r="H117" s="6" t="s">
        <v>973</v>
      </c>
      <c r="I117" s="6"/>
    </row>
    <row r="118" spans="1:10" x14ac:dyDescent="0.25">
      <c r="A118">
        <v>117</v>
      </c>
      <c r="B118" s="10" t="s">
        <v>976</v>
      </c>
      <c r="C118" s="158">
        <v>0.3</v>
      </c>
      <c r="D118" s="10" t="s">
        <v>452</v>
      </c>
      <c r="E118" s="10" t="s">
        <v>968</v>
      </c>
      <c r="F118" s="6"/>
      <c r="G118" s="6"/>
      <c r="H118" s="6" t="s">
        <v>977</v>
      </c>
      <c r="I118" s="6"/>
    </row>
    <row r="119" spans="1:10" x14ac:dyDescent="0.25">
      <c r="A119">
        <v>118</v>
      </c>
      <c r="B119" s="10" t="s">
        <v>978</v>
      </c>
      <c r="C119" s="158">
        <v>0.2</v>
      </c>
      <c r="D119" s="10" t="s">
        <v>378</v>
      </c>
      <c r="E119" s="10" t="s">
        <v>968</v>
      </c>
      <c r="F119" s="6"/>
      <c r="G119" s="6"/>
      <c r="H119" s="6" t="s">
        <v>977</v>
      </c>
      <c r="I119" s="6"/>
    </row>
    <row r="120" spans="1:10" x14ac:dyDescent="0.25">
      <c r="A120">
        <v>119</v>
      </c>
      <c r="B120" s="10" t="s">
        <v>1422</v>
      </c>
      <c r="C120" s="158">
        <v>0.5</v>
      </c>
      <c r="D120" s="10" t="s">
        <v>378</v>
      </c>
      <c r="E120" s="10" t="s">
        <v>968</v>
      </c>
      <c r="F120" s="6"/>
      <c r="G120" s="6"/>
      <c r="H120" s="6" t="s">
        <v>977</v>
      </c>
      <c r="I120" s="29">
        <v>40307</v>
      </c>
      <c r="J120" t="s">
        <v>1423</v>
      </c>
    </row>
    <row r="121" spans="1:10" x14ac:dyDescent="0.25">
      <c r="A121">
        <v>120</v>
      </c>
      <c r="B121" s="10" t="s">
        <v>979</v>
      </c>
      <c r="C121" s="158">
        <v>0.15</v>
      </c>
      <c r="D121" s="10" t="s">
        <v>375</v>
      </c>
      <c r="E121" s="10" t="s">
        <v>968</v>
      </c>
      <c r="F121" s="6"/>
      <c r="G121" s="6"/>
      <c r="H121" s="6" t="s">
        <v>977</v>
      </c>
      <c r="I121" s="6"/>
      <c r="J121" s="6" t="s">
        <v>980</v>
      </c>
    </row>
    <row r="122" spans="1:10" x14ac:dyDescent="0.25">
      <c r="A122">
        <v>121</v>
      </c>
      <c r="B122" s="10" t="s">
        <v>981</v>
      </c>
      <c r="C122" s="158">
        <v>0.15</v>
      </c>
      <c r="D122" s="10" t="s">
        <v>375</v>
      </c>
      <c r="E122" s="10" t="s">
        <v>968</v>
      </c>
      <c r="F122" s="6"/>
      <c r="G122" s="6"/>
      <c r="H122" s="6" t="s">
        <v>977</v>
      </c>
      <c r="I122" s="6"/>
      <c r="J122" s="6" t="s">
        <v>980</v>
      </c>
    </row>
    <row r="123" spans="1:10" x14ac:dyDescent="0.25">
      <c r="A123">
        <v>122</v>
      </c>
      <c r="B123" s="10" t="s">
        <v>982</v>
      </c>
      <c r="C123" s="158">
        <v>0.15</v>
      </c>
      <c r="D123" s="10" t="s">
        <v>375</v>
      </c>
      <c r="E123" s="10" t="s">
        <v>968</v>
      </c>
      <c r="F123" s="6"/>
      <c r="G123" s="6"/>
      <c r="H123" s="6" t="s">
        <v>977</v>
      </c>
      <c r="I123" s="6"/>
      <c r="J123" s="6" t="s">
        <v>980</v>
      </c>
    </row>
    <row r="124" spans="1:10" x14ac:dyDescent="0.25">
      <c r="A124">
        <v>123</v>
      </c>
      <c r="B124" s="10" t="s">
        <v>983</v>
      </c>
      <c r="C124" s="158">
        <v>0.2</v>
      </c>
      <c r="D124" s="10" t="s">
        <v>452</v>
      </c>
      <c r="E124" s="28" t="s">
        <v>968</v>
      </c>
      <c r="H124" t="s">
        <v>977</v>
      </c>
      <c r="I124" s="29">
        <v>39864</v>
      </c>
      <c r="J124" t="s">
        <v>984</v>
      </c>
    </row>
    <row r="125" spans="1:10" x14ac:dyDescent="0.25">
      <c r="A125">
        <v>124</v>
      </c>
      <c r="B125" s="10" t="s">
        <v>985</v>
      </c>
      <c r="C125" s="158">
        <v>0.02</v>
      </c>
      <c r="D125" s="10" t="s">
        <v>375</v>
      </c>
      <c r="E125" s="28" t="s">
        <v>968</v>
      </c>
      <c r="F125" s="32"/>
      <c r="H125" t="s">
        <v>977</v>
      </c>
      <c r="I125" s="29">
        <v>39864</v>
      </c>
      <c r="J125" t="s">
        <v>986</v>
      </c>
    </row>
    <row r="126" spans="1:10" x14ac:dyDescent="0.25">
      <c r="A126">
        <v>125</v>
      </c>
      <c r="B126" s="10" t="s">
        <v>987</v>
      </c>
      <c r="C126" s="158">
        <v>0.1</v>
      </c>
      <c r="D126" s="10" t="s">
        <v>378</v>
      </c>
      <c r="E126" s="10" t="s">
        <v>968</v>
      </c>
      <c r="H126" t="s">
        <v>977</v>
      </c>
      <c r="I126" s="29">
        <v>39868</v>
      </c>
      <c r="J126" t="s">
        <v>988</v>
      </c>
    </row>
    <row r="127" spans="1:10" x14ac:dyDescent="0.25">
      <c r="A127">
        <v>126</v>
      </c>
      <c r="B127" s="10" t="s">
        <v>989</v>
      </c>
      <c r="C127" s="158">
        <v>0.01</v>
      </c>
      <c r="D127" s="10" t="s">
        <v>378</v>
      </c>
      <c r="E127" s="10" t="s">
        <v>968</v>
      </c>
      <c r="F127" s="6"/>
      <c r="G127" s="6"/>
      <c r="H127" s="6" t="s">
        <v>977</v>
      </c>
      <c r="I127" s="29">
        <v>40475</v>
      </c>
      <c r="J127" t="s">
        <v>1424</v>
      </c>
    </row>
    <row r="128" spans="1:10" ht="75" x14ac:dyDescent="0.25">
      <c r="A128">
        <v>127</v>
      </c>
      <c r="B128" s="10" t="s">
        <v>977</v>
      </c>
      <c r="C128" s="158">
        <v>0.04</v>
      </c>
      <c r="D128" s="10" t="s">
        <v>452</v>
      </c>
      <c r="E128" s="10" t="s">
        <v>968</v>
      </c>
      <c r="F128" s="6"/>
      <c r="G128" s="6"/>
      <c r="H128" s="6" t="s">
        <v>977</v>
      </c>
      <c r="I128" s="29">
        <v>40446</v>
      </c>
      <c r="J128" s="6" t="s">
        <v>1425</v>
      </c>
    </row>
    <row r="129" spans="1:10" x14ac:dyDescent="0.25">
      <c r="A129">
        <v>128</v>
      </c>
      <c r="B129" s="10" t="s">
        <v>990</v>
      </c>
      <c r="C129" s="158">
        <v>0.1</v>
      </c>
      <c r="D129" s="10" t="s">
        <v>378</v>
      </c>
      <c r="E129" s="10" t="s">
        <v>968</v>
      </c>
      <c r="F129" s="6"/>
      <c r="G129" s="6"/>
      <c r="H129" s="6" t="s">
        <v>977</v>
      </c>
      <c r="I129" s="29"/>
      <c r="J129" s="6" t="s">
        <v>991</v>
      </c>
    </row>
    <row r="130" spans="1:10" x14ac:dyDescent="0.25">
      <c r="A130">
        <v>129</v>
      </c>
      <c r="B130" s="10" t="s">
        <v>992</v>
      </c>
      <c r="C130" s="158">
        <v>0.35</v>
      </c>
      <c r="D130" s="10" t="s">
        <v>993</v>
      </c>
      <c r="E130" s="10" t="s">
        <v>968</v>
      </c>
      <c r="F130" s="6"/>
      <c r="G130" s="6"/>
      <c r="H130" s="6" t="s">
        <v>977</v>
      </c>
      <c r="I130" s="29"/>
    </row>
    <row r="131" spans="1:10" x14ac:dyDescent="0.25">
      <c r="A131">
        <v>130</v>
      </c>
      <c r="B131" s="10" t="s">
        <v>994</v>
      </c>
      <c r="C131" s="158">
        <v>0.7</v>
      </c>
      <c r="D131" s="10" t="s">
        <v>993</v>
      </c>
      <c r="E131" s="10" t="s">
        <v>968</v>
      </c>
      <c r="F131" s="6"/>
      <c r="G131" s="6"/>
      <c r="H131" s="6" t="s">
        <v>977</v>
      </c>
      <c r="I131" s="29"/>
    </row>
    <row r="132" spans="1:10" x14ac:dyDescent="0.25">
      <c r="A132">
        <v>131</v>
      </c>
      <c r="B132" s="10" t="s">
        <v>995</v>
      </c>
      <c r="C132" s="158">
        <v>1.05</v>
      </c>
      <c r="D132" s="10" t="s">
        <v>993</v>
      </c>
      <c r="E132" s="10" t="s">
        <v>968</v>
      </c>
      <c r="F132" s="6"/>
      <c r="G132" s="6"/>
      <c r="H132" s="6" t="s">
        <v>977</v>
      </c>
      <c r="I132" s="29"/>
    </row>
    <row r="133" spans="1:10" x14ac:dyDescent="0.25">
      <c r="A133">
        <v>132</v>
      </c>
      <c r="B133" s="10" t="s">
        <v>996</v>
      </c>
      <c r="C133" s="158">
        <v>1.4</v>
      </c>
      <c r="D133" s="10" t="s">
        <v>993</v>
      </c>
      <c r="E133" s="10" t="s">
        <v>968</v>
      </c>
      <c r="F133" s="6"/>
      <c r="G133" s="6"/>
      <c r="H133" s="6" t="s">
        <v>977</v>
      </c>
      <c r="I133" s="29"/>
    </row>
    <row r="134" spans="1:10" x14ac:dyDescent="0.25">
      <c r="A134">
        <v>133</v>
      </c>
      <c r="B134" s="10" t="s">
        <v>997</v>
      </c>
      <c r="C134" s="158">
        <v>0.1</v>
      </c>
      <c r="D134" s="10" t="s">
        <v>378</v>
      </c>
      <c r="E134" s="10" t="s">
        <v>968</v>
      </c>
      <c r="F134" s="6"/>
      <c r="G134" s="6"/>
      <c r="H134" s="6" t="s">
        <v>977</v>
      </c>
      <c r="I134" s="29"/>
    </row>
    <row r="135" spans="1:10" x14ac:dyDescent="0.25">
      <c r="A135">
        <v>134</v>
      </c>
      <c r="B135" s="10" t="s">
        <v>998</v>
      </c>
      <c r="C135" s="158">
        <v>0.35</v>
      </c>
      <c r="D135" s="10" t="s">
        <v>972</v>
      </c>
      <c r="E135" s="10" t="s">
        <v>968</v>
      </c>
      <c r="F135" s="6"/>
      <c r="G135" s="6"/>
      <c r="H135" s="6" t="s">
        <v>977</v>
      </c>
      <c r="I135" s="29"/>
      <c r="J135" t="s">
        <v>999</v>
      </c>
    </row>
    <row r="136" spans="1:10" x14ac:dyDescent="0.25">
      <c r="A136">
        <v>135</v>
      </c>
      <c r="B136" s="10" t="s">
        <v>1000</v>
      </c>
      <c r="C136" s="158">
        <v>0.4</v>
      </c>
      <c r="D136" s="10" t="s">
        <v>378</v>
      </c>
      <c r="E136" s="10" t="s">
        <v>968</v>
      </c>
      <c r="F136" s="6"/>
      <c r="G136" s="6"/>
      <c r="H136" s="6" t="s">
        <v>977</v>
      </c>
      <c r="I136" s="29"/>
    </row>
    <row r="137" spans="1:10" x14ac:dyDescent="0.25">
      <c r="A137">
        <v>136</v>
      </c>
      <c r="B137" s="10" t="s">
        <v>1001</v>
      </c>
      <c r="C137" s="158">
        <v>0.35</v>
      </c>
      <c r="D137" s="10" t="s">
        <v>972</v>
      </c>
      <c r="E137" s="10" t="s">
        <v>968</v>
      </c>
      <c r="F137" s="6"/>
      <c r="G137" s="6"/>
      <c r="H137" s="6" t="s">
        <v>973</v>
      </c>
      <c r="I137" s="29"/>
    </row>
    <row r="138" spans="1:10" x14ac:dyDescent="0.25">
      <c r="A138">
        <v>137</v>
      </c>
      <c r="B138" s="10" t="s">
        <v>1002</v>
      </c>
      <c r="C138" s="158">
        <v>0.1</v>
      </c>
      <c r="D138" s="10" t="s">
        <v>378</v>
      </c>
      <c r="E138" s="11" t="s">
        <v>968</v>
      </c>
      <c r="I138" s="29">
        <v>39861</v>
      </c>
      <c r="J138" t="s">
        <v>1003</v>
      </c>
    </row>
    <row r="139" spans="1:10" x14ac:dyDescent="0.25">
      <c r="A139">
        <v>138</v>
      </c>
      <c r="B139" s="10" t="s">
        <v>1004</v>
      </c>
      <c r="C139" s="158">
        <v>0.1</v>
      </c>
      <c r="D139" s="10" t="s">
        <v>378</v>
      </c>
      <c r="E139" s="11" t="s">
        <v>968</v>
      </c>
      <c r="I139" s="29">
        <v>39861</v>
      </c>
      <c r="J139" t="s">
        <v>1003</v>
      </c>
    </row>
    <row r="140" spans="1:10" x14ac:dyDescent="0.25">
      <c r="A140">
        <v>139</v>
      </c>
      <c r="B140" s="10" t="s">
        <v>1005</v>
      </c>
      <c r="C140" s="158">
        <v>0.01</v>
      </c>
      <c r="D140" s="10" t="s">
        <v>378</v>
      </c>
      <c r="E140" s="11" t="s">
        <v>968</v>
      </c>
      <c r="F140" s="6"/>
      <c r="G140" s="6"/>
      <c r="H140" s="6" t="s">
        <v>977</v>
      </c>
      <c r="I140" s="29">
        <v>40475</v>
      </c>
      <c r="J140" t="s">
        <v>1424</v>
      </c>
    </row>
    <row r="141" spans="1:10" ht="30" x14ac:dyDescent="0.25">
      <c r="A141">
        <v>140</v>
      </c>
      <c r="B141" s="10" t="s">
        <v>1006</v>
      </c>
      <c r="C141" s="158">
        <v>0.02</v>
      </c>
      <c r="D141" s="10" t="s">
        <v>452</v>
      </c>
      <c r="E141" s="11" t="s">
        <v>1007</v>
      </c>
      <c r="F141" s="6"/>
      <c r="G141" s="6"/>
      <c r="H141" s="6"/>
      <c r="I141" s="29">
        <v>39898</v>
      </c>
      <c r="J141" s="6" t="s">
        <v>1008</v>
      </c>
    </row>
    <row r="142" spans="1:10" x14ac:dyDescent="0.25">
      <c r="A142">
        <v>141</v>
      </c>
      <c r="B142" s="10" t="s">
        <v>1009</v>
      </c>
      <c r="C142" s="158">
        <v>0.25</v>
      </c>
      <c r="D142" s="10" t="s">
        <v>1010</v>
      </c>
      <c r="E142" s="6" t="s">
        <v>1011</v>
      </c>
      <c r="F142" s="6"/>
      <c r="G142" s="6"/>
      <c r="H142" s="6"/>
      <c r="I142" s="29"/>
    </row>
    <row r="143" spans="1:10" x14ac:dyDescent="0.25">
      <c r="A143">
        <v>142</v>
      </c>
      <c r="B143" s="10" t="s">
        <v>1012</v>
      </c>
      <c r="C143" s="158">
        <v>0.03</v>
      </c>
      <c r="D143" s="10" t="s">
        <v>375</v>
      </c>
      <c r="E143" s="10" t="s">
        <v>1011</v>
      </c>
      <c r="F143" s="6"/>
      <c r="G143" s="6"/>
      <c r="H143" s="6"/>
      <c r="I143" s="29"/>
    </row>
    <row r="144" spans="1:10" ht="19.5" customHeight="1" x14ac:dyDescent="0.25">
      <c r="A144">
        <v>143</v>
      </c>
      <c r="B144" s="10" t="s">
        <v>1013</v>
      </c>
      <c r="C144" s="158">
        <v>0.2</v>
      </c>
      <c r="D144" s="10" t="s">
        <v>378</v>
      </c>
      <c r="E144" s="6" t="s">
        <v>1011</v>
      </c>
      <c r="I144" s="29">
        <v>39861</v>
      </c>
      <c r="J144" t="s">
        <v>1014</v>
      </c>
    </row>
    <row r="145" spans="1:10" x14ac:dyDescent="0.25">
      <c r="A145">
        <v>144</v>
      </c>
      <c r="B145" s="10" t="s">
        <v>1015</v>
      </c>
      <c r="C145" s="158">
        <v>0.25</v>
      </c>
      <c r="D145" s="10" t="s">
        <v>993</v>
      </c>
      <c r="E145" s="6" t="s">
        <v>1011</v>
      </c>
      <c r="F145" s="6"/>
      <c r="G145" s="6"/>
      <c r="H145" s="6"/>
      <c r="I145" s="6"/>
    </row>
    <row r="146" spans="1:10" x14ac:dyDescent="0.25">
      <c r="A146">
        <v>145</v>
      </c>
      <c r="B146" s="10" t="s">
        <v>1016</v>
      </c>
      <c r="C146" s="158">
        <v>0.03</v>
      </c>
      <c r="D146" s="10" t="s">
        <v>375</v>
      </c>
      <c r="E146" s="6" t="s">
        <v>1011</v>
      </c>
      <c r="F146" s="6"/>
      <c r="G146" s="6"/>
      <c r="H146" s="6"/>
      <c r="I146" s="6"/>
    </row>
    <row r="147" spans="1:10" x14ac:dyDescent="0.25">
      <c r="A147">
        <v>146</v>
      </c>
      <c r="B147" s="10" t="s">
        <v>1017</v>
      </c>
      <c r="C147" s="158">
        <v>0.75</v>
      </c>
      <c r="D147" s="10" t="s">
        <v>1010</v>
      </c>
      <c r="E147" s="6" t="s">
        <v>1018</v>
      </c>
      <c r="F147" s="6"/>
      <c r="G147" s="6"/>
      <c r="H147" s="6"/>
      <c r="I147" s="6"/>
    </row>
    <row r="148" spans="1:10" x14ac:dyDescent="0.25">
      <c r="A148">
        <v>147</v>
      </c>
      <c r="B148" s="10" t="s">
        <v>1019</v>
      </c>
      <c r="C148" s="158">
        <v>0.15</v>
      </c>
      <c r="D148" s="10" t="s">
        <v>378</v>
      </c>
      <c r="E148" s="6" t="s">
        <v>1018</v>
      </c>
      <c r="F148" s="6"/>
      <c r="G148" s="6"/>
      <c r="H148" s="6"/>
      <c r="I148" s="29">
        <v>39837</v>
      </c>
      <c r="J148" t="s">
        <v>1020</v>
      </c>
    </row>
    <row r="149" spans="1:10" x14ac:dyDescent="0.25">
      <c r="A149">
        <v>148</v>
      </c>
      <c r="B149" s="10" t="s">
        <v>1021</v>
      </c>
      <c r="C149" s="158">
        <v>0.75</v>
      </c>
      <c r="D149" s="10" t="s">
        <v>1022</v>
      </c>
      <c r="E149" s="6" t="s">
        <v>1018</v>
      </c>
      <c r="F149" s="6"/>
      <c r="G149" s="6"/>
      <c r="H149" s="6"/>
      <c r="I149" s="6"/>
      <c r="J149" t="s">
        <v>1023</v>
      </c>
    </row>
    <row r="150" spans="1:10" x14ac:dyDescent="0.25">
      <c r="A150">
        <v>149</v>
      </c>
      <c r="B150" s="10" t="s">
        <v>1024</v>
      </c>
      <c r="C150" s="158">
        <v>0.45</v>
      </c>
      <c r="D150" s="10" t="s">
        <v>1022</v>
      </c>
      <c r="E150" s="1" t="s">
        <v>1018</v>
      </c>
      <c r="I150" s="29">
        <v>39868</v>
      </c>
      <c r="J150" t="s">
        <v>1025</v>
      </c>
    </row>
    <row r="151" spans="1:10" x14ac:dyDescent="0.25">
      <c r="A151">
        <v>150</v>
      </c>
      <c r="B151" s="10" t="s">
        <v>1026</v>
      </c>
      <c r="C151" s="158">
        <v>0.38</v>
      </c>
      <c r="D151" s="10" t="s">
        <v>378</v>
      </c>
      <c r="E151" s="6" t="s">
        <v>1018</v>
      </c>
      <c r="F151" s="6"/>
      <c r="G151" s="6"/>
      <c r="H151" s="6"/>
      <c r="I151" s="29">
        <v>39837</v>
      </c>
      <c r="J151" t="s">
        <v>1027</v>
      </c>
    </row>
    <row r="152" spans="1:10" x14ac:dyDescent="0.25">
      <c r="A152">
        <v>201</v>
      </c>
      <c r="B152" s="10" t="s">
        <v>1629</v>
      </c>
      <c r="C152" s="158">
        <v>10</v>
      </c>
      <c r="D152" s="10" t="s">
        <v>204</v>
      </c>
      <c r="E152" s="6" t="s">
        <v>830</v>
      </c>
      <c r="F152" s="6" t="s">
        <v>831</v>
      </c>
      <c r="G152" s="6"/>
      <c r="H152" s="6"/>
      <c r="I152" s="29">
        <v>40998</v>
      </c>
    </row>
    <row r="153" spans="1:10" x14ac:dyDescent="0.25">
      <c r="A153">
        <v>202</v>
      </c>
      <c r="B153" s="10" t="s">
        <v>1630</v>
      </c>
      <c r="C153" s="158">
        <v>50</v>
      </c>
      <c r="D153" s="10" t="s">
        <v>33</v>
      </c>
      <c r="E153" s="6" t="s">
        <v>919</v>
      </c>
      <c r="I153">
        <v>40991</v>
      </c>
      <c r="J153" t="s">
        <v>1631</v>
      </c>
    </row>
  </sheetData>
  <autoFilter ref="A2:J2">
    <sortState ref="A3:J154">
      <sortCondition ref="A2"/>
    </sortState>
  </autoFilter>
  <dataConsolid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E33"/>
  <sheetViews>
    <sheetView workbookViewId="0">
      <pane xSplit="1" ySplit="2" topLeftCell="B3" activePane="bottomRight" state="frozen"/>
      <selection activeCell="B3" sqref="B3"/>
      <selection pane="topRight" activeCell="B3" sqref="B3"/>
      <selection pane="bottomLeft" activeCell="B3" sqref="B3"/>
      <selection pane="bottomRight" activeCell="C27" sqref="C27"/>
    </sheetView>
  </sheetViews>
  <sheetFormatPr baseColWidth="10" defaultColWidth="28.28515625" defaultRowHeight="15" x14ac:dyDescent="0.25"/>
  <cols>
    <col min="1" max="1" width="18.7109375" bestFit="1" customWidth="1"/>
    <col min="2" max="2" width="31.42578125" bestFit="1" customWidth="1"/>
    <col min="3" max="3" width="9.85546875" bestFit="1" customWidth="1"/>
    <col min="4" max="4" width="19.42578125" bestFit="1" customWidth="1"/>
    <col min="5" max="5" width="40.42578125" bestFit="1" customWidth="1"/>
    <col min="6" max="6" width="6.5703125" bestFit="1" customWidth="1"/>
    <col min="7" max="7" width="6.28515625" bestFit="1" customWidth="1"/>
  </cols>
  <sheetData>
    <row r="1" spans="1:5" x14ac:dyDescent="0.25">
      <c r="A1" t="s">
        <v>1578</v>
      </c>
    </row>
    <row r="2" spans="1:5" x14ac:dyDescent="0.25">
      <c r="A2" s="5" t="s">
        <v>1028</v>
      </c>
      <c r="B2" s="5" t="s">
        <v>1029</v>
      </c>
      <c r="C2" s="5" t="s">
        <v>1030</v>
      </c>
      <c r="D2" s="5" t="s">
        <v>1031</v>
      </c>
      <c r="E2" s="5" t="s">
        <v>29</v>
      </c>
    </row>
    <row r="3" spans="1:5" x14ac:dyDescent="0.25">
      <c r="A3" s="9">
        <v>1</v>
      </c>
      <c r="B3" s="10" t="s">
        <v>1032</v>
      </c>
      <c r="C3" s="28">
        <v>1.25</v>
      </c>
      <c r="D3" t="s">
        <v>925</v>
      </c>
    </row>
    <row r="4" spans="1:5" x14ac:dyDescent="0.25">
      <c r="A4" s="9">
        <v>2</v>
      </c>
      <c r="B4" s="10" t="s">
        <v>1033</v>
      </c>
      <c r="C4" s="28">
        <v>0.8</v>
      </c>
      <c r="D4" t="s">
        <v>925</v>
      </c>
      <c r="E4" t="s">
        <v>1034</v>
      </c>
    </row>
    <row r="5" spans="1:5" x14ac:dyDescent="0.25">
      <c r="A5" s="9">
        <v>3</v>
      </c>
      <c r="B5" s="10" t="s">
        <v>1035</v>
      </c>
      <c r="C5" s="28">
        <v>1.25</v>
      </c>
      <c r="D5" t="s">
        <v>901</v>
      </c>
    </row>
    <row r="6" spans="1:5" x14ac:dyDescent="0.25">
      <c r="A6" s="9">
        <v>4</v>
      </c>
      <c r="B6" s="6" t="s">
        <v>1036</v>
      </c>
      <c r="C6" s="28">
        <v>1.5</v>
      </c>
      <c r="D6" t="s">
        <v>901</v>
      </c>
    </row>
    <row r="7" spans="1:5" x14ac:dyDescent="0.25">
      <c r="A7" s="9">
        <v>5</v>
      </c>
      <c r="B7" s="6" t="s">
        <v>1037</v>
      </c>
      <c r="C7" s="28">
        <v>1.5</v>
      </c>
      <c r="D7" t="s">
        <v>1038</v>
      </c>
    </row>
    <row r="8" spans="1:5" x14ac:dyDescent="0.25">
      <c r="A8" s="9">
        <v>6</v>
      </c>
      <c r="B8" s="6" t="s">
        <v>1039</v>
      </c>
      <c r="C8" s="28">
        <v>3</v>
      </c>
      <c r="D8" t="s">
        <v>1038</v>
      </c>
    </row>
    <row r="9" spans="1:5" x14ac:dyDescent="0.25">
      <c r="A9" s="9">
        <v>7</v>
      </c>
      <c r="B9" s="10" t="s">
        <v>1040</v>
      </c>
      <c r="C9" s="28">
        <v>2</v>
      </c>
      <c r="D9" t="s">
        <v>977</v>
      </c>
    </row>
    <row r="10" spans="1:5" x14ac:dyDescent="0.25">
      <c r="A10" s="9">
        <v>8</v>
      </c>
      <c r="B10" s="10" t="s">
        <v>1041</v>
      </c>
      <c r="C10" s="28">
        <v>1</v>
      </c>
      <c r="D10" t="s">
        <v>977</v>
      </c>
    </row>
    <row r="11" spans="1:5" x14ac:dyDescent="0.25">
      <c r="A11" s="9">
        <v>9</v>
      </c>
      <c r="B11" s="10" t="s">
        <v>1042</v>
      </c>
      <c r="C11" s="28">
        <v>0.8</v>
      </c>
      <c r="D11" t="s">
        <v>977</v>
      </c>
    </row>
    <row r="12" spans="1:5" x14ac:dyDescent="0.25">
      <c r="A12" s="9">
        <v>10</v>
      </c>
      <c r="B12" s="10" t="s">
        <v>1043</v>
      </c>
      <c r="C12" s="28">
        <v>1.33</v>
      </c>
      <c r="D12" t="s">
        <v>977</v>
      </c>
    </row>
    <row r="13" spans="1:5" x14ac:dyDescent="0.25">
      <c r="A13" s="9">
        <v>11</v>
      </c>
      <c r="B13" s="10" t="s">
        <v>1044</v>
      </c>
      <c r="C13" s="28">
        <v>2.5</v>
      </c>
      <c r="D13" t="s">
        <v>977</v>
      </c>
    </row>
    <row r="14" spans="1:5" x14ac:dyDescent="0.25">
      <c r="A14" s="9">
        <v>12</v>
      </c>
      <c r="B14" s="10" t="s">
        <v>1045</v>
      </c>
      <c r="C14" s="28">
        <v>0.33</v>
      </c>
      <c r="D14" t="s">
        <v>977</v>
      </c>
    </row>
    <row r="15" spans="1:5" x14ac:dyDescent="0.25">
      <c r="A15" s="9">
        <v>13</v>
      </c>
      <c r="B15" s="10" t="s">
        <v>1046</v>
      </c>
      <c r="C15" s="28">
        <v>4</v>
      </c>
      <c r="D15" t="s">
        <v>977</v>
      </c>
    </row>
    <row r="16" spans="1:5" x14ac:dyDescent="0.25">
      <c r="A16" s="9">
        <v>14</v>
      </c>
      <c r="B16" s="10" t="s">
        <v>1047</v>
      </c>
      <c r="C16" s="28">
        <v>0.8</v>
      </c>
      <c r="D16" t="s">
        <v>977</v>
      </c>
    </row>
    <row r="17" spans="1:5" x14ac:dyDescent="0.25">
      <c r="A17" s="9">
        <v>15</v>
      </c>
      <c r="B17" s="10" t="s">
        <v>1048</v>
      </c>
      <c r="C17" s="28">
        <v>4.25</v>
      </c>
      <c r="D17" t="s">
        <v>977</v>
      </c>
    </row>
    <row r="18" spans="1:5" x14ac:dyDescent="0.25">
      <c r="A18" s="9">
        <v>16</v>
      </c>
      <c r="B18" s="11" t="s">
        <v>1049</v>
      </c>
      <c r="C18" s="28">
        <v>1.33</v>
      </c>
      <c r="D18" t="s">
        <v>977</v>
      </c>
    </row>
    <row r="19" spans="1:5" x14ac:dyDescent="0.25">
      <c r="A19" s="9">
        <v>17</v>
      </c>
      <c r="B19" s="6" t="s">
        <v>1050</v>
      </c>
      <c r="C19" s="28">
        <v>0.5</v>
      </c>
      <c r="D19" t="s">
        <v>977</v>
      </c>
    </row>
    <row r="20" spans="1:5" x14ac:dyDescent="0.25">
      <c r="A20" s="9">
        <v>18</v>
      </c>
      <c r="B20" s="6" t="s">
        <v>1051</v>
      </c>
      <c r="C20" s="28">
        <v>3.75</v>
      </c>
      <c r="D20" t="s">
        <v>977</v>
      </c>
    </row>
    <row r="21" spans="1:5" x14ac:dyDescent="0.25">
      <c r="A21" s="9">
        <v>19</v>
      </c>
      <c r="B21" s="6" t="s">
        <v>1052</v>
      </c>
      <c r="C21" s="28">
        <v>3</v>
      </c>
      <c r="D21" t="s">
        <v>977</v>
      </c>
    </row>
    <row r="22" spans="1:5" x14ac:dyDescent="0.25">
      <c r="A22" s="9">
        <v>20</v>
      </c>
      <c r="B22" s="6" t="s">
        <v>1053</v>
      </c>
      <c r="C22" s="28">
        <v>3.65</v>
      </c>
      <c r="D22" t="s">
        <v>977</v>
      </c>
    </row>
    <row r="23" spans="1:5" x14ac:dyDescent="0.25">
      <c r="A23" s="9">
        <v>21</v>
      </c>
      <c r="B23" s="6" t="s">
        <v>1054</v>
      </c>
      <c r="C23" s="28">
        <v>0.5</v>
      </c>
      <c r="D23" t="s">
        <v>977</v>
      </c>
    </row>
    <row r="24" spans="1:5" x14ac:dyDescent="0.25">
      <c r="A24" s="9">
        <v>22</v>
      </c>
      <c r="B24" s="6" t="s">
        <v>1055</v>
      </c>
      <c r="C24" s="28">
        <v>2</v>
      </c>
      <c r="E24" t="s">
        <v>1056</v>
      </c>
    </row>
    <row r="25" spans="1:5" x14ac:dyDescent="0.25">
      <c r="A25" s="9">
        <v>23</v>
      </c>
      <c r="B25" s="6" t="s">
        <v>1057</v>
      </c>
      <c r="C25" s="28">
        <v>3</v>
      </c>
      <c r="E25" t="s">
        <v>1056</v>
      </c>
    </row>
    <row r="26" spans="1:5" x14ac:dyDescent="0.25">
      <c r="A26" s="9">
        <v>24</v>
      </c>
      <c r="B26" s="6" t="s">
        <v>1058</v>
      </c>
      <c r="C26" s="28">
        <v>4</v>
      </c>
      <c r="E26" t="s">
        <v>1056</v>
      </c>
    </row>
    <row r="27" spans="1:5" x14ac:dyDescent="0.25">
      <c r="A27" s="9">
        <v>25</v>
      </c>
      <c r="B27" s="6" t="s">
        <v>1059</v>
      </c>
      <c r="C27" s="28">
        <v>5</v>
      </c>
      <c r="E27" t="s">
        <v>1056</v>
      </c>
    </row>
    <row r="28" spans="1:5" x14ac:dyDescent="0.25">
      <c r="A28" s="9">
        <v>26</v>
      </c>
      <c r="B28" s="6" t="s">
        <v>1060</v>
      </c>
      <c r="C28" s="28">
        <v>6</v>
      </c>
      <c r="E28" t="s">
        <v>1056</v>
      </c>
    </row>
    <row r="29" spans="1:5" x14ac:dyDescent="0.25">
      <c r="A29" s="9">
        <v>27</v>
      </c>
      <c r="B29" s="6" t="s">
        <v>1061</v>
      </c>
      <c r="C29" s="28">
        <v>7</v>
      </c>
      <c r="E29" t="s">
        <v>1056</v>
      </c>
    </row>
    <row r="30" spans="1:5" x14ac:dyDescent="0.25">
      <c r="A30" s="9">
        <v>28</v>
      </c>
      <c r="B30" s="6" t="s">
        <v>1062</v>
      </c>
      <c r="C30" s="28">
        <v>8</v>
      </c>
      <c r="E30" t="s">
        <v>1056</v>
      </c>
    </row>
    <row r="31" spans="1:5" x14ac:dyDescent="0.25">
      <c r="A31" s="9">
        <v>29</v>
      </c>
      <c r="B31" s="6" t="s">
        <v>1063</v>
      </c>
      <c r="C31" s="28">
        <v>9</v>
      </c>
      <c r="E31" t="s">
        <v>1056</v>
      </c>
    </row>
    <row r="32" spans="1:5" x14ac:dyDescent="0.25">
      <c r="A32" s="9">
        <v>30</v>
      </c>
      <c r="B32" s="6" t="s">
        <v>1064</v>
      </c>
      <c r="C32" s="28">
        <v>10</v>
      </c>
      <c r="E32" t="s">
        <v>1056</v>
      </c>
    </row>
    <row r="33" spans="3:3" x14ac:dyDescent="0.25">
      <c r="C33" s="28"/>
    </row>
  </sheetData>
  <pageMargins left="0.7" right="0.7" top="0.75" bottom="0.75" header="0.3" footer="0.3"/>
  <pageSetup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U304"/>
  <sheetViews>
    <sheetView workbookViewId="0">
      <pane ySplit="1200" activePane="bottomLeft"/>
      <selection activeCell="A804" sqref="A804"/>
      <selection pane="bottomLeft" activeCell="A804" sqref="A804"/>
    </sheetView>
  </sheetViews>
  <sheetFormatPr baseColWidth="10" defaultColWidth="9.140625" defaultRowHeight="15" x14ac:dyDescent="0.25"/>
  <cols>
    <col min="1" max="1" width="11" style="2" customWidth="1"/>
    <col min="2" max="2" width="38.85546875" style="2" customWidth="1"/>
    <col min="3" max="3" width="13.42578125" style="2" customWidth="1"/>
    <col min="4" max="4" width="8" style="2" customWidth="1"/>
    <col min="5" max="5" width="10" style="2" customWidth="1"/>
    <col min="6" max="6" width="8.28515625" style="2" customWidth="1"/>
    <col min="7" max="7" width="12.140625" style="2" hidden="1" customWidth="1"/>
    <col min="8" max="8" width="22.85546875" style="2" hidden="1" customWidth="1"/>
    <col min="9" max="10" width="11.5703125" style="2" customWidth="1"/>
    <col min="11" max="11" width="46.42578125" style="2" customWidth="1"/>
    <col min="12" max="12" width="19.85546875" style="2" hidden="1" customWidth="1"/>
    <col min="13" max="13" width="15.140625" style="2" hidden="1" customWidth="1"/>
    <col min="14" max="14" width="9.42578125" style="2" customWidth="1"/>
    <col min="15" max="15" width="14" style="2" customWidth="1"/>
    <col min="16" max="16" width="20.42578125" style="2" bestFit="1" customWidth="1"/>
    <col min="17" max="17" width="5.5703125" style="2" customWidth="1"/>
    <col min="18" max="18" width="65.7109375" style="2" customWidth="1"/>
    <col min="19" max="256" width="9.140625" style="2"/>
    <col min="257" max="257" width="11" style="2" customWidth="1"/>
    <col min="258" max="258" width="38.85546875" style="2" customWidth="1"/>
    <col min="259" max="259" width="13.42578125" style="2" customWidth="1"/>
    <col min="260" max="260" width="8" style="2" customWidth="1"/>
    <col min="261" max="261" width="10" style="2" customWidth="1"/>
    <col min="262" max="262" width="8.28515625" style="2" customWidth="1"/>
    <col min="263" max="264" width="0" style="2" hidden="1" customWidth="1"/>
    <col min="265" max="266" width="11.5703125" style="2" customWidth="1"/>
    <col min="267" max="267" width="46.42578125" style="2" customWidth="1"/>
    <col min="268" max="269" width="0" style="2" hidden="1" customWidth="1"/>
    <col min="270" max="270" width="9.42578125" style="2" customWidth="1"/>
    <col min="271" max="271" width="14" style="2" customWidth="1"/>
    <col min="272" max="272" width="20.42578125" style="2" bestFit="1" customWidth="1"/>
    <col min="273" max="273" width="5.5703125" style="2" customWidth="1"/>
    <col min="274" max="274" width="65.7109375" style="2" customWidth="1"/>
    <col min="275" max="512" width="9.140625" style="2"/>
    <col min="513" max="513" width="11" style="2" customWidth="1"/>
    <col min="514" max="514" width="38.85546875" style="2" customWidth="1"/>
    <col min="515" max="515" width="13.42578125" style="2" customWidth="1"/>
    <col min="516" max="516" width="8" style="2" customWidth="1"/>
    <col min="517" max="517" width="10" style="2" customWidth="1"/>
    <col min="518" max="518" width="8.28515625" style="2" customWidth="1"/>
    <col min="519" max="520" width="0" style="2" hidden="1" customWidth="1"/>
    <col min="521" max="522" width="11.5703125" style="2" customWidth="1"/>
    <col min="523" max="523" width="46.42578125" style="2" customWidth="1"/>
    <col min="524" max="525" width="0" style="2" hidden="1" customWidth="1"/>
    <col min="526" max="526" width="9.42578125" style="2" customWidth="1"/>
    <col min="527" max="527" width="14" style="2" customWidth="1"/>
    <col min="528" max="528" width="20.42578125" style="2" bestFit="1" customWidth="1"/>
    <col min="529" max="529" width="5.5703125" style="2" customWidth="1"/>
    <col min="530" max="530" width="65.7109375" style="2" customWidth="1"/>
    <col min="531" max="768" width="9.140625" style="2"/>
    <col min="769" max="769" width="11" style="2" customWidth="1"/>
    <col min="770" max="770" width="38.85546875" style="2" customWidth="1"/>
    <col min="771" max="771" width="13.42578125" style="2" customWidth="1"/>
    <col min="772" max="772" width="8" style="2" customWidth="1"/>
    <col min="773" max="773" width="10" style="2" customWidth="1"/>
    <col min="774" max="774" width="8.28515625" style="2" customWidth="1"/>
    <col min="775" max="776" width="0" style="2" hidden="1" customWidth="1"/>
    <col min="777" max="778" width="11.5703125" style="2" customWidth="1"/>
    <col min="779" max="779" width="46.42578125" style="2" customWidth="1"/>
    <col min="780" max="781" width="0" style="2" hidden="1" customWidth="1"/>
    <col min="782" max="782" width="9.42578125" style="2" customWidth="1"/>
    <col min="783" max="783" width="14" style="2" customWidth="1"/>
    <col min="784" max="784" width="20.42578125" style="2" bestFit="1" customWidth="1"/>
    <col min="785" max="785" width="5.5703125" style="2" customWidth="1"/>
    <col min="786" max="786" width="65.7109375" style="2" customWidth="1"/>
    <col min="787" max="1024" width="9.140625" style="2"/>
    <col min="1025" max="1025" width="11" style="2" customWidth="1"/>
    <col min="1026" max="1026" width="38.85546875" style="2" customWidth="1"/>
    <col min="1027" max="1027" width="13.42578125" style="2" customWidth="1"/>
    <col min="1028" max="1028" width="8" style="2" customWidth="1"/>
    <col min="1029" max="1029" width="10" style="2" customWidth="1"/>
    <col min="1030" max="1030" width="8.28515625" style="2" customWidth="1"/>
    <col min="1031" max="1032" width="0" style="2" hidden="1" customWidth="1"/>
    <col min="1033" max="1034" width="11.5703125" style="2" customWidth="1"/>
    <col min="1035" max="1035" width="46.42578125" style="2" customWidth="1"/>
    <col min="1036" max="1037" width="0" style="2" hidden="1" customWidth="1"/>
    <col min="1038" max="1038" width="9.42578125" style="2" customWidth="1"/>
    <col min="1039" max="1039" width="14" style="2" customWidth="1"/>
    <col min="1040" max="1040" width="20.42578125" style="2" bestFit="1" customWidth="1"/>
    <col min="1041" max="1041" width="5.5703125" style="2" customWidth="1"/>
    <col min="1042" max="1042" width="65.7109375" style="2" customWidth="1"/>
    <col min="1043" max="1280" width="9.140625" style="2"/>
    <col min="1281" max="1281" width="11" style="2" customWidth="1"/>
    <col min="1282" max="1282" width="38.85546875" style="2" customWidth="1"/>
    <col min="1283" max="1283" width="13.42578125" style="2" customWidth="1"/>
    <col min="1284" max="1284" width="8" style="2" customWidth="1"/>
    <col min="1285" max="1285" width="10" style="2" customWidth="1"/>
    <col min="1286" max="1286" width="8.28515625" style="2" customWidth="1"/>
    <col min="1287" max="1288" width="0" style="2" hidden="1" customWidth="1"/>
    <col min="1289" max="1290" width="11.5703125" style="2" customWidth="1"/>
    <col min="1291" max="1291" width="46.42578125" style="2" customWidth="1"/>
    <col min="1292" max="1293" width="0" style="2" hidden="1" customWidth="1"/>
    <col min="1294" max="1294" width="9.42578125" style="2" customWidth="1"/>
    <col min="1295" max="1295" width="14" style="2" customWidth="1"/>
    <col min="1296" max="1296" width="20.42578125" style="2" bestFit="1" customWidth="1"/>
    <col min="1297" max="1297" width="5.5703125" style="2" customWidth="1"/>
    <col min="1298" max="1298" width="65.7109375" style="2" customWidth="1"/>
    <col min="1299" max="1536" width="9.140625" style="2"/>
    <col min="1537" max="1537" width="11" style="2" customWidth="1"/>
    <col min="1538" max="1538" width="38.85546875" style="2" customWidth="1"/>
    <col min="1539" max="1539" width="13.42578125" style="2" customWidth="1"/>
    <col min="1540" max="1540" width="8" style="2" customWidth="1"/>
    <col min="1541" max="1541" width="10" style="2" customWidth="1"/>
    <col min="1542" max="1542" width="8.28515625" style="2" customWidth="1"/>
    <col min="1543" max="1544" width="0" style="2" hidden="1" customWidth="1"/>
    <col min="1545" max="1546" width="11.5703125" style="2" customWidth="1"/>
    <col min="1547" max="1547" width="46.42578125" style="2" customWidth="1"/>
    <col min="1548" max="1549" width="0" style="2" hidden="1" customWidth="1"/>
    <col min="1550" max="1550" width="9.42578125" style="2" customWidth="1"/>
    <col min="1551" max="1551" width="14" style="2" customWidth="1"/>
    <col min="1552" max="1552" width="20.42578125" style="2" bestFit="1" customWidth="1"/>
    <col min="1553" max="1553" width="5.5703125" style="2" customWidth="1"/>
    <col min="1554" max="1554" width="65.7109375" style="2" customWidth="1"/>
    <col min="1555" max="1792" width="9.140625" style="2"/>
    <col min="1793" max="1793" width="11" style="2" customWidth="1"/>
    <col min="1794" max="1794" width="38.85546875" style="2" customWidth="1"/>
    <col min="1795" max="1795" width="13.42578125" style="2" customWidth="1"/>
    <col min="1796" max="1796" width="8" style="2" customWidth="1"/>
    <col min="1797" max="1797" width="10" style="2" customWidth="1"/>
    <col min="1798" max="1798" width="8.28515625" style="2" customWidth="1"/>
    <col min="1799" max="1800" width="0" style="2" hidden="1" customWidth="1"/>
    <col min="1801" max="1802" width="11.5703125" style="2" customWidth="1"/>
    <col min="1803" max="1803" width="46.42578125" style="2" customWidth="1"/>
    <col min="1804" max="1805" width="0" style="2" hidden="1" customWidth="1"/>
    <col min="1806" max="1806" width="9.42578125" style="2" customWidth="1"/>
    <col min="1807" max="1807" width="14" style="2" customWidth="1"/>
    <col min="1808" max="1808" width="20.42578125" style="2" bestFit="1" customWidth="1"/>
    <col min="1809" max="1809" width="5.5703125" style="2" customWidth="1"/>
    <col min="1810" max="1810" width="65.7109375" style="2" customWidth="1"/>
    <col min="1811" max="2048" width="9.140625" style="2"/>
    <col min="2049" max="2049" width="11" style="2" customWidth="1"/>
    <col min="2050" max="2050" width="38.85546875" style="2" customWidth="1"/>
    <col min="2051" max="2051" width="13.42578125" style="2" customWidth="1"/>
    <col min="2052" max="2052" width="8" style="2" customWidth="1"/>
    <col min="2053" max="2053" width="10" style="2" customWidth="1"/>
    <col min="2054" max="2054" width="8.28515625" style="2" customWidth="1"/>
    <col min="2055" max="2056" width="0" style="2" hidden="1" customWidth="1"/>
    <col min="2057" max="2058" width="11.5703125" style="2" customWidth="1"/>
    <col min="2059" max="2059" width="46.42578125" style="2" customWidth="1"/>
    <col min="2060" max="2061" width="0" style="2" hidden="1" customWidth="1"/>
    <col min="2062" max="2062" width="9.42578125" style="2" customWidth="1"/>
    <col min="2063" max="2063" width="14" style="2" customWidth="1"/>
    <col min="2064" max="2064" width="20.42578125" style="2" bestFit="1" customWidth="1"/>
    <col min="2065" max="2065" width="5.5703125" style="2" customWidth="1"/>
    <col min="2066" max="2066" width="65.7109375" style="2" customWidth="1"/>
    <col min="2067" max="2304" width="9.140625" style="2"/>
    <col min="2305" max="2305" width="11" style="2" customWidth="1"/>
    <col min="2306" max="2306" width="38.85546875" style="2" customWidth="1"/>
    <col min="2307" max="2307" width="13.42578125" style="2" customWidth="1"/>
    <col min="2308" max="2308" width="8" style="2" customWidth="1"/>
    <col min="2309" max="2309" width="10" style="2" customWidth="1"/>
    <col min="2310" max="2310" width="8.28515625" style="2" customWidth="1"/>
    <col min="2311" max="2312" width="0" style="2" hidden="1" customWidth="1"/>
    <col min="2313" max="2314" width="11.5703125" style="2" customWidth="1"/>
    <col min="2315" max="2315" width="46.42578125" style="2" customWidth="1"/>
    <col min="2316" max="2317" width="0" style="2" hidden="1" customWidth="1"/>
    <col min="2318" max="2318" width="9.42578125" style="2" customWidth="1"/>
    <col min="2319" max="2319" width="14" style="2" customWidth="1"/>
    <col min="2320" max="2320" width="20.42578125" style="2" bestFit="1" customWidth="1"/>
    <col min="2321" max="2321" width="5.5703125" style="2" customWidth="1"/>
    <col min="2322" max="2322" width="65.7109375" style="2" customWidth="1"/>
    <col min="2323" max="2560" width="9.140625" style="2"/>
    <col min="2561" max="2561" width="11" style="2" customWidth="1"/>
    <col min="2562" max="2562" width="38.85546875" style="2" customWidth="1"/>
    <col min="2563" max="2563" width="13.42578125" style="2" customWidth="1"/>
    <col min="2564" max="2564" width="8" style="2" customWidth="1"/>
    <col min="2565" max="2565" width="10" style="2" customWidth="1"/>
    <col min="2566" max="2566" width="8.28515625" style="2" customWidth="1"/>
    <col min="2567" max="2568" width="0" style="2" hidden="1" customWidth="1"/>
    <col min="2569" max="2570" width="11.5703125" style="2" customWidth="1"/>
    <col min="2571" max="2571" width="46.42578125" style="2" customWidth="1"/>
    <col min="2572" max="2573" width="0" style="2" hidden="1" customWidth="1"/>
    <col min="2574" max="2574" width="9.42578125" style="2" customWidth="1"/>
    <col min="2575" max="2575" width="14" style="2" customWidth="1"/>
    <col min="2576" max="2576" width="20.42578125" style="2" bestFit="1" customWidth="1"/>
    <col min="2577" max="2577" width="5.5703125" style="2" customWidth="1"/>
    <col min="2578" max="2578" width="65.7109375" style="2" customWidth="1"/>
    <col min="2579" max="2816" width="9.140625" style="2"/>
    <col min="2817" max="2817" width="11" style="2" customWidth="1"/>
    <col min="2818" max="2818" width="38.85546875" style="2" customWidth="1"/>
    <col min="2819" max="2819" width="13.42578125" style="2" customWidth="1"/>
    <col min="2820" max="2820" width="8" style="2" customWidth="1"/>
    <col min="2821" max="2821" width="10" style="2" customWidth="1"/>
    <col min="2822" max="2822" width="8.28515625" style="2" customWidth="1"/>
    <col min="2823" max="2824" width="0" style="2" hidden="1" customWidth="1"/>
    <col min="2825" max="2826" width="11.5703125" style="2" customWidth="1"/>
    <col min="2827" max="2827" width="46.42578125" style="2" customWidth="1"/>
    <col min="2828" max="2829" width="0" style="2" hidden="1" customWidth="1"/>
    <col min="2830" max="2830" width="9.42578125" style="2" customWidth="1"/>
    <col min="2831" max="2831" width="14" style="2" customWidth="1"/>
    <col min="2832" max="2832" width="20.42578125" style="2" bestFit="1" customWidth="1"/>
    <col min="2833" max="2833" width="5.5703125" style="2" customWidth="1"/>
    <col min="2834" max="2834" width="65.7109375" style="2" customWidth="1"/>
    <col min="2835" max="3072" width="9.140625" style="2"/>
    <col min="3073" max="3073" width="11" style="2" customWidth="1"/>
    <col min="3074" max="3074" width="38.85546875" style="2" customWidth="1"/>
    <col min="3075" max="3075" width="13.42578125" style="2" customWidth="1"/>
    <col min="3076" max="3076" width="8" style="2" customWidth="1"/>
    <col min="3077" max="3077" width="10" style="2" customWidth="1"/>
    <col min="3078" max="3078" width="8.28515625" style="2" customWidth="1"/>
    <col min="3079" max="3080" width="0" style="2" hidden="1" customWidth="1"/>
    <col min="3081" max="3082" width="11.5703125" style="2" customWidth="1"/>
    <col min="3083" max="3083" width="46.42578125" style="2" customWidth="1"/>
    <col min="3084" max="3085" width="0" style="2" hidden="1" customWidth="1"/>
    <col min="3086" max="3086" width="9.42578125" style="2" customWidth="1"/>
    <col min="3087" max="3087" width="14" style="2" customWidth="1"/>
    <col min="3088" max="3088" width="20.42578125" style="2" bestFit="1" customWidth="1"/>
    <col min="3089" max="3089" width="5.5703125" style="2" customWidth="1"/>
    <col min="3090" max="3090" width="65.7109375" style="2" customWidth="1"/>
    <col min="3091" max="3328" width="9.140625" style="2"/>
    <col min="3329" max="3329" width="11" style="2" customWidth="1"/>
    <col min="3330" max="3330" width="38.85546875" style="2" customWidth="1"/>
    <col min="3331" max="3331" width="13.42578125" style="2" customWidth="1"/>
    <col min="3332" max="3332" width="8" style="2" customWidth="1"/>
    <col min="3333" max="3333" width="10" style="2" customWidth="1"/>
    <col min="3334" max="3334" width="8.28515625" style="2" customWidth="1"/>
    <col min="3335" max="3336" width="0" style="2" hidden="1" customWidth="1"/>
    <col min="3337" max="3338" width="11.5703125" style="2" customWidth="1"/>
    <col min="3339" max="3339" width="46.42578125" style="2" customWidth="1"/>
    <col min="3340" max="3341" width="0" style="2" hidden="1" customWidth="1"/>
    <col min="3342" max="3342" width="9.42578125" style="2" customWidth="1"/>
    <col min="3343" max="3343" width="14" style="2" customWidth="1"/>
    <col min="3344" max="3344" width="20.42578125" style="2" bestFit="1" customWidth="1"/>
    <col min="3345" max="3345" width="5.5703125" style="2" customWidth="1"/>
    <col min="3346" max="3346" width="65.7109375" style="2" customWidth="1"/>
    <col min="3347" max="3584" width="9.140625" style="2"/>
    <col min="3585" max="3585" width="11" style="2" customWidth="1"/>
    <col min="3586" max="3586" width="38.85546875" style="2" customWidth="1"/>
    <col min="3587" max="3587" width="13.42578125" style="2" customWidth="1"/>
    <col min="3588" max="3588" width="8" style="2" customWidth="1"/>
    <col min="3589" max="3589" width="10" style="2" customWidth="1"/>
    <col min="3590" max="3590" width="8.28515625" style="2" customWidth="1"/>
    <col min="3591" max="3592" width="0" style="2" hidden="1" customWidth="1"/>
    <col min="3593" max="3594" width="11.5703125" style="2" customWidth="1"/>
    <col min="3595" max="3595" width="46.42578125" style="2" customWidth="1"/>
    <col min="3596" max="3597" width="0" style="2" hidden="1" customWidth="1"/>
    <col min="3598" max="3598" width="9.42578125" style="2" customWidth="1"/>
    <col min="3599" max="3599" width="14" style="2" customWidth="1"/>
    <col min="3600" max="3600" width="20.42578125" style="2" bestFit="1" customWidth="1"/>
    <col min="3601" max="3601" width="5.5703125" style="2" customWidth="1"/>
    <col min="3602" max="3602" width="65.7109375" style="2" customWidth="1"/>
    <col min="3603" max="3840" width="9.140625" style="2"/>
    <col min="3841" max="3841" width="11" style="2" customWidth="1"/>
    <col min="3842" max="3842" width="38.85546875" style="2" customWidth="1"/>
    <col min="3843" max="3843" width="13.42578125" style="2" customWidth="1"/>
    <col min="3844" max="3844" width="8" style="2" customWidth="1"/>
    <col min="3845" max="3845" width="10" style="2" customWidth="1"/>
    <col min="3846" max="3846" width="8.28515625" style="2" customWidth="1"/>
    <col min="3847" max="3848" width="0" style="2" hidden="1" customWidth="1"/>
    <col min="3849" max="3850" width="11.5703125" style="2" customWidth="1"/>
    <col min="3851" max="3851" width="46.42578125" style="2" customWidth="1"/>
    <col min="3852" max="3853" width="0" style="2" hidden="1" customWidth="1"/>
    <col min="3854" max="3854" width="9.42578125" style="2" customWidth="1"/>
    <col min="3855" max="3855" width="14" style="2" customWidth="1"/>
    <col min="3856" max="3856" width="20.42578125" style="2" bestFit="1" customWidth="1"/>
    <col min="3857" max="3857" width="5.5703125" style="2" customWidth="1"/>
    <col min="3858" max="3858" width="65.7109375" style="2" customWidth="1"/>
    <col min="3859" max="4096" width="9.140625" style="2"/>
    <col min="4097" max="4097" width="11" style="2" customWidth="1"/>
    <col min="4098" max="4098" width="38.85546875" style="2" customWidth="1"/>
    <col min="4099" max="4099" width="13.42578125" style="2" customWidth="1"/>
    <col min="4100" max="4100" width="8" style="2" customWidth="1"/>
    <col min="4101" max="4101" width="10" style="2" customWidth="1"/>
    <col min="4102" max="4102" width="8.28515625" style="2" customWidth="1"/>
    <col min="4103" max="4104" width="0" style="2" hidden="1" customWidth="1"/>
    <col min="4105" max="4106" width="11.5703125" style="2" customWidth="1"/>
    <col min="4107" max="4107" width="46.42578125" style="2" customWidth="1"/>
    <col min="4108" max="4109" width="0" style="2" hidden="1" customWidth="1"/>
    <col min="4110" max="4110" width="9.42578125" style="2" customWidth="1"/>
    <col min="4111" max="4111" width="14" style="2" customWidth="1"/>
    <col min="4112" max="4112" width="20.42578125" style="2" bestFit="1" customWidth="1"/>
    <col min="4113" max="4113" width="5.5703125" style="2" customWidth="1"/>
    <col min="4114" max="4114" width="65.7109375" style="2" customWidth="1"/>
    <col min="4115" max="4352" width="9.140625" style="2"/>
    <col min="4353" max="4353" width="11" style="2" customWidth="1"/>
    <col min="4354" max="4354" width="38.85546875" style="2" customWidth="1"/>
    <col min="4355" max="4355" width="13.42578125" style="2" customWidth="1"/>
    <col min="4356" max="4356" width="8" style="2" customWidth="1"/>
    <col min="4357" max="4357" width="10" style="2" customWidth="1"/>
    <col min="4358" max="4358" width="8.28515625" style="2" customWidth="1"/>
    <col min="4359" max="4360" width="0" style="2" hidden="1" customWidth="1"/>
    <col min="4361" max="4362" width="11.5703125" style="2" customWidth="1"/>
    <col min="4363" max="4363" width="46.42578125" style="2" customWidth="1"/>
    <col min="4364" max="4365" width="0" style="2" hidden="1" customWidth="1"/>
    <col min="4366" max="4366" width="9.42578125" style="2" customWidth="1"/>
    <col min="4367" max="4367" width="14" style="2" customWidth="1"/>
    <col min="4368" max="4368" width="20.42578125" style="2" bestFit="1" customWidth="1"/>
    <col min="4369" max="4369" width="5.5703125" style="2" customWidth="1"/>
    <col min="4370" max="4370" width="65.7109375" style="2" customWidth="1"/>
    <col min="4371" max="4608" width="9.140625" style="2"/>
    <col min="4609" max="4609" width="11" style="2" customWidth="1"/>
    <col min="4610" max="4610" width="38.85546875" style="2" customWidth="1"/>
    <col min="4611" max="4611" width="13.42578125" style="2" customWidth="1"/>
    <col min="4612" max="4612" width="8" style="2" customWidth="1"/>
    <col min="4613" max="4613" width="10" style="2" customWidth="1"/>
    <col min="4614" max="4614" width="8.28515625" style="2" customWidth="1"/>
    <col min="4615" max="4616" width="0" style="2" hidden="1" customWidth="1"/>
    <col min="4617" max="4618" width="11.5703125" style="2" customWidth="1"/>
    <col min="4619" max="4619" width="46.42578125" style="2" customWidth="1"/>
    <col min="4620" max="4621" width="0" style="2" hidden="1" customWidth="1"/>
    <col min="4622" max="4622" width="9.42578125" style="2" customWidth="1"/>
    <col min="4623" max="4623" width="14" style="2" customWidth="1"/>
    <col min="4624" max="4624" width="20.42578125" style="2" bestFit="1" customWidth="1"/>
    <col min="4625" max="4625" width="5.5703125" style="2" customWidth="1"/>
    <col min="4626" max="4626" width="65.7109375" style="2" customWidth="1"/>
    <col min="4627" max="4864" width="9.140625" style="2"/>
    <col min="4865" max="4865" width="11" style="2" customWidth="1"/>
    <col min="4866" max="4866" width="38.85546875" style="2" customWidth="1"/>
    <col min="4867" max="4867" width="13.42578125" style="2" customWidth="1"/>
    <col min="4868" max="4868" width="8" style="2" customWidth="1"/>
    <col min="4869" max="4869" width="10" style="2" customWidth="1"/>
    <col min="4870" max="4870" width="8.28515625" style="2" customWidth="1"/>
    <col min="4871" max="4872" width="0" style="2" hidden="1" customWidth="1"/>
    <col min="4873" max="4874" width="11.5703125" style="2" customWidth="1"/>
    <col min="4875" max="4875" width="46.42578125" style="2" customWidth="1"/>
    <col min="4876" max="4877" width="0" style="2" hidden="1" customWidth="1"/>
    <col min="4878" max="4878" width="9.42578125" style="2" customWidth="1"/>
    <col min="4879" max="4879" width="14" style="2" customWidth="1"/>
    <col min="4880" max="4880" width="20.42578125" style="2" bestFit="1" customWidth="1"/>
    <col min="4881" max="4881" width="5.5703125" style="2" customWidth="1"/>
    <col min="4882" max="4882" width="65.7109375" style="2" customWidth="1"/>
    <col min="4883" max="5120" width="9.140625" style="2"/>
    <col min="5121" max="5121" width="11" style="2" customWidth="1"/>
    <col min="5122" max="5122" width="38.85546875" style="2" customWidth="1"/>
    <col min="5123" max="5123" width="13.42578125" style="2" customWidth="1"/>
    <col min="5124" max="5124" width="8" style="2" customWidth="1"/>
    <col min="5125" max="5125" width="10" style="2" customWidth="1"/>
    <col min="5126" max="5126" width="8.28515625" style="2" customWidth="1"/>
    <col min="5127" max="5128" width="0" style="2" hidden="1" customWidth="1"/>
    <col min="5129" max="5130" width="11.5703125" style="2" customWidth="1"/>
    <col min="5131" max="5131" width="46.42578125" style="2" customWidth="1"/>
    <col min="5132" max="5133" width="0" style="2" hidden="1" customWidth="1"/>
    <col min="5134" max="5134" width="9.42578125" style="2" customWidth="1"/>
    <col min="5135" max="5135" width="14" style="2" customWidth="1"/>
    <col min="5136" max="5136" width="20.42578125" style="2" bestFit="1" customWidth="1"/>
    <col min="5137" max="5137" width="5.5703125" style="2" customWidth="1"/>
    <col min="5138" max="5138" width="65.7109375" style="2" customWidth="1"/>
    <col min="5139" max="5376" width="9.140625" style="2"/>
    <col min="5377" max="5377" width="11" style="2" customWidth="1"/>
    <col min="5378" max="5378" width="38.85546875" style="2" customWidth="1"/>
    <col min="5379" max="5379" width="13.42578125" style="2" customWidth="1"/>
    <col min="5380" max="5380" width="8" style="2" customWidth="1"/>
    <col min="5381" max="5381" width="10" style="2" customWidth="1"/>
    <col min="5382" max="5382" width="8.28515625" style="2" customWidth="1"/>
    <col min="5383" max="5384" width="0" style="2" hidden="1" customWidth="1"/>
    <col min="5385" max="5386" width="11.5703125" style="2" customWidth="1"/>
    <col min="5387" max="5387" width="46.42578125" style="2" customWidth="1"/>
    <col min="5388" max="5389" width="0" style="2" hidden="1" customWidth="1"/>
    <col min="5390" max="5390" width="9.42578125" style="2" customWidth="1"/>
    <col min="5391" max="5391" width="14" style="2" customWidth="1"/>
    <col min="5392" max="5392" width="20.42578125" style="2" bestFit="1" customWidth="1"/>
    <col min="5393" max="5393" width="5.5703125" style="2" customWidth="1"/>
    <col min="5394" max="5394" width="65.7109375" style="2" customWidth="1"/>
    <col min="5395" max="5632" width="9.140625" style="2"/>
    <col min="5633" max="5633" width="11" style="2" customWidth="1"/>
    <col min="5634" max="5634" width="38.85546875" style="2" customWidth="1"/>
    <col min="5635" max="5635" width="13.42578125" style="2" customWidth="1"/>
    <col min="5636" max="5636" width="8" style="2" customWidth="1"/>
    <col min="5637" max="5637" width="10" style="2" customWidth="1"/>
    <col min="5638" max="5638" width="8.28515625" style="2" customWidth="1"/>
    <col min="5639" max="5640" width="0" style="2" hidden="1" customWidth="1"/>
    <col min="5641" max="5642" width="11.5703125" style="2" customWidth="1"/>
    <col min="5643" max="5643" width="46.42578125" style="2" customWidth="1"/>
    <col min="5644" max="5645" width="0" style="2" hidden="1" customWidth="1"/>
    <col min="5646" max="5646" width="9.42578125" style="2" customWidth="1"/>
    <col min="5647" max="5647" width="14" style="2" customWidth="1"/>
    <col min="5648" max="5648" width="20.42578125" style="2" bestFit="1" customWidth="1"/>
    <col min="5649" max="5649" width="5.5703125" style="2" customWidth="1"/>
    <col min="5650" max="5650" width="65.7109375" style="2" customWidth="1"/>
    <col min="5651" max="5888" width="9.140625" style="2"/>
    <col min="5889" max="5889" width="11" style="2" customWidth="1"/>
    <col min="5890" max="5890" width="38.85546875" style="2" customWidth="1"/>
    <col min="5891" max="5891" width="13.42578125" style="2" customWidth="1"/>
    <col min="5892" max="5892" width="8" style="2" customWidth="1"/>
    <col min="5893" max="5893" width="10" style="2" customWidth="1"/>
    <col min="5894" max="5894" width="8.28515625" style="2" customWidth="1"/>
    <col min="5895" max="5896" width="0" style="2" hidden="1" customWidth="1"/>
    <col min="5897" max="5898" width="11.5703125" style="2" customWidth="1"/>
    <col min="5899" max="5899" width="46.42578125" style="2" customWidth="1"/>
    <col min="5900" max="5901" width="0" style="2" hidden="1" customWidth="1"/>
    <col min="5902" max="5902" width="9.42578125" style="2" customWidth="1"/>
    <col min="5903" max="5903" width="14" style="2" customWidth="1"/>
    <col min="5904" max="5904" width="20.42578125" style="2" bestFit="1" customWidth="1"/>
    <col min="5905" max="5905" width="5.5703125" style="2" customWidth="1"/>
    <col min="5906" max="5906" width="65.7109375" style="2" customWidth="1"/>
    <col min="5907" max="6144" width="9.140625" style="2"/>
    <col min="6145" max="6145" width="11" style="2" customWidth="1"/>
    <col min="6146" max="6146" width="38.85546875" style="2" customWidth="1"/>
    <col min="6147" max="6147" width="13.42578125" style="2" customWidth="1"/>
    <col min="6148" max="6148" width="8" style="2" customWidth="1"/>
    <col min="6149" max="6149" width="10" style="2" customWidth="1"/>
    <col min="6150" max="6150" width="8.28515625" style="2" customWidth="1"/>
    <col min="6151" max="6152" width="0" style="2" hidden="1" customWidth="1"/>
    <col min="6153" max="6154" width="11.5703125" style="2" customWidth="1"/>
    <col min="6155" max="6155" width="46.42578125" style="2" customWidth="1"/>
    <col min="6156" max="6157" width="0" style="2" hidden="1" customWidth="1"/>
    <col min="6158" max="6158" width="9.42578125" style="2" customWidth="1"/>
    <col min="6159" max="6159" width="14" style="2" customWidth="1"/>
    <col min="6160" max="6160" width="20.42578125" style="2" bestFit="1" customWidth="1"/>
    <col min="6161" max="6161" width="5.5703125" style="2" customWidth="1"/>
    <col min="6162" max="6162" width="65.7109375" style="2" customWidth="1"/>
    <col min="6163" max="6400" width="9.140625" style="2"/>
    <col min="6401" max="6401" width="11" style="2" customWidth="1"/>
    <col min="6402" max="6402" width="38.85546875" style="2" customWidth="1"/>
    <col min="6403" max="6403" width="13.42578125" style="2" customWidth="1"/>
    <col min="6404" max="6404" width="8" style="2" customWidth="1"/>
    <col min="6405" max="6405" width="10" style="2" customWidth="1"/>
    <col min="6406" max="6406" width="8.28515625" style="2" customWidth="1"/>
    <col min="6407" max="6408" width="0" style="2" hidden="1" customWidth="1"/>
    <col min="6409" max="6410" width="11.5703125" style="2" customWidth="1"/>
    <col min="6411" max="6411" width="46.42578125" style="2" customWidth="1"/>
    <col min="6412" max="6413" width="0" style="2" hidden="1" customWidth="1"/>
    <col min="6414" max="6414" width="9.42578125" style="2" customWidth="1"/>
    <col min="6415" max="6415" width="14" style="2" customWidth="1"/>
    <col min="6416" max="6416" width="20.42578125" style="2" bestFit="1" customWidth="1"/>
    <col min="6417" max="6417" width="5.5703125" style="2" customWidth="1"/>
    <col min="6418" max="6418" width="65.7109375" style="2" customWidth="1"/>
    <col min="6419" max="6656" width="9.140625" style="2"/>
    <col min="6657" max="6657" width="11" style="2" customWidth="1"/>
    <col min="6658" max="6658" width="38.85546875" style="2" customWidth="1"/>
    <col min="6659" max="6659" width="13.42578125" style="2" customWidth="1"/>
    <col min="6660" max="6660" width="8" style="2" customWidth="1"/>
    <col min="6661" max="6661" width="10" style="2" customWidth="1"/>
    <col min="6662" max="6662" width="8.28515625" style="2" customWidth="1"/>
    <col min="6663" max="6664" width="0" style="2" hidden="1" customWidth="1"/>
    <col min="6665" max="6666" width="11.5703125" style="2" customWidth="1"/>
    <col min="6667" max="6667" width="46.42578125" style="2" customWidth="1"/>
    <col min="6668" max="6669" width="0" style="2" hidden="1" customWidth="1"/>
    <col min="6670" max="6670" width="9.42578125" style="2" customWidth="1"/>
    <col min="6671" max="6671" width="14" style="2" customWidth="1"/>
    <col min="6672" max="6672" width="20.42578125" style="2" bestFit="1" customWidth="1"/>
    <col min="6673" max="6673" width="5.5703125" style="2" customWidth="1"/>
    <col min="6674" max="6674" width="65.7109375" style="2" customWidth="1"/>
    <col min="6675" max="6912" width="9.140625" style="2"/>
    <col min="6913" max="6913" width="11" style="2" customWidth="1"/>
    <col min="6914" max="6914" width="38.85546875" style="2" customWidth="1"/>
    <col min="6915" max="6915" width="13.42578125" style="2" customWidth="1"/>
    <col min="6916" max="6916" width="8" style="2" customWidth="1"/>
    <col min="6917" max="6917" width="10" style="2" customWidth="1"/>
    <col min="6918" max="6918" width="8.28515625" style="2" customWidth="1"/>
    <col min="6919" max="6920" width="0" style="2" hidden="1" customWidth="1"/>
    <col min="6921" max="6922" width="11.5703125" style="2" customWidth="1"/>
    <col min="6923" max="6923" width="46.42578125" style="2" customWidth="1"/>
    <col min="6924" max="6925" width="0" style="2" hidden="1" customWidth="1"/>
    <col min="6926" max="6926" width="9.42578125" style="2" customWidth="1"/>
    <col min="6927" max="6927" width="14" style="2" customWidth="1"/>
    <col min="6928" max="6928" width="20.42578125" style="2" bestFit="1" customWidth="1"/>
    <col min="6929" max="6929" width="5.5703125" style="2" customWidth="1"/>
    <col min="6930" max="6930" width="65.7109375" style="2" customWidth="1"/>
    <col min="6931" max="7168" width="9.140625" style="2"/>
    <col min="7169" max="7169" width="11" style="2" customWidth="1"/>
    <col min="7170" max="7170" width="38.85546875" style="2" customWidth="1"/>
    <col min="7171" max="7171" width="13.42578125" style="2" customWidth="1"/>
    <col min="7172" max="7172" width="8" style="2" customWidth="1"/>
    <col min="7173" max="7173" width="10" style="2" customWidth="1"/>
    <col min="7174" max="7174" width="8.28515625" style="2" customWidth="1"/>
    <col min="7175" max="7176" width="0" style="2" hidden="1" customWidth="1"/>
    <col min="7177" max="7178" width="11.5703125" style="2" customWidth="1"/>
    <col min="7179" max="7179" width="46.42578125" style="2" customWidth="1"/>
    <col min="7180" max="7181" width="0" style="2" hidden="1" customWidth="1"/>
    <col min="7182" max="7182" width="9.42578125" style="2" customWidth="1"/>
    <col min="7183" max="7183" width="14" style="2" customWidth="1"/>
    <col min="7184" max="7184" width="20.42578125" style="2" bestFit="1" customWidth="1"/>
    <col min="7185" max="7185" width="5.5703125" style="2" customWidth="1"/>
    <col min="7186" max="7186" width="65.7109375" style="2" customWidth="1"/>
    <col min="7187" max="7424" width="9.140625" style="2"/>
    <col min="7425" max="7425" width="11" style="2" customWidth="1"/>
    <col min="7426" max="7426" width="38.85546875" style="2" customWidth="1"/>
    <col min="7427" max="7427" width="13.42578125" style="2" customWidth="1"/>
    <col min="7428" max="7428" width="8" style="2" customWidth="1"/>
    <col min="7429" max="7429" width="10" style="2" customWidth="1"/>
    <col min="7430" max="7430" width="8.28515625" style="2" customWidth="1"/>
    <col min="7431" max="7432" width="0" style="2" hidden="1" customWidth="1"/>
    <col min="7433" max="7434" width="11.5703125" style="2" customWidth="1"/>
    <col min="7435" max="7435" width="46.42578125" style="2" customWidth="1"/>
    <col min="7436" max="7437" width="0" style="2" hidden="1" customWidth="1"/>
    <col min="7438" max="7438" width="9.42578125" style="2" customWidth="1"/>
    <col min="7439" max="7439" width="14" style="2" customWidth="1"/>
    <col min="7440" max="7440" width="20.42578125" style="2" bestFit="1" customWidth="1"/>
    <col min="7441" max="7441" width="5.5703125" style="2" customWidth="1"/>
    <col min="7442" max="7442" width="65.7109375" style="2" customWidth="1"/>
    <col min="7443" max="7680" width="9.140625" style="2"/>
    <col min="7681" max="7681" width="11" style="2" customWidth="1"/>
    <col min="7682" max="7682" width="38.85546875" style="2" customWidth="1"/>
    <col min="7683" max="7683" width="13.42578125" style="2" customWidth="1"/>
    <col min="7684" max="7684" width="8" style="2" customWidth="1"/>
    <col min="7685" max="7685" width="10" style="2" customWidth="1"/>
    <col min="7686" max="7686" width="8.28515625" style="2" customWidth="1"/>
    <col min="7687" max="7688" width="0" style="2" hidden="1" customWidth="1"/>
    <col min="7689" max="7690" width="11.5703125" style="2" customWidth="1"/>
    <col min="7691" max="7691" width="46.42578125" style="2" customWidth="1"/>
    <col min="7692" max="7693" width="0" style="2" hidden="1" customWidth="1"/>
    <col min="7694" max="7694" width="9.42578125" style="2" customWidth="1"/>
    <col min="7695" max="7695" width="14" style="2" customWidth="1"/>
    <col min="7696" max="7696" width="20.42578125" style="2" bestFit="1" customWidth="1"/>
    <col min="7697" max="7697" width="5.5703125" style="2" customWidth="1"/>
    <col min="7698" max="7698" width="65.7109375" style="2" customWidth="1"/>
    <col min="7699" max="7936" width="9.140625" style="2"/>
    <col min="7937" max="7937" width="11" style="2" customWidth="1"/>
    <col min="7938" max="7938" width="38.85546875" style="2" customWidth="1"/>
    <col min="7939" max="7939" width="13.42578125" style="2" customWidth="1"/>
    <col min="7940" max="7940" width="8" style="2" customWidth="1"/>
    <col min="7941" max="7941" width="10" style="2" customWidth="1"/>
    <col min="7942" max="7942" width="8.28515625" style="2" customWidth="1"/>
    <col min="7943" max="7944" width="0" style="2" hidden="1" customWidth="1"/>
    <col min="7945" max="7946" width="11.5703125" style="2" customWidth="1"/>
    <col min="7947" max="7947" width="46.42578125" style="2" customWidth="1"/>
    <col min="7948" max="7949" width="0" style="2" hidden="1" customWidth="1"/>
    <col min="7950" max="7950" width="9.42578125" style="2" customWidth="1"/>
    <col min="7951" max="7951" width="14" style="2" customWidth="1"/>
    <col min="7952" max="7952" width="20.42578125" style="2" bestFit="1" customWidth="1"/>
    <col min="7953" max="7953" width="5.5703125" style="2" customWidth="1"/>
    <col min="7954" max="7954" width="65.7109375" style="2" customWidth="1"/>
    <col min="7955" max="8192" width="9.140625" style="2"/>
    <col min="8193" max="8193" width="11" style="2" customWidth="1"/>
    <col min="8194" max="8194" width="38.85546875" style="2" customWidth="1"/>
    <col min="8195" max="8195" width="13.42578125" style="2" customWidth="1"/>
    <col min="8196" max="8196" width="8" style="2" customWidth="1"/>
    <col min="8197" max="8197" width="10" style="2" customWidth="1"/>
    <col min="8198" max="8198" width="8.28515625" style="2" customWidth="1"/>
    <col min="8199" max="8200" width="0" style="2" hidden="1" customWidth="1"/>
    <col min="8201" max="8202" width="11.5703125" style="2" customWidth="1"/>
    <col min="8203" max="8203" width="46.42578125" style="2" customWidth="1"/>
    <col min="8204" max="8205" width="0" style="2" hidden="1" customWidth="1"/>
    <col min="8206" max="8206" width="9.42578125" style="2" customWidth="1"/>
    <col min="8207" max="8207" width="14" style="2" customWidth="1"/>
    <col min="8208" max="8208" width="20.42578125" style="2" bestFit="1" customWidth="1"/>
    <col min="8209" max="8209" width="5.5703125" style="2" customWidth="1"/>
    <col min="8210" max="8210" width="65.7109375" style="2" customWidth="1"/>
    <col min="8211" max="8448" width="9.140625" style="2"/>
    <col min="8449" max="8449" width="11" style="2" customWidth="1"/>
    <col min="8450" max="8450" width="38.85546875" style="2" customWidth="1"/>
    <col min="8451" max="8451" width="13.42578125" style="2" customWidth="1"/>
    <col min="8452" max="8452" width="8" style="2" customWidth="1"/>
    <col min="8453" max="8453" width="10" style="2" customWidth="1"/>
    <col min="8454" max="8454" width="8.28515625" style="2" customWidth="1"/>
    <col min="8455" max="8456" width="0" style="2" hidden="1" customWidth="1"/>
    <col min="8457" max="8458" width="11.5703125" style="2" customWidth="1"/>
    <col min="8459" max="8459" width="46.42578125" style="2" customWidth="1"/>
    <col min="8460" max="8461" width="0" style="2" hidden="1" customWidth="1"/>
    <col min="8462" max="8462" width="9.42578125" style="2" customWidth="1"/>
    <col min="8463" max="8463" width="14" style="2" customWidth="1"/>
    <col min="8464" max="8464" width="20.42578125" style="2" bestFit="1" customWidth="1"/>
    <col min="8465" max="8465" width="5.5703125" style="2" customWidth="1"/>
    <col min="8466" max="8466" width="65.7109375" style="2" customWidth="1"/>
    <col min="8467" max="8704" width="9.140625" style="2"/>
    <col min="8705" max="8705" width="11" style="2" customWidth="1"/>
    <col min="8706" max="8706" width="38.85546875" style="2" customWidth="1"/>
    <col min="8707" max="8707" width="13.42578125" style="2" customWidth="1"/>
    <col min="8708" max="8708" width="8" style="2" customWidth="1"/>
    <col min="8709" max="8709" width="10" style="2" customWidth="1"/>
    <col min="8710" max="8710" width="8.28515625" style="2" customWidth="1"/>
    <col min="8711" max="8712" width="0" style="2" hidden="1" customWidth="1"/>
    <col min="8713" max="8714" width="11.5703125" style="2" customWidth="1"/>
    <col min="8715" max="8715" width="46.42578125" style="2" customWidth="1"/>
    <col min="8716" max="8717" width="0" style="2" hidden="1" customWidth="1"/>
    <col min="8718" max="8718" width="9.42578125" style="2" customWidth="1"/>
    <col min="8719" max="8719" width="14" style="2" customWidth="1"/>
    <col min="8720" max="8720" width="20.42578125" style="2" bestFit="1" customWidth="1"/>
    <col min="8721" max="8721" width="5.5703125" style="2" customWidth="1"/>
    <col min="8722" max="8722" width="65.7109375" style="2" customWidth="1"/>
    <col min="8723" max="8960" width="9.140625" style="2"/>
    <col min="8961" max="8961" width="11" style="2" customWidth="1"/>
    <col min="8962" max="8962" width="38.85546875" style="2" customWidth="1"/>
    <col min="8963" max="8963" width="13.42578125" style="2" customWidth="1"/>
    <col min="8964" max="8964" width="8" style="2" customWidth="1"/>
    <col min="8965" max="8965" width="10" style="2" customWidth="1"/>
    <col min="8966" max="8966" width="8.28515625" style="2" customWidth="1"/>
    <col min="8967" max="8968" width="0" style="2" hidden="1" customWidth="1"/>
    <col min="8969" max="8970" width="11.5703125" style="2" customWidth="1"/>
    <col min="8971" max="8971" width="46.42578125" style="2" customWidth="1"/>
    <col min="8972" max="8973" width="0" style="2" hidden="1" customWidth="1"/>
    <col min="8974" max="8974" width="9.42578125" style="2" customWidth="1"/>
    <col min="8975" max="8975" width="14" style="2" customWidth="1"/>
    <col min="8976" max="8976" width="20.42578125" style="2" bestFit="1" customWidth="1"/>
    <col min="8977" max="8977" width="5.5703125" style="2" customWidth="1"/>
    <col min="8978" max="8978" width="65.7109375" style="2" customWidth="1"/>
    <col min="8979" max="9216" width="9.140625" style="2"/>
    <col min="9217" max="9217" width="11" style="2" customWidth="1"/>
    <col min="9218" max="9218" width="38.85546875" style="2" customWidth="1"/>
    <col min="9219" max="9219" width="13.42578125" style="2" customWidth="1"/>
    <col min="9220" max="9220" width="8" style="2" customWidth="1"/>
    <col min="9221" max="9221" width="10" style="2" customWidth="1"/>
    <col min="9222" max="9222" width="8.28515625" style="2" customWidth="1"/>
    <col min="9223" max="9224" width="0" style="2" hidden="1" customWidth="1"/>
    <col min="9225" max="9226" width="11.5703125" style="2" customWidth="1"/>
    <col min="9227" max="9227" width="46.42578125" style="2" customWidth="1"/>
    <col min="9228" max="9229" width="0" style="2" hidden="1" customWidth="1"/>
    <col min="9230" max="9230" width="9.42578125" style="2" customWidth="1"/>
    <col min="9231" max="9231" width="14" style="2" customWidth="1"/>
    <col min="9232" max="9232" width="20.42578125" style="2" bestFit="1" customWidth="1"/>
    <col min="9233" max="9233" width="5.5703125" style="2" customWidth="1"/>
    <col min="9234" max="9234" width="65.7109375" style="2" customWidth="1"/>
    <col min="9235" max="9472" width="9.140625" style="2"/>
    <col min="9473" max="9473" width="11" style="2" customWidth="1"/>
    <col min="9474" max="9474" width="38.85546875" style="2" customWidth="1"/>
    <col min="9475" max="9475" width="13.42578125" style="2" customWidth="1"/>
    <col min="9476" max="9476" width="8" style="2" customWidth="1"/>
    <col min="9477" max="9477" width="10" style="2" customWidth="1"/>
    <col min="9478" max="9478" width="8.28515625" style="2" customWidth="1"/>
    <col min="9479" max="9480" width="0" style="2" hidden="1" customWidth="1"/>
    <col min="9481" max="9482" width="11.5703125" style="2" customWidth="1"/>
    <col min="9483" max="9483" width="46.42578125" style="2" customWidth="1"/>
    <col min="9484" max="9485" width="0" style="2" hidden="1" customWidth="1"/>
    <col min="9486" max="9486" width="9.42578125" style="2" customWidth="1"/>
    <col min="9487" max="9487" width="14" style="2" customWidth="1"/>
    <col min="9488" max="9488" width="20.42578125" style="2" bestFit="1" customWidth="1"/>
    <col min="9489" max="9489" width="5.5703125" style="2" customWidth="1"/>
    <col min="9490" max="9490" width="65.7109375" style="2" customWidth="1"/>
    <col min="9491" max="9728" width="9.140625" style="2"/>
    <col min="9729" max="9729" width="11" style="2" customWidth="1"/>
    <col min="9730" max="9730" width="38.85546875" style="2" customWidth="1"/>
    <col min="9731" max="9731" width="13.42578125" style="2" customWidth="1"/>
    <col min="9732" max="9732" width="8" style="2" customWidth="1"/>
    <col min="9733" max="9733" width="10" style="2" customWidth="1"/>
    <col min="9734" max="9734" width="8.28515625" style="2" customWidth="1"/>
    <col min="9735" max="9736" width="0" style="2" hidden="1" customWidth="1"/>
    <col min="9737" max="9738" width="11.5703125" style="2" customWidth="1"/>
    <col min="9739" max="9739" width="46.42578125" style="2" customWidth="1"/>
    <col min="9740" max="9741" width="0" style="2" hidden="1" customWidth="1"/>
    <col min="9742" max="9742" width="9.42578125" style="2" customWidth="1"/>
    <col min="9743" max="9743" width="14" style="2" customWidth="1"/>
    <col min="9744" max="9744" width="20.42578125" style="2" bestFit="1" customWidth="1"/>
    <col min="9745" max="9745" width="5.5703125" style="2" customWidth="1"/>
    <col min="9746" max="9746" width="65.7109375" style="2" customWidth="1"/>
    <col min="9747" max="9984" width="9.140625" style="2"/>
    <col min="9985" max="9985" width="11" style="2" customWidth="1"/>
    <col min="9986" max="9986" width="38.85546875" style="2" customWidth="1"/>
    <col min="9987" max="9987" width="13.42578125" style="2" customWidth="1"/>
    <col min="9988" max="9988" width="8" style="2" customWidth="1"/>
    <col min="9989" max="9989" width="10" style="2" customWidth="1"/>
    <col min="9990" max="9990" width="8.28515625" style="2" customWidth="1"/>
    <col min="9991" max="9992" width="0" style="2" hidden="1" customWidth="1"/>
    <col min="9993" max="9994" width="11.5703125" style="2" customWidth="1"/>
    <col min="9995" max="9995" width="46.42578125" style="2" customWidth="1"/>
    <col min="9996" max="9997" width="0" style="2" hidden="1" customWidth="1"/>
    <col min="9998" max="9998" width="9.42578125" style="2" customWidth="1"/>
    <col min="9999" max="9999" width="14" style="2" customWidth="1"/>
    <col min="10000" max="10000" width="20.42578125" style="2" bestFit="1" customWidth="1"/>
    <col min="10001" max="10001" width="5.5703125" style="2" customWidth="1"/>
    <col min="10002" max="10002" width="65.7109375" style="2" customWidth="1"/>
    <col min="10003" max="10240" width="9.140625" style="2"/>
    <col min="10241" max="10241" width="11" style="2" customWidth="1"/>
    <col min="10242" max="10242" width="38.85546875" style="2" customWidth="1"/>
    <col min="10243" max="10243" width="13.42578125" style="2" customWidth="1"/>
    <col min="10244" max="10244" width="8" style="2" customWidth="1"/>
    <col min="10245" max="10245" width="10" style="2" customWidth="1"/>
    <col min="10246" max="10246" width="8.28515625" style="2" customWidth="1"/>
    <col min="10247" max="10248" width="0" style="2" hidden="1" customWidth="1"/>
    <col min="10249" max="10250" width="11.5703125" style="2" customWidth="1"/>
    <col min="10251" max="10251" width="46.42578125" style="2" customWidth="1"/>
    <col min="10252" max="10253" width="0" style="2" hidden="1" customWidth="1"/>
    <col min="10254" max="10254" width="9.42578125" style="2" customWidth="1"/>
    <col min="10255" max="10255" width="14" style="2" customWidth="1"/>
    <col min="10256" max="10256" width="20.42578125" style="2" bestFit="1" customWidth="1"/>
    <col min="10257" max="10257" width="5.5703125" style="2" customWidth="1"/>
    <col min="10258" max="10258" width="65.7109375" style="2" customWidth="1"/>
    <col min="10259" max="10496" width="9.140625" style="2"/>
    <col min="10497" max="10497" width="11" style="2" customWidth="1"/>
    <col min="10498" max="10498" width="38.85546875" style="2" customWidth="1"/>
    <col min="10499" max="10499" width="13.42578125" style="2" customWidth="1"/>
    <col min="10500" max="10500" width="8" style="2" customWidth="1"/>
    <col min="10501" max="10501" width="10" style="2" customWidth="1"/>
    <col min="10502" max="10502" width="8.28515625" style="2" customWidth="1"/>
    <col min="10503" max="10504" width="0" style="2" hidden="1" customWidth="1"/>
    <col min="10505" max="10506" width="11.5703125" style="2" customWidth="1"/>
    <col min="10507" max="10507" width="46.42578125" style="2" customWidth="1"/>
    <col min="10508" max="10509" width="0" style="2" hidden="1" customWidth="1"/>
    <col min="10510" max="10510" width="9.42578125" style="2" customWidth="1"/>
    <col min="10511" max="10511" width="14" style="2" customWidth="1"/>
    <col min="10512" max="10512" width="20.42578125" style="2" bestFit="1" customWidth="1"/>
    <col min="10513" max="10513" width="5.5703125" style="2" customWidth="1"/>
    <col min="10514" max="10514" width="65.7109375" style="2" customWidth="1"/>
    <col min="10515" max="10752" width="9.140625" style="2"/>
    <col min="10753" max="10753" width="11" style="2" customWidth="1"/>
    <col min="10754" max="10754" width="38.85546875" style="2" customWidth="1"/>
    <col min="10755" max="10755" width="13.42578125" style="2" customWidth="1"/>
    <col min="10756" max="10756" width="8" style="2" customWidth="1"/>
    <col min="10757" max="10757" width="10" style="2" customWidth="1"/>
    <col min="10758" max="10758" width="8.28515625" style="2" customWidth="1"/>
    <col min="10759" max="10760" width="0" style="2" hidden="1" customWidth="1"/>
    <col min="10761" max="10762" width="11.5703125" style="2" customWidth="1"/>
    <col min="10763" max="10763" width="46.42578125" style="2" customWidth="1"/>
    <col min="10764" max="10765" width="0" style="2" hidden="1" customWidth="1"/>
    <col min="10766" max="10766" width="9.42578125" style="2" customWidth="1"/>
    <col min="10767" max="10767" width="14" style="2" customWidth="1"/>
    <col min="10768" max="10768" width="20.42578125" style="2" bestFit="1" customWidth="1"/>
    <col min="10769" max="10769" width="5.5703125" style="2" customWidth="1"/>
    <col min="10770" max="10770" width="65.7109375" style="2" customWidth="1"/>
    <col min="10771" max="11008" width="9.140625" style="2"/>
    <col min="11009" max="11009" width="11" style="2" customWidth="1"/>
    <col min="11010" max="11010" width="38.85546875" style="2" customWidth="1"/>
    <col min="11011" max="11011" width="13.42578125" style="2" customWidth="1"/>
    <col min="11012" max="11012" width="8" style="2" customWidth="1"/>
    <col min="11013" max="11013" width="10" style="2" customWidth="1"/>
    <col min="11014" max="11014" width="8.28515625" style="2" customWidth="1"/>
    <col min="11015" max="11016" width="0" style="2" hidden="1" customWidth="1"/>
    <col min="11017" max="11018" width="11.5703125" style="2" customWidth="1"/>
    <col min="11019" max="11019" width="46.42578125" style="2" customWidth="1"/>
    <col min="11020" max="11021" width="0" style="2" hidden="1" customWidth="1"/>
    <col min="11022" max="11022" width="9.42578125" style="2" customWidth="1"/>
    <col min="11023" max="11023" width="14" style="2" customWidth="1"/>
    <col min="11024" max="11024" width="20.42578125" style="2" bestFit="1" customWidth="1"/>
    <col min="11025" max="11025" width="5.5703125" style="2" customWidth="1"/>
    <col min="11026" max="11026" width="65.7109375" style="2" customWidth="1"/>
    <col min="11027" max="11264" width="9.140625" style="2"/>
    <col min="11265" max="11265" width="11" style="2" customWidth="1"/>
    <col min="11266" max="11266" width="38.85546875" style="2" customWidth="1"/>
    <col min="11267" max="11267" width="13.42578125" style="2" customWidth="1"/>
    <col min="11268" max="11268" width="8" style="2" customWidth="1"/>
    <col min="11269" max="11269" width="10" style="2" customWidth="1"/>
    <col min="11270" max="11270" width="8.28515625" style="2" customWidth="1"/>
    <col min="11271" max="11272" width="0" style="2" hidden="1" customWidth="1"/>
    <col min="11273" max="11274" width="11.5703125" style="2" customWidth="1"/>
    <col min="11275" max="11275" width="46.42578125" style="2" customWidth="1"/>
    <col min="11276" max="11277" width="0" style="2" hidden="1" customWidth="1"/>
    <col min="11278" max="11278" width="9.42578125" style="2" customWidth="1"/>
    <col min="11279" max="11279" width="14" style="2" customWidth="1"/>
    <col min="11280" max="11280" width="20.42578125" style="2" bestFit="1" customWidth="1"/>
    <col min="11281" max="11281" width="5.5703125" style="2" customWidth="1"/>
    <col min="11282" max="11282" width="65.7109375" style="2" customWidth="1"/>
    <col min="11283" max="11520" width="9.140625" style="2"/>
    <col min="11521" max="11521" width="11" style="2" customWidth="1"/>
    <col min="11522" max="11522" width="38.85546875" style="2" customWidth="1"/>
    <col min="11523" max="11523" width="13.42578125" style="2" customWidth="1"/>
    <col min="11524" max="11524" width="8" style="2" customWidth="1"/>
    <col min="11525" max="11525" width="10" style="2" customWidth="1"/>
    <col min="11526" max="11526" width="8.28515625" style="2" customWidth="1"/>
    <col min="11527" max="11528" width="0" style="2" hidden="1" customWidth="1"/>
    <col min="11529" max="11530" width="11.5703125" style="2" customWidth="1"/>
    <col min="11531" max="11531" width="46.42578125" style="2" customWidth="1"/>
    <col min="11532" max="11533" width="0" style="2" hidden="1" customWidth="1"/>
    <col min="11534" max="11534" width="9.42578125" style="2" customWidth="1"/>
    <col min="11535" max="11535" width="14" style="2" customWidth="1"/>
    <col min="11536" max="11536" width="20.42578125" style="2" bestFit="1" customWidth="1"/>
    <col min="11537" max="11537" width="5.5703125" style="2" customWidth="1"/>
    <col min="11538" max="11538" width="65.7109375" style="2" customWidth="1"/>
    <col min="11539" max="11776" width="9.140625" style="2"/>
    <col min="11777" max="11777" width="11" style="2" customWidth="1"/>
    <col min="11778" max="11778" width="38.85546875" style="2" customWidth="1"/>
    <col min="11779" max="11779" width="13.42578125" style="2" customWidth="1"/>
    <col min="11780" max="11780" width="8" style="2" customWidth="1"/>
    <col min="11781" max="11781" width="10" style="2" customWidth="1"/>
    <col min="11782" max="11782" width="8.28515625" style="2" customWidth="1"/>
    <col min="11783" max="11784" width="0" style="2" hidden="1" customWidth="1"/>
    <col min="11785" max="11786" width="11.5703125" style="2" customWidth="1"/>
    <col min="11787" max="11787" width="46.42578125" style="2" customWidth="1"/>
    <col min="11788" max="11789" width="0" style="2" hidden="1" customWidth="1"/>
    <col min="11790" max="11790" width="9.42578125" style="2" customWidth="1"/>
    <col min="11791" max="11791" width="14" style="2" customWidth="1"/>
    <col min="11792" max="11792" width="20.42578125" style="2" bestFit="1" customWidth="1"/>
    <col min="11793" max="11793" width="5.5703125" style="2" customWidth="1"/>
    <col min="11794" max="11794" width="65.7109375" style="2" customWidth="1"/>
    <col min="11795" max="12032" width="9.140625" style="2"/>
    <col min="12033" max="12033" width="11" style="2" customWidth="1"/>
    <col min="12034" max="12034" width="38.85546875" style="2" customWidth="1"/>
    <col min="12035" max="12035" width="13.42578125" style="2" customWidth="1"/>
    <col min="12036" max="12036" width="8" style="2" customWidth="1"/>
    <col min="12037" max="12037" width="10" style="2" customWidth="1"/>
    <col min="12038" max="12038" width="8.28515625" style="2" customWidth="1"/>
    <col min="12039" max="12040" width="0" style="2" hidden="1" customWidth="1"/>
    <col min="12041" max="12042" width="11.5703125" style="2" customWidth="1"/>
    <col min="12043" max="12043" width="46.42578125" style="2" customWidth="1"/>
    <col min="12044" max="12045" width="0" style="2" hidden="1" customWidth="1"/>
    <col min="12046" max="12046" width="9.42578125" style="2" customWidth="1"/>
    <col min="12047" max="12047" width="14" style="2" customWidth="1"/>
    <col min="12048" max="12048" width="20.42578125" style="2" bestFit="1" customWidth="1"/>
    <col min="12049" max="12049" width="5.5703125" style="2" customWidth="1"/>
    <col min="12050" max="12050" width="65.7109375" style="2" customWidth="1"/>
    <col min="12051" max="12288" width="9.140625" style="2"/>
    <col min="12289" max="12289" width="11" style="2" customWidth="1"/>
    <col min="12290" max="12290" width="38.85546875" style="2" customWidth="1"/>
    <col min="12291" max="12291" width="13.42578125" style="2" customWidth="1"/>
    <col min="12292" max="12292" width="8" style="2" customWidth="1"/>
    <col min="12293" max="12293" width="10" style="2" customWidth="1"/>
    <col min="12294" max="12294" width="8.28515625" style="2" customWidth="1"/>
    <col min="12295" max="12296" width="0" style="2" hidden="1" customWidth="1"/>
    <col min="12297" max="12298" width="11.5703125" style="2" customWidth="1"/>
    <col min="12299" max="12299" width="46.42578125" style="2" customWidth="1"/>
    <col min="12300" max="12301" width="0" style="2" hidden="1" customWidth="1"/>
    <col min="12302" max="12302" width="9.42578125" style="2" customWidth="1"/>
    <col min="12303" max="12303" width="14" style="2" customWidth="1"/>
    <col min="12304" max="12304" width="20.42578125" style="2" bestFit="1" customWidth="1"/>
    <col min="12305" max="12305" width="5.5703125" style="2" customWidth="1"/>
    <col min="12306" max="12306" width="65.7109375" style="2" customWidth="1"/>
    <col min="12307" max="12544" width="9.140625" style="2"/>
    <col min="12545" max="12545" width="11" style="2" customWidth="1"/>
    <col min="12546" max="12546" width="38.85546875" style="2" customWidth="1"/>
    <col min="12547" max="12547" width="13.42578125" style="2" customWidth="1"/>
    <col min="12548" max="12548" width="8" style="2" customWidth="1"/>
    <col min="12549" max="12549" width="10" style="2" customWidth="1"/>
    <col min="12550" max="12550" width="8.28515625" style="2" customWidth="1"/>
    <col min="12551" max="12552" width="0" style="2" hidden="1" customWidth="1"/>
    <col min="12553" max="12554" width="11.5703125" style="2" customWidth="1"/>
    <col min="12555" max="12555" width="46.42578125" style="2" customWidth="1"/>
    <col min="12556" max="12557" width="0" style="2" hidden="1" customWidth="1"/>
    <col min="12558" max="12558" width="9.42578125" style="2" customWidth="1"/>
    <col min="12559" max="12559" width="14" style="2" customWidth="1"/>
    <col min="12560" max="12560" width="20.42578125" style="2" bestFit="1" customWidth="1"/>
    <col min="12561" max="12561" width="5.5703125" style="2" customWidth="1"/>
    <col min="12562" max="12562" width="65.7109375" style="2" customWidth="1"/>
    <col min="12563" max="12800" width="9.140625" style="2"/>
    <col min="12801" max="12801" width="11" style="2" customWidth="1"/>
    <col min="12802" max="12802" width="38.85546875" style="2" customWidth="1"/>
    <col min="12803" max="12803" width="13.42578125" style="2" customWidth="1"/>
    <col min="12804" max="12804" width="8" style="2" customWidth="1"/>
    <col min="12805" max="12805" width="10" style="2" customWidth="1"/>
    <col min="12806" max="12806" width="8.28515625" style="2" customWidth="1"/>
    <col min="12807" max="12808" width="0" style="2" hidden="1" customWidth="1"/>
    <col min="12809" max="12810" width="11.5703125" style="2" customWidth="1"/>
    <col min="12811" max="12811" width="46.42578125" style="2" customWidth="1"/>
    <col min="12812" max="12813" width="0" style="2" hidden="1" customWidth="1"/>
    <col min="12814" max="12814" width="9.42578125" style="2" customWidth="1"/>
    <col min="12815" max="12815" width="14" style="2" customWidth="1"/>
    <col min="12816" max="12816" width="20.42578125" style="2" bestFit="1" customWidth="1"/>
    <col min="12817" max="12817" width="5.5703125" style="2" customWidth="1"/>
    <col min="12818" max="12818" width="65.7109375" style="2" customWidth="1"/>
    <col min="12819" max="13056" width="9.140625" style="2"/>
    <col min="13057" max="13057" width="11" style="2" customWidth="1"/>
    <col min="13058" max="13058" width="38.85546875" style="2" customWidth="1"/>
    <col min="13059" max="13059" width="13.42578125" style="2" customWidth="1"/>
    <col min="13060" max="13060" width="8" style="2" customWidth="1"/>
    <col min="13061" max="13061" width="10" style="2" customWidth="1"/>
    <col min="13062" max="13062" width="8.28515625" style="2" customWidth="1"/>
    <col min="13063" max="13064" width="0" style="2" hidden="1" customWidth="1"/>
    <col min="13065" max="13066" width="11.5703125" style="2" customWidth="1"/>
    <col min="13067" max="13067" width="46.42578125" style="2" customWidth="1"/>
    <col min="13068" max="13069" width="0" style="2" hidden="1" customWidth="1"/>
    <col min="13070" max="13070" width="9.42578125" style="2" customWidth="1"/>
    <col min="13071" max="13071" width="14" style="2" customWidth="1"/>
    <col min="13072" max="13072" width="20.42578125" style="2" bestFit="1" customWidth="1"/>
    <col min="13073" max="13073" width="5.5703125" style="2" customWidth="1"/>
    <col min="13074" max="13074" width="65.7109375" style="2" customWidth="1"/>
    <col min="13075" max="13312" width="9.140625" style="2"/>
    <col min="13313" max="13313" width="11" style="2" customWidth="1"/>
    <col min="13314" max="13314" width="38.85546875" style="2" customWidth="1"/>
    <col min="13315" max="13315" width="13.42578125" style="2" customWidth="1"/>
    <col min="13316" max="13316" width="8" style="2" customWidth="1"/>
    <col min="13317" max="13317" width="10" style="2" customWidth="1"/>
    <col min="13318" max="13318" width="8.28515625" style="2" customWidth="1"/>
    <col min="13319" max="13320" width="0" style="2" hidden="1" customWidth="1"/>
    <col min="13321" max="13322" width="11.5703125" style="2" customWidth="1"/>
    <col min="13323" max="13323" width="46.42578125" style="2" customWidth="1"/>
    <col min="13324" max="13325" width="0" style="2" hidden="1" customWidth="1"/>
    <col min="13326" max="13326" width="9.42578125" style="2" customWidth="1"/>
    <col min="13327" max="13327" width="14" style="2" customWidth="1"/>
    <col min="13328" max="13328" width="20.42578125" style="2" bestFit="1" customWidth="1"/>
    <col min="13329" max="13329" width="5.5703125" style="2" customWidth="1"/>
    <col min="13330" max="13330" width="65.7109375" style="2" customWidth="1"/>
    <col min="13331" max="13568" width="9.140625" style="2"/>
    <col min="13569" max="13569" width="11" style="2" customWidth="1"/>
    <col min="13570" max="13570" width="38.85546875" style="2" customWidth="1"/>
    <col min="13571" max="13571" width="13.42578125" style="2" customWidth="1"/>
    <col min="13572" max="13572" width="8" style="2" customWidth="1"/>
    <col min="13573" max="13573" width="10" style="2" customWidth="1"/>
    <col min="13574" max="13574" width="8.28515625" style="2" customWidth="1"/>
    <col min="13575" max="13576" width="0" style="2" hidden="1" customWidth="1"/>
    <col min="13577" max="13578" width="11.5703125" style="2" customWidth="1"/>
    <col min="13579" max="13579" width="46.42578125" style="2" customWidth="1"/>
    <col min="13580" max="13581" width="0" style="2" hidden="1" customWidth="1"/>
    <col min="13582" max="13582" width="9.42578125" style="2" customWidth="1"/>
    <col min="13583" max="13583" width="14" style="2" customWidth="1"/>
    <col min="13584" max="13584" width="20.42578125" style="2" bestFit="1" customWidth="1"/>
    <col min="13585" max="13585" width="5.5703125" style="2" customWidth="1"/>
    <col min="13586" max="13586" width="65.7109375" style="2" customWidth="1"/>
    <col min="13587" max="13824" width="9.140625" style="2"/>
    <col min="13825" max="13825" width="11" style="2" customWidth="1"/>
    <col min="13826" max="13826" width="38.85546875" style="2" customWidth="1"/>
    <col min="13827" max="13827" width="13.42578125" style="2" customWidth="1"/>
    <col min="13828" max="13828" width="8" style="2" customWidth="1"/>
    <col min="13829" max="13829" width="10" style="2" customWidth="1"/>
    <col min="13830" max="13830" width="8.28515625" style="2" customWidth="1"/>
    <col min="13831" max="13832" width="0" style="2" hidden="1" customWidth="1"/>
    <col min="13833" max="13834" width="11.5703125" style="2" customWidth="1"/>
    <col min="13835" max="13835" width="46.42578125" style="2" customWidth="1"/>
    <col min="13836" max="13837" width="0" style="2" hidden="1" customWidth="1"/>
    <col min="13838" max="13838" width="9.42578125" style="2" customWidth="1"/>
    <col min="13839" max="13839" width="14" style="2" customWidth="1"/>
    <col min="13840" max="13840" width="20.42578125" style="2" bestFit="1" customWidth="1"/>
    <col min="13841" max="13841" width="5.5703125" style="2" customWidth="1"/>
    <col min="13842" max="13842" width="65.7109375" style="2" customWidth="1"/>
    <col min="13843" max="14080" width="9.140625" style="2"/>
    <col min="14081" max="14081" width="11" style="2" customWidth="1"/>
    <col min="14082" max="14082" width="38.85546875" style="2" customWidth="1"/>
    <col min="14083" max="14083" width="13.42578125" style="2" customWidth="1"/>
    <col min="14084" max="14084" width="8" style="2" customWidth="1"/>
    <col min="14085" max="14085" width="10" style="2" customWidth="1"/>
    <col min="14086" max="14086" width="8.28515625" style="2" customWidth="1"/>
    <col min="14087" max="14088" width="0" style="2" hidden="1" customWidth="1"/>
    <col min="14089" max="14090" width="11.5703125" style="2" customWidth="1"/>
    <col min="14091" max="14091" width="46.42578125" style="2" customWidth="1"/>
    <col min="14092" max="14093" width="0" style="2" hidden="1" customWidth="1"/>
    <col min="14094" max="14094" width="9.42578125" style="2" customWidth="1"/>
    <col min="14095" max="14095" width="14" style="2" customWidth="1"/>
    <col min="14096" max="14096" width="20.42578125" style="2" bestFit="1" customWidth="1"/>
    <col min="14097" max="14097" width="5.5703125" style="2" customWidth="1"/>
    <col min="14098" max="14098" width="65.7109375" style="2" customWidth="1"/>
    <col min="14099" max="14336" width="9.140625" style="2"/>
    <col min="14337" max="14337" width="11" style="2" customWidth="1"/>
    <col min="14338" max="14338" width="38.85546875" style="2" customWidth="1"/>
    <col min="14339" max="14339" width="13.42578125" style="2" customWidth="1"/>
    <col min="14340" max="14340" width="8" style="2" customWidth="1"/>
    <col min="14341" max="14341" width="10" style="2" customWidth="1"/>
    <col min="14342" max="14342" width="8.28515625" style="2" customWidth="1"/>
    <col min="14343" max="14344" width="0" style="2" hidden="1" customWidth="1"/>
    <col min="14345" max="14346" width="11.5703125" style="2" customWidth="1"/>
    <col min="14347" max="14347" width="46.42578125" style="2" customWidth="1"/>
    <col min="14348" max="14349" width="0" style="2" hidden="1" customWidth="1"/>
    <col min="14350" max="14350" width="9.42578125" style="2" customWidth="1"/>
    <col min="14351" max="14351" width="14" style="2" customWidth="1"/>
    <col min="14352" max="14352" width="20.42578125" style="2" bestFit="1" customWidth="1"/>
    <col min="14353" max="14353" width="5.5703125" style="2" customWidth="1"/>
    <col min="14354" max="14354" width="65.7109375" style="2" customWidth="1"/>
    <col min="14355" max="14592" width="9.140625" style="2"/>
    <col min="14593" max="14593" width="11" style="2" customWidth="1"/>
    <col min="14594" max="14594" width="38.85546875" style="2" customWidth="1"/>
    <col min="14595" max="14595" width="13.42578125" style="2" customWidth="1"/>
    <col min="14596" max="14596" width="8" style="2" customWidth="1"/>
    <col min="14597" max="14597" width="10" style="2" customWidth="1"/>
    <col min="14598" max="14598" width="8.28515625" style="2" customWidth="1"/>
    <col min="14599" max="14600" width="0" style="2" hidden="1" customWidth="1"/>
    <col min="14601" max="14602" width="11.5703125" style="2" customWidth="1"/>
    <col min="14603" max="14603" width="46.42578125" style="2" customWidth="1"/>
    <col min="14604" max="14605" width="0" style="2" hidden="1" customWidth="1"/>
    <col min="14606" max="14606" width="9.42578125" style="2" customWidth="1"/>
    <col min="14607" max="14607" width="14" style="2" customWidth="1"/>
    <col min="14608" max="14608" width="20.42578125" style="2" bestFit="1" customWidth="1"/>
    <col min="14609" max="14609" width="5.5703125" style="2" customWidth="1"/>
    <col min="14610" max="14610" width="65.7109375" style="2" customWidth="1"/>
    <col min="14611" max="14848" width="9.140625" style="2"/>
    <col min="14849" max="14849" width="11" style="2" customWidth="1"/>
    <col min="14850" max="14850" width="38.85546875" style="2" customWidth="1"/>
    <col min="14851" max="14851" width="13.42578125" style="2" customWidth="1"/>
    <col min="14852" max="14852" width="8" style="2" customWidth="1"/>
    <col min="14853" max="14853" width="10" style="2" customWidth="1"/>
    <col min="14854" max="14854" width="8.28515625" style="2" customWidth="1"/>
    <col min="14855" max="14856" width="0" style="2" hidden="1" customWidth="1"/>
    <col min="14857" max="14858" width="11.5703125" style="2" customWidth="1"/>
    <col min="14859" max="14859" width="46.42578125" style="2" customWidth="1"/>
    <col min="14860" max="14861" width="0" style="2" hidden="1" customWidth="1"/>
    <col min="14862" max="14862" width="9.42578125" style="2" customWidth="1"/>
    <col min="14863" max="14863" width="14" style="2" customWidth="1"/>
    <col min="14864" max="14864" width="20.42578125" style="2" bestFit="1" customWidth="1"/>
    <col min="14865" max="14865" width="5.5703125" style="2" customWidth="1"/>
    <col min="14866" max="14866" width="65.7109375" style="2" customWidth="1"/>
    <col min="14867" max="15104" width="9.140625" style="2"/>
    <col min="15105" max="15105" width="11" style="2" customWidth="1"/>
    <col min="15106" max="15106" width="38.85546875" style="2" customWidth="1"/>
    <col min="15107" max="15107" width="13.42578125" style="2" customWidth="1"/>
    <col min="15108" max="15108" width="8" style="2" customWidth="1"/>
    <col min="15109" max="15109" width="10" style="2" customWidth="1"/>
    <col min="15110" max="15110" width="8.28515625" style="2" customWidth="1"/>
    <col min="15111" max="15112" width="0" style="2" hidden="1" customWidth="1"/>
    <col min="15113" max="15114" width="11.5703125" style="2" customWidth="1"/>
    <col min="15115" max="15115" width="46.42578125" style="2" customWidth="1"/>
    <col min="15116" max="15117" width="0" style="2" hidden="1" customWidth="1"/>
    <col min="15118" max="15118" width="9.42578125" style="2" customWidth="1"/>
    <col min="15119" max="15119" width="14" style="2" customWidth="1"/>
    <col min="15120" max="15120" width="20.42578125" style="2" bestFit="1" customWidth="1"/>
    <col min="15121" max="15121" width="5.5703125" style="2" customWidth="1"/>
    <col min="15122" max="15122" width="65.7109375" style="2" customWidth="1"/>
    <col min="15123" max="15360" width="9.140625" style="2"/>
    <col min="15361" max="15361" width="11" style="2" customWidth="1"/>
    <col min="15362" max="15362" width="38.85546875" style="2" customWidth="1"/>
    <col min="15363" max="15363" width="13.42578125" style="2" customWidth="1"/>
    <col min="15364" max="15364" width="8" style="2" customWidth="1"/>
    <col min="15365" max="15365" width="10" style="2" customWidth="1"/>
    <col min="15366" max="15366" width="8.28515625" style="2" customWidth="1"/>
    <col min="15367" max="15368" width="0" style="2" hidden="1" customWidth="1"/>
    <col min="15369" max="15370" width="11.5703125" style="2" customWidth="1"/>
    <col min="15371" max="15371" width="46.42578125" style="2" customWidth="1"/>
    <col min="15372" max="15373" width="0" style="2" hidden="1" customWidth="1"/>
    <col min="15374" max="15374" width="9.42578125" style="2" customWidth="1"/>
    <col min="15375" max="15375" width="14" style="2" customWidth="1"/>
    <col min="15376" max="15376" width="20.42578125" style="2" bestFit="1" customWidth="1"/>
    <col min="15377" max="15377" width="5.5703125" style="2" customWidth="1"/>
    <col min="15378" max="15378" width="65.7109375" style="2" customWidth="1"/>
    <col min="15379" max="15616" width="9.140625" style="2"/>
    <col min="15617" max="15617" width="11" style="2" customWidth="1"/>
    <col min="15618" max="15618" width="38.85546875" style="2" customWidth="1"/>
    <col min="15619" max="15619" width="13.42578125" style="2" customWidth="1"/>
    <col min="15620" max="15620" width="8" style="2" customWidth="1"/>
    <col min="15621" max="15621" width="10" style="2" customWidth="1"/>
    <col min="15622" max="15622" width="8.28515625" style="2" customWidth="1"/>
    <col min="15623" max="15624" width="0" style="2" hidden="1" customWidth="1"/>
    <col min="15625" max="15626" width="11.5703125" style="2" customWidth="1"/>
    <col min="15627" max="15627" width="46.42578125" style="2" customWidth="1"/>
    <col min="15628" max="15629" width="0" style="2" hidden="1" customWidth="1"/>
    <col min="15630" max="15630" width="9.42578125" style="2" customWidth="1"/>
    <col min="15631" max="15631" width="14" style="2" customWidth="1"/>
    <col min="15632" max="15632" width="20.42578125" style="2" bestFit="1" customWidth="1"/>
    <col min="15633" max="15633" width="5.5703125" style="2" customWidth="1"/>
    <col min="15634" max="15634" width="65.7109375" style="2" customWidth="1"/>
    <col min="15635" max="15872" width="9.140625" style="2"/>
    <col min="15873" max="15873" width="11" style="2" customWidth="1"/>
    <col min="15874" max="15874" width="38.85546875" style="2" customWidth="1"/>
    <col min="15875" max="15875" width="13.42578125" style="2" customWidth="1"/>
    <col min="15876" max="15876" width="8" style="2" customWidth="1"/>
    <col min="15877" max="15877" width="10" style="2" customWidth="1"/>
    <col min="15878" max="15878" width="8.28515625" style="2" customWidth="1"/>
    <col min="15879" max="15880" width="0" style="2" hidden="1" customWidth="1"/>
    <col min="15881" max="15882" width="11.5703125" style="2" customWidth="1"/>
    <col min="15883" max="15883" width="46.42578125" style="2" customWidth="1"/>
    <col min="15884" max="15885" width="0" style="2" hidden="1" customWidth="1"/>
    <col min="15886" max="15886" width="9.42578125" style="2" customWidth="1"/>
    <col min="15887" max="15887" width="14" style="2" customWidth="1"/>
    <col min="15888" max="15888" width="20.42578125" style="2" bestFit="1" customWidth="1"/>
    <col min="15889" max="15889" width="5.5703125" style="2" customWidth="1"/>
    <col min="15890" max="15890" width="65.7109375" style="2" customWidth="1"/>
    <col min="15891" max="16128" width="9.140625" style="2"/>
    <col min="16129" max="16129" width="11" style="2" customWidth="1"/>
    <col min="16130" max="16130" width="38.85546875" style="2" customWidth="1"/>
    <col min="16131" max="16131" width="13.42578125" style="2" customWidth="1"/>
    <col min="16132" max="16132" width="8" style="2" customWidth="1"/>
    <col min="16133" max="16133" width="10" style="2" customWidth="1"/>
    <col min="16134" max="16134" width="8.28515625" style="2" customWidth="1"/>
    <col min="16135" max="16136" width="0" style="2" hidden="1" customWidth="1"/>
    <col min="16137" max="16138" width="11.5703125" style="2" customWidth="1"/>
    <col min="16139" max="16139" width="46.42578125" style="2" customWidth="1"/>
    <col min="16140" max="16141" width="0" style="2" hidden="1" customWidth="1"/>
    <col min="16142" max="16142" width="9.42578125" style="2" customWidth="1"/>
    <col min="16143" max="16143" width="14" style="2" customWidth="1"/>
    <col min="16144" max="16144" width="20.42578125" style="2" bestFit="1" customWidth="1"/>
    <col min="16145" max="16145" width="5.5703125" style="2" customWidth="1"/>
    <col min="16146" max="16146" width="65.7109375" style="2" customWidth="1"/>
    <col min="16147" max="16384" width="9.140625" style="2"/>
  </cols>
  <sheetData>
    <row r="1" spans="1:19" x14ac:dyDescent="0.25">
      <c r="A1" s="69" t="s">
        <v>1453</v>
      </c>
      <c r="B1" s="67" t="s">
        <v>1452</v>
      </c>
      <c r="C1" s="67"/>
      <c r="D1" s="67"/>
      <c r="E1" s="67"/>
      <c r="F1" s="67"/>
      <c r="G1" s="67"/>
      <c r="H1" s="67"/>
      <c r="I1" s="67"/>
      <c r="J1" s="67"/>
      <c r="K1" s="67"/>
      <c r="L1" s="67"/>
      <c r="M1" s="67"/>
      <c r="N1" s="67"/>
      <c r="O1" s="67"/>
      <c r="P1" s="67"/>
      <c r="Q1" s="67"/>
      <c r="R1" s="67"/>
    </row>
    <row r="2" spans="1:19" x14ac:dyDescent="0.25">
      <c r="A2" s="68">
        <v>40670</v>
      </c>
      <c r="B2" s="67" t="s">
        <v>1451</v>
      </c>
      <c r="C2" s="67"/>
      <c r="D2" s="67"/>
      <c r="E2" s="67"/>
      <c r="F2" s="67"/>
      <c r="G2" s="67"/>
      <c r="H2" s="67"/>
      <c r="I2" s="67"/>
      <c r="J2" s="67"/>
      <c r="K2" s="67"/>
    </row>
    <row r="3" spans="1:19" x14ac:dyDescent="0.25">
      <c r="A3" s="66" t="s">
        <v>1065</v>
      </c>
      <c r="B3" s="66" t="s">
        <v>1066</v>
      </c>
      <c r="C3" s="66" t="s">
        <v>1067</v>
      </c>
      <c r="D3" s="66" t="s">
        <v>24</v>
      </c>
      <c r="E3" s="66" t="s">
        <v>1068</v>
      </c>
      <c r="F3" s="66" t="s">
        <v>25</v>
      </c>
      <c r="G3" s="66" t="s">
        <v>22</v>
      </c>
      <c r="H3" s="66" t="s">
        <v>21</v>
      </c>
      <c r="I3" s="66" t="s">
        <v>1069</v>
      </c>
      <c r="J3" s="66" t="s">
        <v>1070</v>
      </c>
      <c r="K3" s="66" t="s">
        <v>23</v>
      </c>
      <c r="L3" s="66" t="s">
        <v>1071</v>
      </c>
      <c r="M3" s="66" t="s">
        <v>22</v>
      </c>
      <c r="N3" s="66" t="s">
        <v>1072</v>
      </c>
      <c r="O3" s="66" t="s">
        <v>1073</v>
      </c>
      <c r="P3" s="66" t="s">
        <v>1074</v>
      </c>
      <c r="Q3" s="66" t="s">
        <v>1075</v>
      </c>
      <c r="R3" s="66" t="s">
        <v>29</v>
      </c>
    </row>
    <row r="4" spans="1:19" ht="82.5" customHeight="1" x14ac:dyDescent="0.25">
      <c r="A4">
        <v>1</v>
      </c>
      <c r="B4" s="35" t="s">
        <v>1076</v>
      </c>
      <c r="C4" s="138">
        <v>25.4</v>
      </c>
      <c r="D4" s="35" t="s">
        <v>36</v>
      </c>
      <c r="E4" s="35"/>
      <c r="F4" s="35"/>
      <c r="G4" s="35" t="s">
        <v>1077</v>
      </c>
      <c r="H4" s="35"/>
      <c r="I4" s="7">
        <v>0.01</v>
      </c>
      <c r="J4" s="7">
        <v>0.01</v>
      </c>
      <c r="K4" s="139" t="s">
        <v>374</v>
      </c>
      <c r="L4" s="140"/>
      <c r="M4" s="35" t="s">
        <v>1077</v>
      </c>
      <c r="N4" s="48">
        <f t="shared" ref="N4:N12" si="0">I4*C4+J4</f>
        <v>0.26400000000000001</v>
      </c>
      <c r="O4" s="65"/>
      <c r="P4" s="37">
        <v>39855</v>
      </c>
      <c r="Q4" s="64"/>
      <c r="R4" s="60" t="s">
        <v>1078</v>
      </c>
    </row>
    <row r="5" spans="1:19" ht="82.5" customHeight="1" x14ac:dyDescent="0.25">
      <c r="A5">
        <v>2</v>
      </c>
      <c r="B5" s="35" t="s">
        <v>1079</v>
      </c>
      <c r="C5" s="138">
        <v>25.4</v>
      </c>
      <c r="D5" s="35" t="s">
        <v>36</v>
      </c>
      <c r="E5" s="35"/>
      <c r="F5" s="35"/>
      <c r="G5" s="35" t="s">
        <v>1077</v>
      </c>
      <c r="H5" s="35"/>
      <c r="I5" s="7">
        <v>2E-3</v>
      </c>
      <c r="J5" s="7">
        <v>0.08</v>
      </c>
      <c r="K5" s="139" t="s">
        <v>374</v>
      </c>
      <c r="L5" s="63"/>
      <c r="M5" s="35" t="s">
        <v>1077</v>
      </c>
      <c r="N5" s="48">
        <f t="shared" si="0"/>
        <v>0.1308</v>
      </c>
      <c r="O5" s="35"/>
      <c r="P5" s="37">
        <v>39855</v>
      </c>
      <c r="Q5" s="64"/>
      <c r="R5" s="60" t="s">
        <v>1078</v>
      </c>
    </row>
    <row r="6" spans="1:19" ht="82.5" customHeight="1" x14ac:dyDescent="0.25">
      <c r="A6">
        <v>3</v>
      </c>
      <c r="B6" s="35" t="s">
        <v>1080</v>
      </c>
      <c r="C6" s="138">
        <v>25.4</v>
      </c>
      <c r="D6" s="35" t="s">
        <v>36</v>
      </c>
      <c r="E6" s="35"/>
      <c r="F6" s="35"/>
      <c r="G6" s="35" t="s">
        <v>1077</v>
      </c>
      <c r="H6" s="35"/>
      <c r="I6" s="7">
        <v>4.0000000000000001E-3</v>
      </c>
      <c r="J6" s="7">
        <v>0.08</v>
      </c>
      <c r="K6" s="139" t="s">
        <v>374</v>
      </c>
      <c r="L6" s="63"/>
      <c r="M6" s="35" t="s">
        <v>1077</v>
      </c>
      <c r="N6" s="48">
        <f t="shared" si="0"/>
        <v>0.18159999999999998</v>
      </c>
      <c r="O6" s="35"/>
      <c r="P6" s="37">
        <v>39855</v>
      </c>
      <c r="Q6" s="61"/>
      <c r="R6" s="60" t="s">
        <v>1078</v>
      </c>
    </row>
    <row r="7" spans="1:19" ht="82.5" customHeight="1" x14ac:dyDescent="0.25">
      <c r="A7">
        <v>4</v>
      </c>
      <c r="B7" s="35" t="s">
        <v>1081</v>
      </c>
      <c r="C7" s="138">
        <v>25.4</v>
      </c>
      <c r="D7" s="35" t="s">
        <v>36</v>
      </c>
      <c r="E7" s="35"/>
      <c r="F7" s="35"/>
      <c r="G7" s="35" t="s">
        <v>1077</v>
      </c>
      <c r="H7" s="35"/>
      <c r="I7" s="7">
        <v>1.4E-2</v>
      </c>
      <c r="J7" s="7">
        <v>0</v>
      </c>
      <c r="K7" s="139" t="s">
        <v>1082</v>
      </c>
      <c r="L7" s="62"/>
      <c r="M7" s="35" t="s">
        <v>1077</v>
      </c>
      <c r="N7" s="48">
        <f t="shared" si="0"/>
        <v>0.35559999999999997</v>
      </c>
      <c r="O7" s="35"/>
      <c r="P7" s="37">
        <v>39855</v>
      </c>
      <c r="Q7" s="61"/>
      <c r="R7" s="60" t="s">
        <v>1078</v>
      </c>
    </row>
    <row r="8" spans="1:19" ht="82.5" customHeight="1" x14ac:dyDescent="0.25">
      <c r="A8">
        <v>5</v>
      </c>
      <c r="B8" s="35" t="s">
        <v>1083</v>
      </c>
      <c r="C8" s="138">
        <v>25.4</v>
      </c>
      <c r="D8" s="35" t="s">
        <v>36</v>
      </c>
      <c r="E8" s="35"/>
      <c r="F8" s="35"/>
      <c r="G8" s="35" t="s">
        <v>1077</v>
      </c>
      <c r="H8" s="35"/>
      <c r="I8" s="7">
        <v>0.123</v>
      </c>
      <c r="J8" s="7">
        <v>2.6</v>
      </c>
      <c r="K8" s="139" t="s">
        <v>374</v>
      </c>
      <c r="L8" s="59"/>
      <c r="M8" s="35" t="s">
        <v>1077</v>
      </c>
      <c r="N8" s="48">
        <f t="shared" si="0"/>
        <v>5.7241999999999997</v>
      </c>
      <c r="O8" s="35"/>
      <c r="P8" s="37">
        <v>39855</v>
      </c>
      <c r="Q8" s="61"/>
      <c r="R8" s="60" t="s">
        <v>1078</v>
      </c>
    </row>
    <row r="9" spans="1:19" ht="82.5" customHeight="1" x14ac:dyDescent="0.25">
      <c r="A9">
        <v>6</v>
      </c>
      <c r="B9" s="44" t="s">
        <v>1084</v>
      </c>
      <c r="C9" s="138">
        <v>25.4</v>
      </c>
      <c r="D9" s="35" t="s">
        <v>36</v>
      </c>
      <c r="E9" s="35"/>
      <c r="F9" s="35"/>
      <c r="G9" s="35"/>
      <c r="H9" s="35"/>
      <c r="I9" s="7">
        <v>4.0000000000000001E-3</v>
      </c>
      <c r="J9" s="7">
        <v>0.5</v>
      </c>
      <c r="K9" s="139" t="s">
        <v>374</v>
      </c>
      <c r="L9" s="59"/>
      <c r="M9" s="35"/>
      <c r="N9" s="48">
        <f t="shared" si="0"/>
        <v>0.60160000000000002</v>
      </c>
      <c r="O9" s="35"/>
      <c r="P9" s="37">
        <v>39867</v>
      </c>
      <c r="Q9" s="61"/>
      <c r="R9" s="60" t="s">
        <v>1078</v>
      </c>
    </row>
    <row r="10" spans="1:19" ht="82.5" customHeight="1" x14ac:dyDescent="0.25">
      <c r="A10">
        <v>7</v>
      </c>
      <c r="B10" s="44" t="s">
        <v>1085</v>
      </c>
      <c r="C10" s="138">
        <v>6.35</v>
      </c>
      <c r="D10" s="35" t="s">
        <v>36</v>
      </c>
      <c r="E10" s="35"/>
      <c r="F10" s="35"/>
      <c r="G10" s="35"/>
      <c r="H10" s="35"/>
      <c r="I10" s="7">
        <v>4.0000000000000001E-3</v>
      </c>
      <c r="J10" s="7">
        <v>0.02</v>
      </c>
      <c r="K10" s="139" t="s">
        <v>374</v>
      </c>
      <c r="L10" s="59"/>
      <c r="M10" s="35"/>
      <c r="N10" s="41">
        <f t="shared" si="0"/>
        <v>4.5399999999999996E-2</v>
      </c>
      <c r="O10" s="35"/>
      <c r="P10" s="37">
        <v>39867</v>
      </c>
      <c r="Q10" s="61"/>
      <c r="R10" s="60" t="s">
        <v>1078</v>
      </c>
    </row>
    <row r="11" spans="1:19" ht="82.5" customHeight="1" x14ac:dyDescent="0.25">
      <c r="A11">
        <v>8</v>
      </c>
      <c r="B11" s="44" t="s">
        <v>1086</v>
      </c>
      <c r="C11" s="141">
        <v>50</v>
      </c>
      <c r="D11" s="35" t="s">
        <v>36</v>
      </c>
      <c r="E11" s="35"/>
      <c r="F11" s="35"/>
      <c r="G11" s="35"/>
      <c r="H11" s="35"/>
      <c r="I11" s="35">
        <v>0.11799999999999999</v>
      </c>
      <c r="J11" s="35">
        <v>10.46</v>
      </c>
      <c r="K11" s="139" t="s">
        <v>374</v>
      </c>
      <c r="L11" s="142"/>
      <c r="M11" s="35"/>
      <c r="N11" s="48">
        <f>I11*C11+J11</f>
        <v>16.36</v>
      </c>
      <c r="O11" s="35"/>
      <c r="P11" s="37">
        <v>39868</v>
      </c>
      <c r="Q11" s="35"/>
      <c r="R11" s="60" t="s">
        <v>1078</v>
      </c>
      <c r="S11" s="2" t="s">
        <v>1087</v>
      </c>
    </row>
    <row r="12" spans="1:19" ht="82.5" customHeight="1" x14ac:dyDescent="0.25">
      <c r="A12">
        <v>9</v>
      </c>
      <c r="B12" s="35" t="s">
        <v>1088</v>
      </c>
      <c r="C12" s="138">
        <v>25.4</v>
      </c>
      <c r="D12" s="35" t="s">
        <v>36</v>
      </c>
      <c r="E12" s="35"/>
      <c r="F12" s="35"/>
      <c r="G12" s="35" t="s">
        <v>1077</v>
      </c>
      <c r="H12" s="35"/>
      <c r="I12" s="7">
        <v>4.0000000000000001E-3</v>
      </c>
      <c r="J12" s="7">
        <v>0.5</v>
      </c>
      <c r="K12" s="139" t="s">
        <v>374</v>
      </c>
      <c r="L12" s="59"/>
      <c r="M12" s="35" t="s">
        <v>1077</v>
      </c>
      <c r="N12" s="48">
        <f t="shared" si="0"/>
        <v>0.60160000000000002</v>
      </c>
      <c r="O12" s="35"/>
      <c r="P12" s="37">
        <v>39855</v>
      </c>
      <c r="Q12" s="35"/>
      <c r="R12" s="60" t="s">
        <v>1078</v>
      </c>
    </row>
    <row r="13" spans="1:19" ht="82.5" customHeight="1" x14ac:dyDescent="0.25">
      <c r="A13">
        <v>10</v>
      </c>
      <c r="B13" s="35" t="s">
        <v>1089</v>
      </c>
      <c r="C13" s="138">
        <v>6</v>
      </c>
      <c r="D13" s="35" t="s">
        <v>36</v>
      </c>
      <c r="E13" s="35"/>
      <c r="F13" s="35"/>
      <c r="G13" s="35" t="s">
        <v>1090</v>
      </c>
      <c r="H13" s="35"/>
      <c r="I13" s="7">
        <v>1.8000000000000001E-4</v>
      </c>
      <c r="J13" s="7">
        <v>1.2999999999999999E-2</v>
      </c>
      <c r="K13" s="38" t="s">
        <v>1091</v>
      </c>
      <c r="L13" s="59"/>
      <c r="M13" s="35"/>
      <c r="N13" s="59">
        <f>I13*(C13^2)+J13</f>
        <v>1.9480000000000001E-2</v>
      </c>
      <c r="O13" s="35"/>
      <c r="P13" s="37">
        <v>39855</v>
      </c>
      <c r="Q13" s="35"/>
      <c r="R13" s="35" t="s">
        <v>1092</v>
      </c>
    </row>
    <row r="14" spans="1:19" ht="82.5" customHeight="1" x14ac:dyDescent="0.25">
      <c r="A14">
        <v>11</v>
      </c>
      <c r="B14" s="35" t="s">
        <v>1093</v>
      </c>
      <c r="C14" s="138">
        <v>6</v>
      </c>
      <c r="D14" s="35" t="s">
        <v>36</v>
      </c>
      <c r="E14" s="35"/>
      <c r="F14" s="35"/>
      <c r="G14" s="35" t="s">
        <v>1090</v>
      </c>
      <c r="H14" s="35"/>
      <c r="I14" s="7">
        <v>1.8000000000000001E-4</v>
      </c>
      <c r="J14" s="7">
        <v>1.2999999999999999E-2</v>
      </c>
      <c r="K14" s="38" t="s">
        <v>1091</v>
      </c>
      <c r="L14" s="59"/>
      <c r="M14" s="35"/>
      <c r="N14" s="59">
        <f>I14*(C14^2)+J14</f>
        <v>1.9480000000000001E-2</v>
      </c>
      <c r="O14" s="35"/>
      <c r="P14" s="37">
        <v>39855</v>
      </c>
      <c r="Q14" s="35"/>
      <c r="R14" s="35" t="s">
        <v>1092</v>
      </c>
    </row>
    <row r="15" spans="1:19" ht="82.5" customHeight="1" x14ac:dyDescent="0.25">
      <c r="A15">
        <v>12</v>
      </c>
      <c r="B15" s="35" t="s">
        <v>1094</v>
      </c>
      <c r="C15" s="138">
        <v>6</v>
      </c>
      <c r="D15" s="35" t="s">
        <v>36</v>
      </c>
      <c r="E15" s="35"/>
      <c r="F15" s="35"/>
      <c r="G15" s="35" t="s">
        <v>1090</v>
      </c>
      <c r="H15" s="35"/>
      <c r="I15" s="7">
        <v>1.8000000000000001E-4</v>
      </c>
      <c r="J15" s="7">
        <v>1.2999999999999999E-2</v>
      </c>
      <c r="K15" s="38" t="s">
        <v>1091</v>
      </c>
      <c r="L15" s="59"/>
      <c r="M15" s="35"/>
      <c r="N15" s="59">
        <f>I15*(C15^2)+J15</f>
        <v>1.9480000000000001E-2</v>
      </c>
      <c r="O15" s="35"/>
      <c r="P15" s="37">
        <v>39855</v>
      </c>
      <c r="Q15" s="35"/>
      <c r="R15" s="35" t="s">
        <v>1092</v>
      </c>
    </row>
    <row r="16" spans="1:19" ht="82.5" customHeight="1" x14ac:dyDescent="0.25">
      <c r="A16">
        <v>13</v>
      </c>
      <c r="B16" s="35" t="s">
        <v>1095</v>
      </c>
      <c r="C16" s="138">
        <v>6</v>
      </c>
      <c r="D16" s="35" t="s">
        <v>36</v>
      </c>
      <c r="E16" s="35"/>
      <c r="F16" s="35"/>
      <c r="G16" s="35" t="s">
        <v>1090</v>
      </c>
      <c r="H16" s="35"/>
      <c r="I16" s="7">
        <v>1.8000000000000001E-4</v>
      </c>
      <c r="J16" s="7">
        <v>2.5000000000000001E-2</v>
      </c>
      <c r="K16" s="38" t="s">
        <v>1091</v>
      </c>
      <c r="L16" s="59"/>
      <c r="M16" s="35"/>
      <c r="N16" s="59">
        <f>I16*(C16^2)+J16</f>
        <v>3.1480000000000001E-2</v>
      </c>
      <c r="O16" s="35"/>
      <c r="P16" s="37">
        <v>39855</v>
      </c>
      <c r="Q16" s="35"/>
      <c r="R16" s="35" t="s">
        <v>1092</v>
      </c>
    </row>
    <row r="17" spans="1:19" x14ac:dyDescent="0.25">
      <c r="A17">
        <v>14</v>
      </c>
      <c r="B17" s="44" t="s">
        <v>1450</v>
      </c>
      <c r="C17" s="142">
        <v>4</v>
      </c>
      <c r="D17" s="35" t="s">
        <v>33</v>
      </c>
      <c r="E17" s="35"/>
      <c r="F17" s="35"/>
      <c r="G17" s="35"/>
      <c r="H17" s="3"/>
      <c r="I17" s="7"/>
      <c r="J17" s="7"/>
      <c r="K17" s="38"/>
      <c r="L17" s="8"/>
      <c r="M17" s="3"/>
      <c r="N17" s="8"/>
      <c r="O17" s="3"/>
      <c r="P17" s="37">
        <v>40670</v>
      </c>
      <c r="Q17" s="35"/>
      <c r="R17" s="35"/>
    </row>
    <row r="18" spans="1:19" ht="30" x14ac:dyDescent="0.25">
      <c r="A18">
        <v>15</v>
      </c>
      <c r="B18" s="44" t="s">
        <v>1096</v>
      </c>
      <c r="C18" s="35"/>
      <c r="D18" s="35" t="s">
        <v>36</v>
      </c>
      <c r="E18" s="35"/>
      <c r="F18" s="35" t="s">
        <v>36</v>
      </c>
      <c r="G18" s="43" t="s">
        <v>1097</v>
      </c>
      <c r="H18" s="58"/>
      <c r="I18" s="143">
        <v>1</v>
      </c>
      <c r="J18" s="144">
        <v>5.0000000000000001E-3</v>
      </c>
      <c r="K18" s="43" t="s">
        <v>1098</v>
      </c>
      <c r="L18" s="51"/>
      <c r="M18" s="51"/>
      <c r="N18" s="48">
        <f>I18/105154*C18^2*E18*SQRT(E18)+(J18*EXP(0.319*C18))</f>
        <v>5.0000000000000001E-3</v>
      </c>
      <c r="O18" s="145"/>
      <c r="P18" s="37">
        <v>39868</v>
      </c>
      <c r="Q18" s="35"/>
      <c r="R18" s="44" t="s">
        <v>1099</v>
      </c>
    </row>
    <row r="19" spans="1:19" x14ac:dyDescent="0.25">
      <c r="A19">
        <v>16</v>
      </c>
      <c r="B19" s="2" t="s">
        <v>1100</v>
      </c>
      <c r="C19" s="142"/>
      <c r="D19" s="35" t="s">
        <v>33</v>
      </c>
      <c r="E19" s="35"/>
      <c r="F19" s="35"/>
      <c r="G19" s="35"/>
      <c r="H19" s="35"/>
      <c r="I19" s="35"/>
      <c r="J19" s="35"/>
      <c r="K19" s="146"/>
      <c r="L19" s="142"/>
      <c r="M19" s="35"/>
      <c r="N19" s="35"/>
      <c r="O19" s="35"/>
      <c r="P19" s="37">
        <v>39880</v>
      </c>
      <c r="Q19" s="35"/>
      <c r="R19" s="40" t="s">
        <v>1101</v>
      </c>
      <c r="S19" s="2" t="s">
        <v>1087</v>
      </c>
    </row>
    <row r="20" spans="1:19" x14ac:dyDescent="0.25">
      <c r="A20">
        <v>17</v>
      </c>
      <c r="B20" s="35" t="s">
        <v>1102</v>
      </c>
      <c r="C20" s="147">
        <v>0</v>
      </c>
      <c r="D20" s="35" t="s">
        <v>33</v>
      </c>
      <c r="E20" s="35"/>
      <c r="F20" s="35"/>
      <c r="G20" s="35" t="s">
        <v>1097</v>
      </c>
      <c r="H20" s="42"/>
      <c r="I20" s="38"/>
      <c r="J20" s="38"/>
      <c r="K20" s="142"/>
      <c r="L20" s="148"/>
      <c r="M20" s="42"/>
      <c r="N20" s="35"/>
      <c r="O20" s="42"/>
      <c r="P20" s="37">
        <v>39855</v>
      </c>
      <c r="Q20" s="35"/>
      <c r="R20" s="40" t="s">
        <v>1103</v>
      </c>
    </row>
    <row r="21" spans="1:19" ht="30" x14ac:dyDescent="0.25">
      <c r="A21">
        <v>18</v>
      </c>
      <c r="B21" s="35" t="s">
        <v>1104</v>
      </c>
      <c r="C21" s="35">
        <v>12.7</v>
      </c>
      <c r="D21" s="35" t="s">
        <v>36</v>
      </c>
      <c r="E21" s="35">
        <v>0</v>
      </c>
      <c r="F21" s="35" t="s">
        <v>36</v>
      </c>
      <c r="G21" s="43" t="s">
        <v>1097</v>
      </c>
      <c r="H21" s="58"/>
      <c r="I21" s="143">
        <v>1</v>
      </c>
      <c r="J21" s="144">
        <v>4.0000000000000001E-3</v>
      </c>
      <c r="K21" s="43" t="s">
        <v>1098</v>
      </c>
      <c r="L21" s="51"/>
      <c r="M21" s="51"/>
      <c r="N21" s="48">
        <f t="shared" ref="N21:N27" si="1">I21/105154*C21^2*E21*SQRT(E21)+(J21*EXP(0.319*C21))</f>
        <v>0.22988848904592127</v>
      </c>
      <c r="O21" s="145"/>
      <c r="P21" s="149"/>
      <c r="Q21" s="35"/>
      <c r="R21" s="35" t="s">
        <v>1105</v>
      </c>
    </row>
    <row r="22" spans="1:19" ht="30" x14ac:dyDescent="0.25">
      <c r="A22">
        <v>19</v>
      </c>
      <c r="B22" s="35" t="s">
        <v>1106</v>
      </c>
      <c r="C22" s="35">
        <v>12.7</v>
      </c>
      <c r="D22" s="35" t="s">
        <v>36</v>
      </c>
      <c r="E22" s="35">
        <v>0</v>
      </c>
      <c r="F22" s="35" t="s">
        <v>36</v>
      </c>
      <c r="G22" s="43" t="s">
        <v>1097</v>
      </c>
      <c r="H22" s="58"/>
      <c r="I22" s="143">
        <v>1.25</v>
      </c>
      <c r="J22" s="144">
        <v>5.0000000000000001E-3</v>
      </c>
      <c r="K22" s="43" t="s">
        <v>1098</v>
      </c>
      <c r="L22" s="51"/>
      <c r="M22" s="51"/>
      <c r="N22" s="48">
        <f t="shared" si="1"/>
        <v>0.28736061130740159</v>
      </c>
      <c r="O22" s="145"/>
      <c r="P22" s="149"/>
      <c r="Q22" s="35"/>
      <c r="R22" s="35" t="s">
        <v>1107</v>
      </c>
    </row>
    <row r="23" spans="1:19" ht="30" x14ac:dyDescent="0.25">
      <c r="A23">
        <v>20</v>
      </c>
      <c r="B23" s="35" t="s">
        <v>1108</v>
      </c>
      <c r="C23" s="35">
        <v>12.7</v>
      </c>
      <c r="D23" s="35" t="s">
        <v>36</v>
      </c>
      <c r="E23" s="35">
        <v>0</v>
      </c>
      <c r="F23" s="35" t="s">
        <v>36</v>
      </c>
      <c r="G23" s="43" t="s">
        <v>1097</v>
      </c>
      <c r="H23" s="46"/>
      <c r="I23" s="143">
        <v>0.60000000000000009</v>
      </c>
      <c r="J23" s="144">
        <v>2.3999999999999998E-3</v>
      </c>
      <c r="K23" s="43" t="s">
        <v>1109</v>
      </c>
      <c r="L23" s="49"/>
      <c r="M23" s="49"/>
      <c r="N23" s="48">
        <f t="shared" si="1"/>
        <v>0.13793309342755275</v>
      </c>
      <c r="O23" s="145"/>
      <c r="P23" s="149"/>
      <c r="Q23" s="35"/>
      <c r="R23" s="35" t="s">
        <v>1110</v>
      </c>
    </row>
    <row r="24" spans="1:19" ht="30" x14ac:dyDescent="0.25">
      <c r="A24">
        <v>21</v>
      </c>
      <c r="B24" s="35" t="s">
        <v>1111</v>
      </c>
      <c r="C24" s="35">
        <v>12.7</v>
      </c>
      <c r="D24" s="35" t="s">
        <v>36</v>
      </c>
      <c r="E24" s="35">
        <v>0</v>
      </c>
      <c r="F24" s="35" t="s">
        <v>36</v>
      </c>
      <c r="G24" s="43" t="s">
        <v>1097</v>
      </c>
      <c r="H24" s="46"/>
      <c r="I24" s="143">
        <v>0.8</v>
      </c>
      <c r="J24" s="144">
        <v>3.0000000000000001E-3</v>
      </c>
      <c r="K24" s="43" t="s">
        <v>1098</v>
      </c>
      <c r="L24" s="49"/>
      <c r="M24" s="49"/>
      <c r="N24" s="48">
        <f t="shared" si="1"/>
        <v>0.17241636678444094</v>
      </c>
      <c r="O24" s="145"/>
      <c r="P24" s="149"/>
      <c r="Q24" s="35"/>
      <c r="R24" s="35" t="s">
        <v>1112</v>
      </c>
    </row>
    <row r="25" spans="1:19" ht="30" x14ac:dyDescent="0.25">
      <c r="A25">
        <v>22</v>
      </c>
      <c r="B25" s="35" t="s">
        <v>1113</v>
      </c>
      <c r="C25" s="35">
        <v>12.7</v>
      </c>
      <c r="D25" s="35" t="s">
        <v>36</v>
      </c>
      <c r="E25" s="35">
        <v>0</v>
      </c>
      <c r="F25" s="35" t="s">
        <v>36</v>
      </c>
      <c r="G25" s="43" t="s">
        <v>1097</v>
      </c>
      <c r="H25" s="35"/>
      <c r="I25" s="57">
        <v>2</v>
      </c>
      <c r="J25" s="57">
        <v>0.02</v>
      </c>
      <c r="K25" s="43" t="s">
        <v>1098</v>
      </c>
      <c r="L25" s="38"/>
      <c r="M25" s="35"/>
      <c r="N25" s="48">
        <f t="shared" si="1"/>
        <v>1.1494424452296064</v>
      </c>
      <c r="O25" s="145"/>
      <c r="P25" s="149"/>
      <c r="Q25" s="35"/>
      <c r="R25" s="35" t="s">
        <v>1112</v>
      </c>
    </row>
    <row r="26" spans="1:19" ht="30" x14ac:dyDescent="0.25">
      <c r="A26">
        <v>23</v>
      </c>
      <c r="B26" s="35" t="s">
        <v>1114</v>
      </c>
      <c r="C26" s="35">
        <v>12.7</v>
      </c>
      <c r="D26" s="35" t="s">
        <v>36</v>
      </c>
      <c r="E26" s="35">
        <v>0</v>
      </c>
      <c r="F26" s="35" t="s">
        <v>36</v>
      </c>
      <c r="G26" s="43" t="s">
        <v>1097</v>
      </c>
      <c r="H26" s="42"/>
      <c r="I26" s="57">
        <v>6.25</v>
      </c>
      <c r="J26" s="57">
        <v>0.1</v>
      </c>
      <c r="K26" s="43" t="s">
        <v>1098</v>
      </c>
      <c r="L26" s="53"/>
      <c r="M26" s="42"/>
      <c r="N26" s="48">
        <f t="shared" si="1"/>
        <v>5.7472122261480321</v>
      </c>
      <c r="O26" s="145"/>
      <c r="P26" s="149"/>
      <c r="Q26" s="35"/>
      <c r="R26" s="35" t="s">
        <v>1115</v>
      </c>
    </row>
    <row r="27" spans="1:19" ht="30" x14ac:dyDescent="0.25">
      <c r="A27">
        <v>24</v>
      </c>
      <c r="B27" s="35" t="s">
        <v>1116</v>
      </c>
      <c r="C27" s="35">
        <v>12.7</v>
      </c>
      <c r="D27" s="35" t="s">
        <v>36</v>
      </c>
      <c r="E27" s="35">
        <v>0</v>
      </c>
      <c r="F27" s="35" t="s">
        <v>36</v>
      </c>
      <c r="G27" s="43" t="s">
        <v>1097</v>
      </c>
      <c r="H27" s="42"/>
      <c r="I27" s="57">
        <v>2.5</v>
      </c>
      <c r="J27" s="57">
        <v>0.04</v>
      </c>
      <c r="K27" s="43" t="s">
        <v>1098</v>
      </c>
      <c r="L27" s="53"/>
      <c r="M27" s="42"/>
      <c r="N27" s="48">
        <f t="shared" si="1"/>
        <v>2.2988848904592127</v>
      </c>
      <c r="O27" s="145"/>
      <c r="P27" s="149"/>
      <c r="Q27" s="35"/>
      <c r="R27" s="35" t="s">
        <v>1117</v>
      </c>
    </row>
    <row r="28" spans="1:19" x14ac:dyDescent="0.25">
      <c r="A28">
        <v>25</v>
      </c>
      <c r="B28" s="35" t="s">
        <v>1118</v>
      </c>
      <c r="C28" s="142">
        <v>1.2</v>
      </c>
      <c r="D28" s="35" t="s">
        <v>33</v>
      </c>
      <c r="E28" s="35"/>
      <c r="F28" s="35"/>
      <c r="G28" s="35"/>
      <c r="H28" s="42"/>
      <c r="I28" s="35"/>
      <c r="J28" s="35"/>
      <c r="K28" s="146"/>
      <c r="L28" s="150"/>
      <c r="M28" s="42"/>
      <c r="N28" s="35"/>
      <c r="O28" s="3"/>
      <c r="P28" s="37">
        <v>39868</v>
      </c>
      <c r="Q28" s="35"/>
      <c r="R28" s="40" t="s">
        <v>1119</v>
      </c>
    </row>
    <row r="29" spans="1:19" ht="15.95" customHeight="1" x14ac:dyDescent="0.25">
      <c r="A29">
        <v>26</v>
      </c>
      <c r="B29" s="35" t="s">
        <v>1120</v>
      </c>
      <c r="C29" s="142">
        <v>1.3</v>
      </c>
      <c r="D29" s="35" t="s">
        <v>33</v>
      </c>
      <c r="E29" s="35"/>
      <c r="F29" s="35"/>
      <c r="G29" s="35"/>
      <c r="H29" s="35"/>
      <c r="I29" s="35"/>
      <c r="J29" s="35"/>
      <c r="K29" s="146"/>
      <c r="L29" s="151"/>
      <c r="M29" s="42"/>
      <c r="N29" s="35"/>
      <c r="O29" s="35"/>
      <c r="P29" s="37">
        <v>39868</v>
      </c>
      <c r="Q29" s="42"/>
      <c r="R29" s="40" t="s">
        <v>1119</v>
      </c>
    </row>
    <row r="30" spans="1:19" ht="15.95" customHeight="1" x14ac:dyDescent="0.25">
      <c r="A30">
        <v>27</v>
      </c>
      <c r="B30" s="35" t="s">
        <v>1121</v>
      </c>
      <c r="C30" s="142"/>
      <c r="D30" s="35" t="s">
        <v>36</v>
      </c>
      <c r="E30" s="35"/>
      <c r="F30" s="3"/>
      <c r="G30" s="35"/>
      <c r="H30" s="35"/>
      <c r="I30" s="35">
        <v>0.87</v>
      </c>
      <c r="J30" s="35">
        <v>0.05</v>
      </c>
      <c r="K30" s="43" t="s">
        <v>1449</v>
      </c>
      <c r="L30" s="151"/>
      <c r="M30" s="42"/>
      <c r="N30" s="48">
        <f>(I30*EXP(J30*C30))</f>
        <v>0.87</v>
      </c>
      <c r="O30" s="35"/>
      <c r="P30" s="37">
        <v>39936</v>
      </c>
      <c r="Q30" s="42"/>
      <c r="R30" s="40" t="s">
        <v>1123</v>
      </c>
    </row>
    <row r="31" spans="1:19" ht="15.95" customHeight="1" x14ac:dyDescent="0.25">
      <c r="A31">
        <v>28</v>
      </c>
      <c r="B31" s="35" t="s">
        <v>1124</v>
      </c>
      <c r="C31" s="152">
        <v>3.0000000000000001E-3</v>
      </c>
      <c r="D31" s="35" t="s">
        <v>375</v>
      </c>
      <c r="E31" s="35"/>
      <c r="G31" s="35"/>
      <c r="H31" s="35"/>
      <c r="I31" s="35"/>
      <c r="J31" s="35"/>
      <c r="K31" s="146"/>
      <c r="L31" s="151"/>
      <c r="M31" s="42"/>
      <c r="N31" s="35"/>
      <c r="O31" s="35"/>
      <c r="P31" s="37"/>
      <c r="Q31" s="42"/>
      <c r="R31" s="40" t="s">
        <v>1125</v>
      </c>
    </row>
    <row r="32" spans="1:19" ht="15.95" customHeight="1" x14ac:dyDescent="0.25">
      <c r="A32">
        <v>29</v>
      </c>
      <c r="B32" s="35" t="s">
        <v>1126</v>
      </c>
      <c r="C32" s="152">
        <v>2E-3</v>
      </c>
      <c r="D32" s="35" t="s">
        <v>375</v>
      </c>
      <c r="E32" s="35"/>
      <c r="G32" s="35"/>
      <c r="H32" s="35"/>
      <c r="I32" s="35"/>
      <c r="J32" s="35"/>
      <c r="K32" s="146"/>
      <c r="L32" s="151"/>
      <c r="M32" s="42"/>
      <c r="N32" s="35"/>
      <c r="O32" s="35"/>
      <c r="P32" s="37"/>
      <c r="Q32" s="42"/>
      <c r="R32" s="40" t="s">
        <v>1127</v>
      </c>
    </row>
    <row r="33" spans="1:21" ht="15.95" customHeight="1" x14ac:dyDescent="0.25">
      <c r="A33">
        <v>30</v>
      </c>
      <c r="B33" s="35" t="s">
        <v>1128</v>
      </c>
      <c r="C33" s="142">
        <v>0</v>
      </c>
      <c r="D33" s="35" t="s">
        <v>33</v>
      </c>
      <c r="E33" s="35"/>
      <c r="F33" s="35"/>
      <c r="G33" s="35" t="s">
        <v>1129</v>
      </c>
      <c r="H33" s="35"/>
      <c r="I33" s="38"/>
      <c r="J33" s="38"/>
      <c r="K33" s="142"/>
      <c r="L33" s="151"/>
      <c r="M33" s="42"/>
      <c r="N33" s="35"/>
      <c r="O33" s="35"/>
      <c r="P33" s="37">
        <v>39855</v>
      </c>
      <c r="Q33" s="42"/>
      <c r="R33" s="40" t="s">
        <v>1130</v>
      </c>
    </row>
    <row r="34" spans="1:21" ht="15.95" customHeight="1" x14ac:dyDescent="0.25">
      <c r="A34">
        <v>31</v>
      </c>
      <c r="B34" s="44" t="s">
        <v>1131</v>
      </c>
      <c r="C34" s="138"/>
      <c r="D34" s="35" t="s">
        <v>36</v>
      </c>
      <c r="E34" s="35"/>
      <c r="F34" s="35" t="s">
        <v>36</v>
      </c>
      <c r="G34" s="35" t="s">
        <v>1129</v>
      </c>
      <c r="H34" s="35"/>
      <c r="I34" s="144">
        <v>1.2E-2</v>
      </c>
      <c r="J34" s="144">
        <v>0.2</v>
      </c>
      <c r="K34" s="43" t="s">
        <v>1122</v>
      </c>
      <c r="L34" s="51"/>
      <c r="M34" s="51"/>
      <c r="N34" s="48">
        <f t="shared" ref="N34:N40" si="2">(I34*EXP(J34*C34))</f>
        <v>1.2E-2</v>
      </c>
      <c r="O34" s="141"/>
      <c r="P34" s="37">
        <v>39855</v>
      </c>
      <c r="R34" s="35" t="s">
        <v>1132</v>
      </c>
    </row>
    <row r="35" spans="1:21" ht="15.95" customHeight="1" x14ac:dyDescent="0.25">
      <c r="A35">
        <v>32</v>
      </c>
      <c r="B35" s="44" t="s">
        <v>1133</v>
      </c>
      <c r="C35" s="138"/>
      <c r="D35" s="35" t="s">
        <v>36</v>
      </c>
      <c r="E35" s="35"/>
      <c r="F35" s="35" t="s">
        <v>36</v>
      </c>
      <c r="G35" s="35" t="s">
        <v>1129</v>
      </c>
      <c r="H35" s="35"/>
      <c r="I35" s="144">
        <v>1.4999999999999999E-2</v>
      </c>
      <c r="J35" s="144">
        <v>0.2</v>
      </c>
      <c r="K35" s="43" t="s">
        <v>1122</v>
      </c>
      <c r="L35" s="51"/>
      <c r="M35" s="51"/>
      <c r="N35" s="48">
        <f t="shared" si="2"/>
        <v>1.4999999999999999E-2</v>
      </c>
      <c r="O35" s="141"/>
      <c r="P35" s="37">
        <v>39855</v>
      </c>
      <c r="R35" s="35" t="s">
        <v>1132</v>
      </c>
    </row>
    <row r="36" spans="1:21" ht="15.95" customHeight="1" x14ac:dyDescent="0.25">
      <c r="A36">
        <v>33</v>
      </c>
      <c r="B36" s="44" t="s">
        <v>1134</v>
      </c>
      <c r="C36" s="138"/>
      <c r="D36" s="35" t="s">
        <v>36</v>
      </c>
      <c r="E36" s="35"/>
      <c r="F36" s="35" t="s">
        <v>36</v>
      </c>
      <c r="G36" s="35" t="s">
        <v>1129</v>
      </c>
      <c r="H36" s="35"/>
      <c r="I36" s="144">
        <v>7.0000000000000001E-3</v>
      </c>
      <c r="J36" s="144">
        <v>0.2</v>
      </c>
      <c r="K36" s="43" t="s">
        <v>1122</v>
      </c>
      <c r="L36" s="49"/>
      <c r="M36" s="49"/>
      <c r="N36" s="48">
        <f t="shared" si="2"/>
        <v>7.0000000000000001E-3</v>
      </c>
      <c r="O36" s="141"/>
      <c r="P36" s="37">
        <v>39855</v>
      </c>
      <c r="R36" s="35"/>
    </row>
    <row r="37" spans="1:21" ht="15.95" customHeight="1" x14ac:dyDescent="0.25">
      <c r="A37">
        <v>34</v>
      </c>
      <c r="B37" s="44" t="s">
        <v>1135</v>
      </c>
      <c r="C37" s="138"/>
      <c r="D37" s="35" t="s">
        <v>36</v>
      </c>
      <c r="E37" s="35"/>
      <c r="F37" s="35" t="s">
        <v>36</v>
      </c>
      <c r="G37" s="35" t="s">
        <v>1129</v>
      </c>
      <c r="H37" s="35"/>
      <c r="I37" s="144">
        <v>8.9999999999999993E-3</v>
      </c>
      <c r="J37" s="144">
        <v>0.2</v>
      </c>
      <c r="K37" s="43" t="s">
        <v>1122</v>
      </c>
      <c r="L37" s="49"/>
      <c r="M37" s="49"/>
      <c r="N37" s="48">
        <f t="shared" si="2"/>
        <v>8.9999999999999993E-3</v>
      </c>
      <c r="O37" s="141"/>
      <c r="P37" s="37">
        <v>39855</v>
      </c>
      <c r="R37" s="35" t="s">
        <v>1132</v>
      </c>
    </row>
    <row r="38" spans="1:21" ht="15.95" customHeight="1" x14ac:dyDescent="0.25">
      <c r="A38">
        <v>35</v>
      </c>
      <c r="B38" s="44" t="s">
        <v>1136</v>
      </c>
      <c r="C38" s="138"/>
      <c r="D38" s="35" t="s">
        <v>36</v>
      </c>
      <c r="E38" s="35"/>
      <c r="F38" s="35" t="s">
        <v>36</v>
      </c>
      <c r="G38" s="35" t="s">
        <v>1129</v>
      </c>
      <c r="H38" s="35"/>
      <c r="I38" s="144">
        <v>0.06</v>
      </c>
      <c r="J38" s="144">
        <v>0.2</v>
      </c>
      <c r="K38" s="43" t="s">
        <v>1122</v>
      </c>
      <c r="L38" s="38"/>
      <c r="M38" s="35"/>
      <c r="N38" s="48">
        <f t="shared" si="2"/>
        <v>0.06</v>
      </c>
      <c r="O38" s="141"/>
      <c r="P38" s="37">
        <v>39855</v>
      </c>
      <c r="R38" s="35" t="s">
        <v>1132</v>
      </c>
    </row>
    <row r="39" spans="1:21" ht="30" x14ac:dyDescent="0.25">
      <c r="A39">
        <v>36</v>
      </c>
      <c r="B39" s="44" t="s">
        <v>1137</v>
      </c>
      <c r="C39" s="138"/>
      <c r="D39" s="35" t="s">
        <v>36</v>
      </c>
      <c r="E39" s="35"/>
      <c r="F39" s="35" t="s">
        <v>36</v>
      </c>
      <c r="G39" s="42" t="s">
        <v>1129</v>
      </c>
      <c r="H39" s="35"/>
      <c r="I39" s="144">
        <v>0.3</v>
      </c>
      <c r="J39" s="144">
        <v>0.2</v>
      </c>
      <c r="K39" s="43" t="s">
        <v>1122</v>
      </c>
      <c r="L39" s="38"/>
      <c r="M39" s="35"/>
      <c r="N39" s="50">
        <f t="shared" si="2"/>
        <v>0.3</v>
      </c>
      <c r="O39" s="141"/>
      <c r="P39" s="37">
        <v>39855</v>
      </c>
      <c r="R39" s="35" t="s">
        <v>1138</v>
      </c>
    </row>
    <row r="40" spans="1:21" ht="30" x14ac:dyDescent="0.25">
      <c r="A40">
        <v>37</v>
      </c>
      <c r="B40" s="35" t="s">
        <v>1139</v>
      </c>
      <c r="C40" s="138"/>
      <c r="D40" s="35" t="s">
        <v>36</v>
      </c>
      <c r="E40" s="35"/>
      <c r="F40" s="35" t="s">
        <v>36</v>
      </c>
      <c r="G40" s="35" t="s">
        <v>1129</v>
      </c>
      <c r="H40" s="42"/>
      <c r="I40" s="144">
        <v>0.12</v>
      </c>
      <c r="J40" s="144">
        <v>0.2</v>
      </c>
      <c r="K40" s="43" t="s">
        <v>1122</v>
      </c>
      <c r="L40" s="38"/>
      <c r="M40" s="35"/>
      <c r="N40" s="48">
        <f t="shared" si="2"/>
        <v>0.12</v>
      </c>
      <c r="O40" s="141"/>
      <c r="P40" s="37">
        <v>39855</v>
      </c>
      <c r="Q40" s="52"/>
      <c r="R40" s="35" t="s">
        <v>1132</v>
      </c>
    </row>
    <row r="41" spans="1:21" ht="15.75" thickBot="1" x14ac:dyDescent="0.3">
      <c r="A41">
        <v>38</v>
      </c>
      <c r="B41" s="35" t="s">
        <v>1140</v>
      </c>
      <c r="C41" s="142">
        <v>0.4</v>
      </c>
      <c r="D41" s="35" t="s">
        <v>33</v>
      </c>
      <c r="E41" s="35"/>
      <c r="F41" s="35"/>
      <c r="G41" s="35"/>
      <c r="H41" s="42"/>
      <c r="I41" s="38"/>
      <c r="J41" s="38"/>
      <c r="K41" s="142"/>
      <c r="L41" s="142"/>
      <c r="M41" s="35"/>
      <c r="N41" s="35"/>
      <c r="O41" s="35"/>
      <c r="P41" s="37">
        <v>39861</v>
      </c>
      <c r="Q41" s="35"/>
      <c r="R41" s="40" t="s">
        <v>1141</v>
      </c>
    </row>
    <row r="42" spans="1:21" ht="16.5" thickTop="1" thickBot="1" x14ac:dyDescent="0.3">
      <c r="A42">
        <v>39</v>
      </c>
      <c r="B42" s="35" t="s">
        <v>1142</v>
      </c>
      <c r="C42" s="142"/>
      <c r="D42" s="35" t="s">
        <v>33</v>
      </c>
      <c r="E42" s="35"/>
      <c r="F42" s="35" t="s">
        <v>36</v>
      </c>
      <c r="G42" s="35"/>
      <c r="H42" s="42"/>
      <c r="I42" s="153">
        <v>0.05</v>
      </c>
      <c r="J42" s="153">
        <v>0.25</v>
      </c>
      <c r="K42" s="43" t="s">
        <v>1448</v>
      </c>
      <c r="L42" s="151"/>
      <c r="M42" s="35"/>
      <c r="N42" s="41">
        <f>(I42*EXP(J42*C42))</f>
        <v>0.05</v>
      </c>
      <c r="O42" s="35"/>
      <c r="P42" s="56">
        <v>39873</v>
      </c>
      <c r="Q42" s="35"/>
      <c r="R42" s="40" t="s">
        <v>1143</v>
      </c>
      <c r="S42" s="2" t="s">
        <v>1087</v>
      </c>
      <c r="U42" s="47"/>
    </row>
    <row r="43" spans="1:21" ht="15.75" thickTop="1" x14ac:dyDescent="0.25">
      <c r="A43">
        <v>40</v>
      </c>
      <c r="B43" s="35" t="s">
        <v>1144</v>
      </c>
      <c r="C43" s="142"/>
      <c r="D43" s="35" t="s">
        <v>33</v>
      </c>
      <c r="E43" s="35"/>
      <c r="F43" s="35" t="s">
        <v>36</v>
      </c>
      <c r="G43" s="35"/>
      <c r="H43" s="42"/>
      <c r="I43" s="153">
        <v>0.05</v>
      </c>
      <c r="J43" s="153">
        <v>0.25</v>
      </c>
      <c r="K43" s="43" t="s">
        <v>579</v>
      </c>
      <c r="L43" s="151"/>
      <c r="M43" s="35"/>
      <c r="N43" s="41">
        <f>(I43*EXP(J43*C43))</f>
        <v>0.05</v>
      </c>
      <c r="O43" s="35"/>
      <c r="P43" s="37">
        <v>39868</v>
      </c>
      <c r="Q43" s="35"/>
      <c r="R43" s="40"/>
      <c r="S43" s="2" t="s">
        <v>1087</v>
      </c>
      <c r="U43" s="47"/>
    </row>
    <row r="44" spans="1:21" x14ac:dyDescent="0.25">
      <c r="A44">
        <v>41</v>
      </c>
      <c r="B44" s="35" t="s">
        <v>1145</v>
      </c>
      <c r="C44" s="146">
        <v>0.05</v>
      </c>
      <c r="D44" s="35"/>
      <c r="E44" s="35"/>
      <c r="F44" s="35"/>
      <c r="G44" s="35"/>
      <c r="H44" s="35"/>
      <c r="I44" s="35"/>
      <c r="J44" s="35"/>
      <c r="K44" s="146"/>
      <c r="L44" s="146"/>
      <c r="M44" s="35"/>
      <c r="N44" s="35"/>
      <c r="O44" s="35"/>
      <c r="P44" s="37">
        <v>39880</v>
      </c>
      <c r="R44" s="40" t="s">
        <v>1146</v>
      </c>
      <c r="S44" s="2" t="s">
        <v>1087</v>
      </c>
    </row>
    <row r="45" spans="1:21" x14ac:dyDescent="0.25">
      <c r="A45">
        <v>42</v>
      </c>
      <c r="B45" s="35" t="s">
        <v>1147</v>
      </c>
      <c r="C45" s="146">
        <v>0.08</v>
      </c>
      <c r="D45" s="35"/>
      <c r="E45" s="35"/>
      <c r="F45" s="35"/>
      <c r="G45" s="35"/>
      <c r="H45" s="35"/>
      <c r="I45" s="35"/>
      <c r="J45" s="35"/>
      <c r="K45" s="146"/>
      <c r="L45" s="146"/>
      <c r="M45" s="35"/>
      <c r="N45" s="55"/>
      <c r="O45" s="35"/>
      <c r="P45" s="37">
        <v>39880</v>
      </c>
      <c r="R45" s="40" t="s">
        <v>1148</v>
      </c>
      <c r="S45" s="2" t="s">
        <v>1087</v>
      </c>
    </row>
    <row r="46" spans="1:21" x14ac:dyDescent="0.25">
      <c r="A46">
        <v>43</v>
      </c>
      <c r="B46" s="35" t="s">
        <v>1149</v>
      </c>
      <c r="C46" s="142">
        <v>0.1</v>
      </c>
      <c r="D46" s="35" t="s">
        <v>33</v>
      </c>
      <c r="E46" s="35"/>
      <c r="F46" s="35"/>
      <c r="G46" s="35"/>
      <c r="H46" s="35"/>
      <c r="I46" s="35"/>
      <c r="J46" s="35"/>
      <c r="K46" s="146"/>
      <c r="L46" s="146"/>
      <c r="M46" s="35"/>
      <c r="N46" s="35"/>
      <c r="O46" s="35"/>
      <c r="P46" s="37"/>
      <c r="R46" s="40" t="s">
        <v>1141</v>
      </c>
      <c r="S46" s="2" t="s">
        <v>1087</v>
      </c>
    </row>
    <row r="47" spans="1:21" x14ac:dyDescent="0.25">
      <c r="A47">
        <v>44</v>
      </c>
      <c r="B47" s="35" t="s">
        <v>1150</v>
      </c>
      <c r="C47" s="154"/>
      <c r="D47" s="35" t="s">
        <v>33</v>
      </c>
      <c r="E47" s="35"/>
      <c r="F47" s="35" t="s">
        <v>36</v>
      </c>
      <c r="G47" s="35"/>
      <c r="H47" s="3"/>
      <c r="I47" s="35">
        <v>8.9999999999999993E-3</v>
      </c>
      <c r="J47" s="35">
        <v>0.4</v>
      </c>
      <c r="K47" s="139" t="s">
        <v>1447</v>
      </c>
      <c r="L47" s="155"/>
      <c r="M47" s="35"/>
      <c r="N47" s="4">
        <f>C47*I47+J47</f>
        <v>0.4</v>
      </c>
      <c r="O47" s="35"/>
      <c r="P47" s="37">
        <v>39898</v>
      </c>
      <c r="R47" s="40" t="s">
        <v>1151</v>
      </c>
    </row>
    <row r="48" spans="1:21" x14ac:dyDescent="0.25">
      <c r="A48">
        <v>45</v>
      </c>
      <c r="B48" s="35" t="s">
        <v>1152</v>
      </c>
      <c r="C48" s="154"/>
      <c r="D48" s="35" t="s">
        <v>33</v>
      </c>
      <c r="E48" s="35"/>
      <c r="F48" s="35" t="s">
        <v>36</v>
      </c>
      <c r="G48" s="35"/>
      <c r="H48" s="3"/>
      <c r="I48" s="35">
        <v>1E-3</v>
      </c>
      <c r="J48" s="35">
        <v>1</v>
      </c>
      <c r="K48" s="139" t="s">
        <v>1446</v>
      </c>
      <c r="L48" s="155"/>
      <c r="M48" s="35"/>
      <c r="N48" s="4">
        <f>C48*E48*I48+J48</f>
        <v>1</v>
      </c>
      <c r="O48" s="35"/>
      <c r="P48" s="37">
        <v>39898</v>
      </c>
      <c r="R48" s="40" t="s">
        <v>1153</v>
      </c>
    </row>
    <row r="49" spans="1:21" x14ac:dyDescent="0.25">
      <c r="A49">
        <v>46</v>
      </c>
      <c r="B49" s="35" t="s">
        <v>1154</v>
      </c>
      <c r="C49" s="141"/>
      <c r="D49" s="35" t="s">
        <v>36</v>
      </c>
      <c r="E49" s="35"/>
      <c r="F49" s="35" t="s">
        <v>36</v>
      </c>
      <c r="G49" s="35"/>
      <c r="H49" s="42"/>
      <c r="I49" s="153">
        <v>1E-3</v>
      </c>
      <c r="J49" s="153">
        <v>14</v>
      </c>
      <c r="K49" s="43" t="s">
        <v>1445</v>
      </c>
      <c r="L49" s="151"/>
      <c r="M49" s="35"/>
      <c r="N49" s="54">
        <f>I49*C49^2*E49+J49</f>
        <v>14</v>
      </c>
      <c r="O49" s="35"/>
      <c r="P49" s="37">
        <v>39880</v>
      </c>
      <c r="Q49" s="35"/>
      <c r="R49" s="40" t="s">
        <v>1155</v>
      </c>
      <c r="U49" s="47"/>
    </row>
    <row r="50" spans="1:21" x14ac:dyDescent="0.25">
      <c r="A50">
        <v>47</v>
      </c>
      <c r="B50" s="35" t="s">
        <v>1156</v>
      </c>
      <c r="C50" s="142">
        <v>0.03</v>
      </c>
      <c r="D50" s="35" t="s">
        <v>33</v>
      </c>
      <c r="E50" s="35"/>
      <c r="F50" s="35"/>
      <c r="G50" s="52" t="s">
        <v>1157</v>
      </c>
      <c r="H50" s="42"/>
      <c r="I50" s="38"/>
      <c r="J50" s="38"/>
      <c r="K50" s="38"/>
      <c r="L50" s="53"/>
      <c r="M50" s="35"/>
      <c r="N50" s="35"/>
      <c r="O50" s="35"/>
      <c r="P50" s="37">
        <v>39855</v>
      </c>
      <c r="Q50" s="52"/>
      <c r="R50" s="35" t="s">
        <v>1158</v>
      </c>
      <c r="S50" s="2" t="s">
        <v>1087</v>
      </c>
      <c r="U50" s="47"/>
    </row>
    <row r="51" spans="1:21" x14ac:dyDescent="0.25">
      <c r="A51">
        <v>48</v>
      </c>
      <c r="B51" s="35" t="s">
        <v>1159</v>
      </c>
      <c r="C51" s="142">
        <v>0</v>
      </c>
      <c r="D51" s="35" t="s">
        <v>33</v>
      </c>
      <c r="E51" s="35"/>
      <c r="F51" s="35"/>
      <c r="G51" s="35"/>
      <c r="H51" s="35"/>
      <c r="I51" s="38"/>
      <c r="J51" s="38"/>
      <c r="K51" s="142"/>
      <c r="L51" s="150"/>
      <c r="M51" s="35"/>
      <c r="N51" s="35"/>
      <c r="O51" s="35"/>
      <c r="P51" s="37">
        <v>39861</v>
      </c>
      <c r="Q51" s="35"/>
      <c r="R51" s="40" t="s">
        <v>1160</v>
      </c>
      <c r="S51" s="2" t="s">
        <v>1087</v>
      </c>
      <c r="U51" s="47"/>
    </row>
    <row r="52" spans="1:21" ht="30" x14ac:dyDescent="0.25">
      <c r="A52">
        <v>49</v>
      </c>
      <c r="B52" s="35" t="s">
        <v>1161</v>
      </c>
      <c r="C52" s="35"/>
      <c r="D52" s="35" t="s">
        <v>36</v>
      </c>
      <c r="E52" s="35"/>
      <c r="F52" s="35" t="s">
        <v>36</v>
      </c>
      <c r="G52" s="43" t="s">
        <v>1162</v>
      </c>
      <c r="H52" s="46"/>
      <c r="I52" s="143">
        <v>1</v>
      </c>
      <c r="J52" s="144">
        <v>4.0000000000000001E-3</v>
      </c>
      <c r="K52" s="43" t="s">
        <v>1098</v>
      </c>
      <c r="L52" s="51"/>
      <c r="M52" s="49"/>
      <c r="N52" s="48">
        <f>I52/105154*C52^2*E52*SQRT(E52)+(J52*EXP(0.319*C52))</f>
        <v>4.0000000000000001E-3</v>
      </c>
      <c r="O52" s="49"/>
      <c r="P52" s="37"/>
      <c r="Q52" s="35"/>
      <c r="R52" s="35" t="s">
        <v>1105</v>
      </c>
      <c r="S52" s="2" t="s">
        <v>1087</v>
      </c>
      <c r="U52" s="47"/>
    </row>
    <row r="53" spans="1:21" ht="30" x14ac:dyDescent="0.25">
      <c r="A53">
        <v>50</v>
      </c>
      <c r="B53" s="35" t="s">
        <v>1163</v>
      </c>
      <c r="C53" s="35"/>
      <c r="D53" s="35" t="s">
        <v>36</v>
      </c>
      <c r="E53" s="35"/>
      <c r="F53" s="35" t="s">
        <v>36</v>
      </c>
      <c r="G53" s="43" t="s">
        <v>1162</v>
      </c>
      <c r="H53" s="46"/>
      <c r="I53" s="143">
        <v>1.25</v>
      </c>
      <c r="J53" s="144">
        <v>5.0000000000000001E-3</v>
      </c>
      <c r="K53" s="43" t="s">
        <v>1098</v>
      </c>
      <c r="L53" s="49"/>
      <c r="M53" s="49"/>
      <c r="N53" s="48">
        <f>I53/105154*C53^2*E53*SQRT(E53)+(J53*EXP(0.319*C53))</f>
        <v>5.0000000000000001E-3</v>
      </c>
      <c r="O53" s="49"/>
      <c r="P53" s="37"/>
      <c r="Q53" s="35"/>
      <c r="R53" s="35" t="s">
        <v>1107</v>
      </c>
      <c r="S53" s="2" t="s">
        <v>1087</v>
      </c>
      <c r="U53" s="47"/>
    </row>
    <row r="54" spans="1:21" ht="30" x14ac:dyDescent="0.25">
      <c r="A54">
        <v>51</v>
      </c>
      <c r="B54" s="35" t="s">
        <v>1164</v>
      </c>
      <c r="C54" s="3"/>
      <c r="D54" s="35" t="s">
        <v>36</v>
      </c>
      <c r="E54" s="35"/>
      <c r="F54" s="35" t="s">
        <v>36</v>
      </c>
      <c r="G54" s="43" t="s">
        <v>1162</v>
      </c>
      <c r="H54" s="46"/>
      <c r="I54" s="143">
        <v>0.8</v>
      </c>
      <c r="J54" s="144">
        <v>3.0000000000000001E-3</v>
      </c>
      <c r="K54" s="43" t="s">
        <v>1098</v>
      </c>
      <c r="L54" s="51"/>
      <c r="M54" s="49"/>
      <c r="N54" s="50">
        <f>I54/105154*C54^2*E54*SQRT(E54)+(J54*EXP(0.319*C54))</f>
        <v>3.0000000000000001E-3</v>
      </c>
      <c r="O54" s="49"/>
      <c r="P54" s="37"/>
      <c r="Q54" s="35"/>
      <c r="R54" s="35" t="s">
        <v>1112</v>
      </c>
      <c r="S54" s="2" t="s">
        <v>1087</v>
      </c>
      <c r="U54" s="47"/>
    </row>
    <row r="55" spans="1:21" x14ac:dyDescent="0.25">
      <c r="A55">
        <v>52</v>
      </c>
      <c r="B55" s="35" t="s">
        <v>1444</v>
      </c>
      <c r="C55" s="142">
        <v>2.5</v>
      </c>
      <c r="D55" s="35" t="s">
        <v>33</v>
      </c>
      <c r="E55" s="35"/>
      <c r="F55" s="35"/>
      <c r="G55" s="43"/>
      <c r="H55" s="46"/>
      <c r="I55" s="143"/>
      <c r="J55" s="144"/>
      <c r="K55" s="43"/>
      <c r="L55" s="51"/>
      <c r="M55" s="49"/>
      <c r="N55" s="50"/>
      <c r="O55" s="49"/>
      <c r="P55" s="37">
        <v>39965</v>
      </c>
      <c r="Q55" s="35"/>
      <c r="R55" s="35" t="s">
        <v>1443</v>
      </c>
      <c r="U55" s="47"/>
    </row>
    <row r="56" spans="1:21" x14ac:dyDescent="0.25">
      <c r="A56">
        <v>53</v>
      </c>
      <c r="B56" s="35" t="s">
        <v>1165</v>
      </c>
      <c r="C56" s="142">
        <v>0.04</v>
      </c>
      <c r="D56" s="35" t="s">
        <v>33</v>
      </c>
      <c r="E56" s="35"/>
      <c r="F56" s="35"/>
      <c r="G56" s="35"/>
      <c r="H56" s="35"/>
      <c r="I56" s="38"/>
      <c r="J56" s="38"/>
      <c r="K56" s="142"/>
      <c r="L56" s="142"/>
      <c r="M56" s="35"/>
      <c r="N56" s="35"/>
      <c r="O56" s="35"/>
      <c r="P56" s="37">
        <v>39861</v>
      </c>
      <c r="Q56" s="35"/>
      <c r="R56" s="40" t="s">
        <v>1166</v>
      </c>
      <c r="S56" s="2" t="s">
        <v>1087</v>
      </c>
    </row>
    <row r="57" spans="1:21" x14ac:dyDescent="0.25">
      <c r="A57">
        <v>54</v>
      </c>
      <c r="B57" s="35" t="s">
        <v>1167</v>
      </c>
      <c r="C57" s="142"/>
      <c r="D57" s="35" t="s">
        <v>36</v>
      </c>
      <c r="E57" s="35"/>
      <c r="F57" s="35"/>
      <c r="G57" s="35"/>
      <c r="H57" s="35"/>
      <c r="I57" s="143">
        <v>0.1</v>
      </c>
      <c r="J57" s="38"/>
      <c r="K57" s="142" t="s">
        <v>1442</v>
      </c>
      <c r="L57" s="142"/>
      <c r="M57" s="35"/>
      <c r="N57" s="3"/>
      <c r="O57" s="35"/>
      <c r="P57" s="37">
        <v>39922</v>
      </c>
      <c r="Q57" s="3"/>
      <c r="R57" s="35" t="s">
        <v>1168</v>
      </c>
    </row>
    <row r="58" spans="1:21" x14ac:dyDescent="0.25">
      <c r="A58">
        <v>55</v>
      </c>
      <c r="B58" s="35" t="s">
        <v>1169</v>
      </c>
      <c r="C58" s="146"/>
      <c r="D58" s="35" t="s">
        <v>36</v>
      </c>
      <c r="E58" s="35"/>
      <c r="F58" s="35"/>
      <c r="G58" s="35"/>
      <c r="H58" s="35"/>
      <c r="I58" s="35"/>
      <c r="J58" s="35"/>
      <c r="K58" s="139"/>
      <c r="L58" s="146"/>
      <c r="M58" s="35"/>
      <c r="N58" s="48"/>
      <c r="O58" s="35"/>
      <c r="P58" s="37">
        <v>39880</v>
      </c>
      <c r="R58" s="40" t="s">
        <v>1101</v>
      </c>
      <c r="S58" s="2" t="s">
        <v>1087</v>
      </c>
    </row>
    <row r="59" spans="1:21" ht="30" x14ac:dyDescent="0.25">
      <c r="A59">
        <v>56</v>
      </c>
      <c r="B59" s="35" t="s">
        <v>1170</v>
      </c>
      <c r="C59" s="142">
        <v>0.02</v>
      </c>
      <c r="D59" s="35" t="s">
        <v>33</v>
      </c>
      <c r="E59" s="35"/>
      <c r="F59" s="35"/>
      <c r="G59" s="43" t="s">
        <v>1171</v>
      </c>
      <c r="H59" s="46"/>
      <c r="I59" s="153"/>
      <c r="J59" s="153"/>
      <c r="K59" s="156"/>
      <c r="L59" s="147"/>
      <c r="M59" s="35"/>
      <c r="N59" s="45"/>
      <c r="O59" s="141"/>
      <c r="P59" s="37">
        <v>39855</v>
      </c>
      <c r="Q59" s="35"/>
      <c r="R59" s="35" t="s">
        <v>1172</v>
      </c>
      <c r="S59" s="2" t="s">
        <v>1087</v>
      </c>
      <c r="U59" s="47"/>
    </row>
    <row r="60" spans="1:21" ht="30" x14ac:dyDescent="0.25">
      <c r="A60">
        <v>57</v>
      </c>
      <c r="B60" s="35" t="s">
        <v>1173</v>
      </c>
      <c r="C60" s="142">
        <v>0.02</v>
      </c>
      <c r="D60" s="35" t="s">
        <v>33</v>
      </c>
      <c r="E60" s="35"/>
      <c r="F60" s="35"/>
      <c r="G60" s="43" t="s">
        <v>1171</v>
      </c>
      <c r="H60" s="46"/>
      <c r="I60" s="153"/>
      <c r="J60" s="153"/>
      <c r="K60" s="156"/>
      <c r="L60" s="147"/>
      <c r="M60" s="35"/>
      <c r="N60" s="45"/>
      <c r="O60" s="141"/>
      <c r="P60" s="37">
        <v>39855</v>
      </c>
      <c r="Q60" s="35"/>
      <c r="R60" s="35" t="s">
        <v>1172</v>
      </c>
      <c r="S60" s="2" t="s">
        <v>1087</v>
      </c>
      <c r="U60" s="47"/>
    </row>
    <row r="61" spans="1:21" ht="30" x14ac:dyDescent="0.25">
      <c r="A61">
        <v>58</v>
      </c>
      <c r="B61" s="44" t="s">
        <v>1174</v>
      </c>
      <c r="C61" s="142">
        <v>0.01</v>
      </c>
      <c r="D61" s="35" t="s">
        <v>33</v>
      </c>
      <c r="E61" s="35"/>
      <c r="F61" s="35"/>
      <c r="G61" s="43" t="s">
        <v>1171</v>
      </c>
      <c r="H61" s="46"/>
      <c r="I61" s="153"/>
      <c r="J61" s="153"/>
      <c r="K61" s="156"/>
      <c r="L61" s="38"/>
      <c r="M61" s="35"/>
      <c r="N61" s="45"/>
      <c r="O61" s="141"/>
      <c r="P61" s="37">
        <v>39855</v>
      </c>
      <c r="Q61" s="35"/>
      <c r="R61" s="35" t="s">
        <v>1172</v>
      </c>
      <c r="S61" s="2" t="s">
        <v>1087</v>
      </c>
    </row>
    <row r="62" spans="1:21" ht="30" x14ac:dyDescent="0.25">
      <c r="A62">
        <v>59</v>
      </c>
      <c r="B62" s="44" t="s">
        <v>1175</v>
      </c>
      <c r="C62" s="142">
        <v>0.01</v>
      </c>
      <c r="D62" s="35" t="s">
        <v>33</v>
      </c>
      <c r="E62" s="35"/>
      <c r="F62" s="35"/>
      <c r="G62" s="43" t="s">
        <v>1171</v>
      </c>
      <c r="H62" s="46"/>
      <c r="I62" s="153"/>
      <c r="J62" s="153"/>
      <c r="K62" s="156"/>
      <c r="L62" s="38"/>
      <c r="M62" s="35"/>
      <c r="N62" s="41"/>
      <c r="O62" s="141"/>
      <c r="P62" s="37">
        <v>39855</v>
      </c>
      <c r="Q62" s="35"/>
      <c r="R62" s="35" t="s">
        <v>1172</v>
      </c>
      <c r="S62" s="2" t="s">
        <v>1087</v>
      </c>
    </row>
    <row r="63" spans="1:21" ht="30" x14ac:dyDescent="0.25">
      <c r="A63">
        <v>60</v>
      </c>
      <c r="B63" s="44" t="s">
        <v>1176</v>
      </c>
      <c r="C63" s="35"/>
      <c r="D63" s="35" t="s">
        <v>36</v>
      </c>
      <c r="E63" s="35"/>
      <c r="F63" s="35" t="s">
        <v>36</v>
      </c>
      <c r="G63" s="43" t="s">
        <v>1171</v>
      </c>
      <c r="H63" s="35"/>
      <c r="I63" s="153">
        <v>5.0000000000000001E-3</v>
      </c>
      <c r="J63" s="153">
        <v>0.18</v>
      </c>
      <c r="K63" s="43" t="s">
        <v>1122</v>
      </c>
      <c r="L63" s="147"/>
      <c r="M63" s="35"/>
      <c r="N63" s="45">
        <f>(I63*EXP(J63*C63))</f>
        <v>5.0000000000000001E-3</v>
      </c>
      <c r="O63" s="141"/>
      <c r="P63" s="37">
        <v>39855</v>
      </c>
      <c r="Q63" s="35"/>
      <c r="R63" s="35" t="s">
        <v>1172</v>
      </c>
      <c r="S63" s="2" t="s">
        <v>1087</v>
      </c>
    </row>
    <row r="64" spans="1:21" x14ac:dyDescent="0.25">
      <c r="A64">
        <v>61</v>
      </c>
      <c r="B64" s="44" t="s">
        <v>1177</v>
      </c>
      <c r="C64" s="35"/>
      <c r="D64" s="35" t="s">
        <v>36</v>
      </c>
      <c r="E64" s="35"/>
      <c r="F64" s="35" t="s">
        <v>36</v>
      </c>
      <c r="G64" s="43" t="s">
        <v>1171</v>
      </c>
      <c r="H64" s="35"/>
      <c r="I64" s="153">
        <v>5.0000000000000001E-3</v>
      </c>
      <c r="J64" s="153">
        <v>0.36</v>
      </c>
      <c r="K64" s="43" t="s">
        <v>1122</v>
      </c>
      <c r="L64" s="142"/>
      <c r="M64" s="35"/>
      <c r="N64" s="45">
        <f>(I64*EXP(J64*C64))</f>
        <v>5.0000000000000001E-3</v>
      </c>
      <c r="O64" s="141"/>
      <c r="P64" s="37">
        <v>39855</v>
      </c>
      <c r="Q64" s="35"/>
      <c r="R64" s="40"/>
      <c r="S64" s="2" t="s">
        <v>1087</v>
      </c>
    </row>
    <row r="65" spans="1:19" ht="30" x14ac:dyDescent="0.25">
      <c r="A65">
        <v>62</v>
      </c>
      <c r="B65" s="44" t="s">
        <v>1178</v>
      </c>
      <c r="C65" s="35"/>
      <c r="D65" s="35" t="s">
        <v>36</v>
      </c>
      <c r="E65" s="35"/>
      <c r="F65" s="35" t="s">
        <v>36</v>
      </c>
      <c r="G65" s="43" t="s">
        <v>1171</v>
      </c>
      <c r="H65" s="42"/>
      <c r="I65" s="153">
        <v>5.0000000000000001E-3</v>
      </c>
      <c r="J65" s="153">
        <v>0.36</v>
      </c>
      <c r="K65" s="43" t="s">
        <v>1122</v>
      </c>
      <c r="L65" s="148"/>
      <c r="M65" s="42"/>
      <c r="N65" s="41">
        <f>(I65*EXP(J65*C65))</f>
        <v>5.0000000000000001E-3</v>
      </c>
      <c r="O65" s="157"/>
      <c r="P65" s="37">
        <v>39855</v>
      </c>
      <c r="Q65" s="35"/>
      <c r="R65" s="35" t="s">
        <v>1172</v>
      </c>
    </row>
    <row r="66" spans="1:19" x14ac:dyDescent="0.25">
      <c r="B66" s="39"/>
      <c r="C66" s="146"/>
      <c r="D66" s="35"/>
      <c r="E66" s="35"/>
      <c r="F66" s="35"/>
      <c r="G66" s="35"/>
      <c r="H66" s="35"/>
      <c r="I66" s="35"/>
      <c r="J66" s="35"/>
      <c r="K66" s="146"/>
      <c r="L66" s="146"/>
      <c r="M66" s="35"/>
      <c r="N66" s="35"/>
      <c r="O66" s="35"/>
      <c r="P66" s="37"/>
      <c r="R66" s="40"/>
      <c r="S66" s="2" t="s">
        <v>1087</v>
      </c>
    </row>
    <row r="67" spans="1:19" x14ac:dyDescent="0.25">
      <c r="B67" s="39"/>
      <c r="C67" s="146"/>
      <c r="D67" s="35"/>
      <c r="E67" s="35"/>
      <c r="F67" s="35"/>
      <c r="G67" s="35"/>
      <c r="H67" s="35"/>
      <c r="I67" s="35"/>
      <c r="J67" s="35"/>
      <c r="K67" s="36"/>
      <c r="L67" s="146"/>
      <c r="M67" s="35"/>
      <c r="N67" s="35"/>
      <c r="O67" s="35"/>
      <c r="P67" s="37"/>
      <c r="R67" s="40"/>
      <c r="S67" s="2" t="s">
        <v>1087</v>
      </c>
    </row>
    <row r="68" spans="1:19" x14ac:dyDescent="0.25">
      <c r="B68" s="39"/>
      <c r="C68" s="146"/>
      <c r="D68" s="35"/>
      <c r="E68" s="35"/>
      <c r="F68" s="35"/>
      <c r="G68" s="35"/>
      <c r="H68" s="35"/>
      <c r="I68" s="38"/>
      <c r="J68" s="38"/>
      <c r="K68" s="38"/>
      <c r="L68" s="146"/>
      <c r="M68" s="35"/>
      <c r="N68" s="35"/>
      <c r="O68" s="35"/>
      <c r="P68" s="37"/>
      <c r="R68" s="40"/>
      <c r="S68" s="2" t="s">
        <v>1087</v>
      </c>
    </row>
    <row r="69" spans="1:19" x14ac:dyDescent="0.25">
      <c r="B69" s="39"/>
      <c r="C69" s="146"/>
      <c r="D69" s="35"/>
      <c r="E69" s="35"/>
      <c r="F69" s="35"/>
      <c r="G69" s="35"/>
      <c r="H69" s="35"/>
      <c r="I69" s="38"/>
      <c r="J69" s="38"/>
      <c r="K69" s="38"/>
      <c r="L69" s="146"/>
      <c r="M69" s="35"/>
      <c r="N69" s="35"/>
      <c r="O69" s="35"/>
      <c r="P69" s="37"/>
      <c r="R69" s="40"/>
      <c r="S69" s="2" t="s">
        <v>1087</v>
      </c>
    </row>
    <row r="70" spans="1:19" x14ac:dyDescent="0.25">
      <c r="B70" s="39"/>
      <c r="C70" s="146"/>
      <c r="D70" s="35"/>
      <c r="E70" s="35"/>
      <c r="F70" s="35"/>
      <c r="G70" s="35"/>
      <c r="H70" s="35"/>
      <c r="I70" s="38"/>
      <c r="J70" s="38"/>
      <c r="K70" s="38"/>
      <c r="L70" s="146"/>
      <c r="M70" s="35"/>
      <c r="N70" s="35"/>
      <c r="O70" s="35"/>
      <c r="P70" s="37"/>
      <c r="R70" s="40"/>
      <c r="S70" s="2" t="s">
        <v>1087</v>
      </c>
    </row>
    <row r="71" spans="1:19" x14ac:dyDescent="0.25">
      <c r="B71" s="39"/>
      <c r="C71" s="146"/>
      <c r="D71" s="35"/>
      <c r="E71" s="35"/>
      <c r="F71" s="35"/>
      <c r="G71" s="35"/>
      <c r="H71" s="35"/>
      <c r="I71" s="38"/>
      <c r="J71" s="38"/>
      <c r="K71" s="38"/>
      <c r="L71" s="146"/>
      <c r="M71" s="35"/>
      <c r="N71" s="35"/>
      <c r="O71" s="35"/>
      <c r="P71" s="37"/>
      <c r="R71" s="40"/>
      <c r="S71" s="2" t="s">
        <v>1087</v>
      </c>
    </row>
    <row r="72" spans="1:19" x14ac:dyDescent="0.25">
      <c r="B72" s="35"/>
      <c r="C72" s="36"/>
      <c r="D72" s="35"/>
      <c r="E72" s="35"/>
      <c r="F72" s="35"/>
      <c r="G72" s="35"/>
      <c r="H72" s="35"/>
      <c r="I72" s="38"/>
      <c r="J72" s="38"/>
      <c r="K72" s="38"/>
      <c r="L72" s="36"/>
      <c r="M72" s="35"/>
      <c r="N72" s="35"/>
      <c r="O72" s="35"/>
      <c r="P72" s="37"/>
      <c r="R72" s="39"/>
    </row>
    <row r="73" spans="1:19" x14ac:dyDescent="0.25">
      <c r="B73" s="35"/>
      <c r="C73" s="142"/>
      <c r="D73" s="35"/>
      <c r="E73" s="35"/>
      <c r="F73" s="35"/>
      <c r="G73" s="35"/>
      <c r="H73" s="35"/>
      <c r="I73" s="38"/>
      <c r="J73" s="38"/>
      <c r="K73" s="38"/>
      <c r="L73" s="38"/>
      <c r="M73" s="35"/>
      <c r="N73" s="35"/>
      <c r="O73" s="35"/>
      <c r="P73" s="37"/>
      <c r="Q73" s="35"/>
      <c r="R73" s="35"/>
    </row>
    <row r="74" spans="1:19" x14ac:dyDescent="0.25">
      <c r="B74" s="35"/>
      <c r="C74" s="142"/>
      <c r="D74" s="35"/>
      <c r="E74" s="35"/>
      <c r="F74" s="35"/>
      <c r="G74" s="35"/>
      <c r="H74" s="35"/>
      <c r="I74" s="38"/>
      <c r="J74" s="38"/>
      <c r="K74" s="38"/>
      <c r="L74" s="38"/>
      <c r="M74" s="35"/>
      <c r="N74" s="35"/>
      <c r="O74" s="35"/>
      <c r="P74" s="37"/>
      <c r="Q74" s="35"/>
      <c r="R74" s="35"/>
    </row>
    <row r="75" spans="1:19" x14ac:dyDescent="0.25">
      <c r="B75" s="35"/>
      <c r="C75" s="142"/>
      <c r="D75" s="35"/>
      <c r="E75" s="35"/>
      <c r="F75" s="35"/>
      <c r="G75" s="35"/>
      <c r="H75" s="35"/>
      <c r="I75" s="38"/>
      <c r="J75" s="38"/>
      <c r="K75" s="38"/>
      <c r="L75" s="38"/>
      <c r="M75" s="35"/>
      <c r="N75" s="35"/>
      <c r="O75" s="35"/>
      <c r="P75" s="37"/>
      <c r="Q75" s="35"/>
      <c r="R75" s="35"/>
    </row>
    <row r="76" spans="1:19" x14ac:dyDescent="0.25">
      <c r="B76" s="35"/>
      <c r="C76" s="142"/>
      <c r="D76" s="35"/>
      <c r="E76" s="35"/>
      <c r="F76" s="35"/>
      <c r="G76" s="35"/>
      <c r="H76" s="35"/>
      <c r="I76" s="38"/>
      <c r="J76" s="38"/>
      <c r="K76" s="38"/>
      <c r="L76" s="38"/>
      <c r="M76" s="35"/>
      <c r="N76" s="35"/>
      <c r="O76" s="35"/>
      <c r="P76" s="37"/>
      <c r="Q76" s="35"/>
      <c r="R76" s="35"/>
    </row>
    <row r="77" spans="1:19" x14ac:dyDescent="0.25">
      <c r="B77" s="35"/>
      <c r="C77" s="142"/>
      <c r="D77" s="35"/>
      <c r="E77" s="35"/>
      <c r="F77" s="35"/>
      <c r="G77" s="35"/>
      <c r="H77" s="35"/>
      <c r="I77" s="38"/>
      <c r="J77" s="38"/>
      <c r="K77" s="38"/>
      <c r="L77" s="38"/>
      <c r="M77" s="35"/>
      <c r="N77" s="35"/>
      <c r="O77" s="35"/>
      <c r="P77" s="37"/>
      <c r="Q77" s="35"/>
      <c r="R77" s="35"/>
    </row>
    <row r="78" spans="1:19" x14ac:dyDescent="0.25">
      <c r="B78" s="35"/>
      <c r="C78" s="142"/>
      <c r="D78" s="35"/>
      <c r="E78" s="35"/>
      <c r="F78" s="35"/>
      <c r="G78" s="35"/>
      <c r="H78" s="35"/>
      <c r="I78" s="38"/>
      <c r="J78" s="38"/>
      <c r="K78" s="38"/>
      <c r="L78" s="38"/>
      <c r="M78" s="35"/>
      <c r="N78" s="35"/>
      <c r="O78" s="35"/>
      <c r="P78" s="37"/>
      <c r="Q78" s="35"/>
      <c r="R78" s="35"/>
    </row>
    <row r="79" spans="1:19" x14ac:dyDescent="0.25">
      <c r="B79" s="35"/>
      <c r="C79" s="142"/>
      <c r="D79" s="35"/>
      <c r="E79" s="35"/>
      <c r="F79" s="35"/>
      <c r="G79" s="35"/>
      <c r="H79" s="35"/>
      <c r="I79" s="38"/>
      <c r="J79" s="38"/>
      <c r="K79" s="38"/>
      <c r="L79" s="38"/>
      <c r="M79" s="35"/>
      <c r="N79" s="35"/>
      <c r="O79" s="35"/>
      <c r="P79" s="37"/>
      <c r="Q79" s="35"/>
      <c r="R79" s="35"/>
    </row>
    <row r="80" spans="1:19" x14ac:dyDescent="0.25">
      <c r="B80" s="35"/>
      <c r="C80" s="142"/>
      <c r="D80" s="35"/>
      <c r="E80" s="35"/>
      <c r="F80" s="35"/>
      <c r="G80" s="35"/>
      <c r="H80" s="35"/>
      <c r="I80" s="38"/>
      <c r="J80" s="38"/>
      <c r="K80" s="38"/>
      <c r="L80" s="38"/>
      <c r="M80" s="35"/>
      <c r="N80" s="35"/>
      <c r="O80" s="35"/>
      <c r="P80" s="37"/>
      <c r="Q80" s="35"/>
      <c r="R80" s="35"/>
    </row>
    <row r="81" spans="2:18" x14ac:dyDescent="0.25">
      <c r="B81" s="35"/>
      <c r="C81" s="142"/>
      <c r="D81" s="35"/>
      <c r="E81" s="35"/>
      <c r="F81" s="35"/>
      <c r="G81" s="35"/>
      <c r="H81" s="35"/>
      <c r="I81" s="38"/>
      <c r="J81" s="38"/>
      <c r="K81" s="38"/>
      <c r="L81" s="38"/>
      <c r="M81" s="35"/>
      <c r="N81" s="35"/>
      <c r="O81" s="35"/>
      <c r="P81" s="37"/>
      <c r="Q81" s="35"/>
      <c r="R81" s="35"/>
    </row>
    <row r="82" spans="2:18" x14ac:dyDescent="0.25">
      <c r="B82" s="35"/>
      <c r="C82" s="142"/>
      <c r="D82" s="35"/>
      <c r="E82" s="35"/>
      <c r="F82" s="35"/>
      <c r="G82" s="35"/>
      <c r="H82" s="35"/>
      <c r="I82" s="38"/>
      <c r="J82" s="38"/>
      <c r="K82" s="38"/>
      <c r="L82" s="38"/>
      <c r="M82" s="35"/>
      <c r="N82" s="35"/>
      <c r="O82" s="35"/>
      <c r="P82" s="37"/>
      <c r="Q82" s="35"/>
      <c r="R82" s="35"/>
    </row>
    <row r="83" spans="2:18" x14ac:dyDescent="0.25">
      <c r="B83" s="35"/>
      <c r="C83" s="142"/>
      <c r="D83" s="35"/>
      <c r="E83" s="35"/>
      <c r="F83" s="35"/>
      <c r="G83" s="35"/>
      <c r="H83" s="35"/>
      <c r="I83" s="38"/>
      <c r="J83" s="38"/>
      <c r="K83" s="38"/>
      <c r="L83" s="38"/>
      <c r="M83" s="35"/>
      <c r="N83" s="35"/>
      <c r="O83" s="35"/>
      <c r="P83" s="37"/>
      <c r="Q83" s="35"/>
    </row>
    <row r="84" spans="2:18" x14ac:dyDescent="0.25">
      <c r="B84" s="35"/>
      <c r="C84" s="142"/>
      <c r="D84" s="35"/>
      <c r="E84" s="35"/>
      <c r="F84" s="35"/>
      <c r="G84" s="35"/>
      <c r="H84" s="35"/>
      <c r="I84" s="38"/>
      <c r="J84" s="38"/>
      <c r="K84" s="38"/>
      <c r="L84" s="38"/>
      <c r="M84" s="35"/>
      <c r="N84" s="35"/>
      <c r="O84" s="35"/>
      <c r="P84" s="37"/>
      <c r="Q84" s="35"/>
    </row>
    <row r="85" spans="2:18" x14ac:dyDescent="0.25">
      <c r="B85" s="35"/>
      <c r="C85" s="142"/>
      <c r="D85" s="35"/>
      <c r="E85" s="35"/>
      <c r="F85" s="35"/>
      <c r="G85" s="35"/>
      <c r="H85" s="35"/>
      <c r="I85" s="38"/>
      <c r="J85" s="38"/>
      <c r="K85" s="38"/>
      <c r="L85" s="38"/>
      <c r="M85" s="35"/>
      <c r="N85" s="35"/>
      <c r="O85" s="35"/>
      <c r="P85" s="37"/>
      <c r="Q85" s="35"/>
    </row>
    <row r="86" spans="2:18" x14ac:dyDescent="0.25">
      <c r="B86" s="35"/>
      <c r="C86" s="142"/>
      <c r="D86" s="35"/>
      <c r="E86" s="35"/>
      <c r="F86" s="35"/>
      <c r="G86" s="35"/>
      <c r="H86" s="35"/>
      <c r="I86" s="38"/>
      <c r="J86" s="38"/>
      <c r="K86" s="38"/>
      <c r="L86" s="38"/>
      <c r="M86" s="35" t="s">
        <v>1179</v>
      </c>
      <c r="N86" s="35"/>
      <c r="O86" s="35"/>
      <c r="P86" s="37"/>
      <c r="Q86" s="35"/>
    </row>
    <row r="87" spans="2:18" x14ac:dyDescent="0.25">
      <c r="B87" s="35"/>
      <c r="C87" s="142"/>
      <c r="D87" s="35"/>
      <c r="E87" s="35"/>
      <c r="F87" s="35"/>
      <c r="G87" s="35"/>
      <c r="H87" s="35"/>
      <c r="I87" s="38"/>
      <c r="J87" s="38"/>
      <c r="K87" s="38"/>
      <c r="L87" s="38"/>
      <c r="M87" s="35" t="s">
        <v>1179</v>
      </c>
      <c r="N87" s="35"/>
      <c r="O87" s="35"/>
      <c r="P87" s="37"/>
      <c r="Q87" s="35"/>
    </row>
    <row r="88" spans="2:18" x14ac:dyDescent="0.25">
      <c r="B88" s="35"/>
      <c r="C88" s="142"/>
      <c r="D88" s="35"/>
      <c r="E88" s="35"/>
      <c r="F88" s="35"/>
      <c r="G88" s="35"/>
      <c r="H88" s="35"/>
      <c r="I88" s="38"/>
      <c r="J88" s="38"/>
      <c r="K88" s="38"/>
      <c r="L88" s="38"/>
      <c r="M88" s="35" t="s">
        <v>1179</v>
      </c>
      <c r="N88" s="35"/>
      <c r="O88" s="35"/>
      <c r="P88" s="37"/>
      <c r="Q88" s="35"/>
    </row>
    <row r="89" spans="2:18" x14ac:dyDescent="0.25">
      <c r="B89" s="35"/>
      <c r="C89" s="142"/>
      <c r="D89" s="35"/>
      <c r="E89" s="35"/>
      <c r="F89" s="35"/>
      <c r="G89" s="35"/>
      <c r="H89" s="35"/>
      <c r="I89" s="38"/>
      <c r="J89" s="38"/>
      <c r="K89" s="38"/>
      <c r="L89" s="38"/>
      <c r="M89" s="35" t="s">
        <v>1179</v>
      </c>
      <c r="N89" s="35"/>
      <c r="O89" s="35"/>
      <c r="P89" s="37"/>
      <c r="Q89" s="35"/>
    </row>
    <row r="90" spans="2:18" x14ac:dyDescent="0.25">
      <c r="B90" s="35"/>
      <c r="C90" s="142"/>
      <c r="D90" s="35"/>
      <c r="E90" s="35"/>
      <c r="F90" s="35"/>
      <c r="G90" s="35"/>
      <c r="H90" s="35"/>
      <c r="I90" s="38"/>
      <c r="J90" s="38"/>
      <c r="K90" s="38"/>
      <c r="L90" s="38"/>
      <c r="M90" s="35" t="s">
        <v>1179</v>
      </c>
      <c r="N90" s="35"/>
      <c r="O90" s="35"/>
      <c r="P90" s="37"/>
      <c r="Q90" s="35"/>
    </row>
    <row r="91" spans="2:18" x14ac:dyDescent="0.25">
      <c r="B91" s="35"/>
      <c r="C91" s="142"/>
      <c r="D91" s="35"/>
      <c r="E91" s="35"/>
      <c r="F91" s="35"/>
      <c r="G91" s="35"/>
      <c r="H91" s="35"/>
      <c r="I91" s="38"/>
      <c r="J91" s="38"/>
      <c r="K91" s="38"/>
      <c r="L91" s="38"/>
      <c r="M91" s="35" t="s">
        <v>1179</v>
      </c>
      <c r="N91" s="35"/>
      <c r="O91" s="35"/>
      <c r="P91" s="37"/>
      <c r="Q91" s="35"/>
    </row>
    <row r="92" spans="2:18" x14ac:dyDescent="0.25">
      <c r="B92" s="35"/>
      <c r="C92" s="142"/>
      <c r="D92" s="35"/>
      <c r="E92" s="35"/>
      <c r="F92" s="35"/>
      <c r="G92" s="35"/>
      <c r="H92" s="35"/>
      <c r="I92" s="38"/>
      <c r="J92" s="38"/>
      <c r="K92" s="38"/>
      <c r="L92" s="38"/>
      <c r="M92" s="35" t="s">
        <v>1179</v>
      </c>
      <c r="N92" s="35"/>
      <c r="O92" s="35"/>
      <c r="P92" s="37"/>
      <c r="Q92" s="35"/>
    </row>
    <row r="93" spans="2:18" x14ac:dyDescent="0.25">
      <c r="B93" s="35"/>
      <c r="C93" s="142"/>
      <c r="D93" s="35"/>
      <c r="E93" s="35"/>
      <c r="F93" s="35"/>
      <c r="G93" s="35"/>
      <c r="H93" s="35"/>
      <c r="I93" s="38"/>
      <c r="J93" s="38"/>
      <c r="K93" s="38"/>
      <c r="L93" s="38"/>
      <c r="M93" s="35" t="s">
        <v>1179</v>
      </c>
      <c r="N93" s="35"/>
      <c r="O93" s="35"/>
      <c r="P93" s="37"/>
      <c r="Q93" s="35"/>
    </row>
    <row r="94" spans="2:18" x14ac:dyDescent="0.25">
      <c r="B94" s="35"/>
      <c r="C94" s="142"/>
      <c r="D94" s="35"/>
      <c r="E94" s="35"/>
      <c r="F94" s="35"/>
      <c r="G94" s="35"/>
      <c r="H94" s="35"/>
      <c r="I94" s="38"/>
      <c r="J94" s="38"/>
      <c r="K94" s="38"/>
      <c r="L94" s="38"/>
      <c r="M94" s="35"/>
      <c r="N94" s="35"/>
      <c r="O94" s="35"/>
      <c r="P94" s="37"/>
      <c r="Q94" s="35"/>
    </row>
    <row r="95" spans="2:18" x14ac:dyDescent="0.25">
      <c r="B95" s="35"/>
      <c r="C95" s="142"/>
      <c r="D95" s="35"/>
      <c r="E95" s="35"/>
      <c r="F95" s="35"/>
      <c r="G95" s="35"/>
      <c r="H95" s="35"/>
      <c r="I95" s="38"/>
      <c r="J95" s="38"/>
      <c r="K95" s="38"/>
      <c r="L95" s="38"/>
      <c r="M95" s="35"/>
      <c r="N95" s="35"/>
      <c r="O95" s="35"/>
      <c r="P95" s="37"/>
      <c r="Q95" s="35"/>
    </row>
    <row r="96" spans="2:18" x14ac:dyDescent="0.25">
      <c r="B96" s="35"/>
      <c r="C96" s="142"/>
      <c r="D96" s="35"/>
      <c r="E96" s="35"/>
      <c r="F96" s="35"/>
      <c r="G96" s="35"/>
      <c r="H96" s="35"/>
      <c r="I96" s="38"/>
      <c r="J96" s="38"/>
      <c r="K96" s="38"/>
      <c r="L96" s="38"/>
      <c r="M96" s="35"/>
      <c r="N96" s="35"/>
      <c r="O96" s="35"/>
      <c r="P96" s="37"/>
      <c r="Q96" s="35"/>
    </row>
    <row r="97" spans="2:17" x14ac:dyDescent="0.25">
      <c r="B97" s="35"/>
      <c r="C97" s="142"/>
      <c r="D97" s="35"/>
      <c r="E97" s="35"/>
      <c r="F97" s="35"/>
      <c r="G97" s="35"/>
      <c r="H97" s="35"/>
      <c r="I97" s="38"/>
      <c r="J97" s="38"/>
      <c r="K97" s="38"/>
      <c r="L97" s="38"/>
      <c r="M97" s="35"/>
      <c r="N97" s="35"/>
      <c r="O97" s="35"/>
      <c r="P97" s="37"/>
      <c r="Q97" s="35"/>
    </row>
    <row r="98" spans="2:17" x14ac:dyDescent="0.25">
      <c r="B98" s="35"/>
      <c r="C98" s="142"/>
      <c r="D98" s="35"/>
      <c r="E98" s="35"/>
      <c r="F98" s="35"/>
      <c r="G98" s="35"/>
      <c r="H98" s="35"/>
      <c r="I98" s="38"/>
      <c r="J98" s="38"/>
      <c r="K98" s="38"/>
      <c r="L98" s="38"/>
      <c r="M98" s="35"/>
      <c r="N98" s="35"/>
      <c r="O98" s="35"/>
      <c r="P98" s="37"/>
      <c r="Q98" s="35"/>
    </row>
    <row r="99" spans="2:17" x14ac:dyDescent="0.25">
      <c r="B99" s="35"/>
      <c r="C99" s="142"/>
      <c r="D99" s="35"/>
      <c r="E99" s="35"/>
      <c r="F99" s="35"/>
      <c r="G99" s="35"/>
      <c r="H99" s="35"/>
      <c r="I99" s="38"/>
      <c r="J99" s="38"/>
      <c r="K99" s="38"/>
      <c r="L99" s="38"/>
      <c r="M99" s="35"/>
      <c r="N99" s="35"/>
      <c r="O99" s="35"/>
      <c r="P99" s="37"/>
      <c r="Q99" s="35"/>
    </row>
    <row r="100" spans="2:17" x14ac:dyDescent="0.25">
      <c r="B100" s="35"/>
      <c r="C100" s="142"/>
      <c r="D100" s="35"/>
      <c r="E100" s="35"/>
      <c r="F100" s="35"/>
      <c r="G100" s="35"/>
      <c r="H100" s="35"/>
      <c r="I100" s="38"/>
      <c r="J100" s="38"/>
      <c r="K100" s="38"/>
      <c r="L100" s="38"/>
      <c r="M100" s="35"/>
      <c r="N100" s="35"/>
      <c r="O100" s="35"/>
      <c r="P100" s="37"/>
    </row>
    <row r="101" spans="2:17" x14ac:dyDescent="0.25">
      <c r="B101" s="35"/>
      <c r="C101" s="142"/>
      <c r="D101" s="35"/>
      <c r="E101" s="35"/>
      <c r="F101" s="35"/>
      <c r="G101" s="35"/>
      <c r="H101" s="35"/>
      <c r="I101" s="38"/>
      <c r="J101" s="38"/>
      <c r="K101" s="38"/>
      <c r="L101" s="38"/>
      <c r="M101" s="35"/>
      <c r="N101" s="35"/>
      <c r="O101" s="35"/>
      <c r="P101" s="37"/>
    </row>
    <row r="102" spans="2:17" x14ac:dyDescent="0.25">
      <c r="B102" s="35"/>
      <c r="C102" s="142"/>
      <c r="D102" s="35"/>
      <c r="E102" s="35"/>
      <c r="F102" s="35"/>
      <c r="G102" s="35"/>
      <c r="H102" s="35"/>
      <c r="I102" s="38"/>
      <c r="J102" s="38"/>
      <c r="K102" s="38"/>
      <c r="L102" s="38"/>
      <c r="M102" s="35"/>
      <c r="N102" s="35"/>
      <c r="O102" s="35"/>
      <c r="P102" s="37"/>
    </row>
    <row r="103" spans="2:17" x14ac:dyDescent="0.25">
      <c r="B103" s="35"/>
      <c r="C103" s="142"/>
      <c r="D103" s="35"/>
      <c r="E103" s="35"/>
      <c r="F103" s="35"/>
      <c r="G103" s="35"/>
      <c r="H103" s="35"/>
      <c r="I103" s="38"/>
      <c r="J103" s="38"/>
      <c r="K103" s="38"/>
      <c r="L103" s="38"/>
      <c r="M103" s="35"/>
      <c r="N103" s="35"/>
      <c r="O103" s="35"/>
      <c r="P103" s="37"/>
    </row>
    <row r="104" spans="2:17" x14ac:dyDescent="0.25">
      <c r="B104" s="35"/>
      <c r="C104" s="142"/>
      <c r="D104" s="35"/>
      <c r="E104" s="35"/>
      <c r="F104" s="35"/>
      <c r="G104" s="35"/>
      <c r="H104" s="35"/>
      <c r="I104" s="38"/>
      <c r="J104" s="38"/>
      <c r="K104" s="38"/>
      <c r="L104" s="38"/>
      <c r="M104" s="35"/>
      <c r="N104" s="35"/>
      <c r="O104" s="35"/>
      <c r="P104" s="37"/>
    </row>
    <row r="105" spans="2:17" x14ac:dyDescent="0.25">
      <c r="B105" s="35"/>
      <c r="C105" s="142"/>
      <c r="D105" s="35"/>
      <c r="E105" s="35"/>
      <c r="F105" s="35"/>
      <c r="G105" s="35"/>
      <c r="H105" s="35"/>
      <c r="I105" s="38"/>
      <c r="J105" s="38"/>
      <c r="K105" s="38"/>
      <c r="L105" s="38"/>
      <c r="M105" s="35"/>
      <c r="N105" s="35"/>
      <c r="O105" s="35"/>
      <c r="P105" s="37"/>
    </row>
    <row r="106" spans="2:17" x14ac:dyDescent="0.25">
      <c r="B106" s="35"/>
      <c r="C106" s="142"/>
      <c r="D106" s="35"/>
      <c r="E106" s="35"/>
      <c r="F106" s="35"/>
      <c r="G106" s="35"/>
      <c r="H106" s="35"/>
      <c r="I106" s="38"/>
      <c r="J106" s="38"/>
      <c r="K106" s="38"/>
      <c r="L106" s="38"/>
      <c r="M106" s="35"/>
      <c r="N106" s="35"/>
      <c r="O106" s="35"/>
      <c r="P106" s="37"/>
    </row>
    <row r="107" spans="2:17" x14ac:dyDescent="0.25">
      <c r="B107" s="35"/>
      <c r="C107" s="142"/>
      <c r="D107" s="35"/>
      <c r="E107" s="35"/>
      <c r="F107" s="35"/>
      <c r="G107" s="35"/>
      <c r="H107" s="35"/>
      <c r="I107" s="38"/>
      <c r="J107" s="38"/>
      <c r="K107" s="38"/>
      <c r="L107" s="38"/>
      <c r="M107" s="35"/>
      <c r="N107" s="35"/>
      <c r="O107" s="35"/>
      <c r="P107" s="37"/>
    </row>
    <row r="108" spans="2:17" x14ac:dyDescent="0.25">
      <c r="B108" s="35"/>
      <c r="C108" s="142"/>
      <c r="D108" s="35"/>
      <c r="E108" s="35"/>
      <c r="F108" s="35"/>
      <c r="G108" s="35"/>
      <c r="H108" s="35"/>
      <c r="I108" s="38"/>
      <c r="J108" s="38"/>
      <c r="K108" s="38"/>
      <c r="L108" s="38"/>
      <c r="M108" s="35"/>
      <c r="N108" s="35"/>
      <c r="O108" s="35"/>
      <c r="P108" s="37"/>
    </row>
    <row r="109" spans="2:17" x14ac:dyDescent="0.25">
      <c r="B109" s="35"/>
      <c r="C109" s="142"/>
      <c r="D109" s="35"/>
      <c r="E109" s="35"/>
      <c r="F109" s="35"/>
      <c r="G109" s="35"/>
      <c r="H109" s="35"/>
      <c r="I109" s="38"/>
      <c r="J109" s="38"/>
      <c r="K109" s="38"/>
      <c r="L109" s="38"/>
      <c r="M109" s="35"/>
      <c r="N109" s="35"/>
      <c r="O109" s="35"/>
      <c r="P109" s="37"/>
    </row>
    <row r="110" spans="2:17" x14ac:dyDescent="0.25">
      <c r="B110" s="35"/>
      <c r="C110" s="142"/>
      <c r="D110" s="35"/>
      <c r="E110" s="35"/>
      <c r="F110" s="35"/>
      <c r="G110" s="35"/>
      <c r="H110" s="35"/>
      <c r="I110" s="38"/>
      <c r="J110" s="38"/>
      <c r="K110" s="38"/>
      <c r="L110" s="38"/>
      <c r="M110" s="35"/>
      <c r="N110" s="35"/>
      <c r="O110" s="35"/>
      <c r="P110" s="37"/>
    </row>
    <row r="111" spans="2:17" x14ac:dyDescent="0.25">
      <c r="B111" s="35"/>
      <c r="C111" s="142"/>
      <c r="D111" s="35"/>
      <c r="E111" s="35"/>
      <c r="F111" s="35"/>
      <c r="G111" s="35"/>
      <c r="H111" s="35"/>
      <c r="I111" s="38"/>
      <c r="J111" s="38"/>
      <c r="K111" s="38"/>
      <c r="L111" s="38"/>
      <c r="M111" s="35"/>
      <c r="N111" s="35"/>
      <c r="O111" s="35"/>
      <c r="P111" s="37"/>
    </row>
    <row r="112" spans="2:17" x14ac:dyDescent="0.25">
      <c r="B112" s="35"/>
      <c r="C112" s="142"/>
      <c r="D112" s="35"/>
      <c r="E112" s="35"/>
      <c r="F112" s="35"/>
      <c r="G112" s="35"/>
      <c r="H112" s="35"/>
      <c r="I112" s="38"/>
      <c r="J112" s="38"/>
      <c r="K112" s="38"/>
      <c r="L112" s="38"/>
      <c r="M112" s="35"/>
      <c r="N112" s="35"/>
      <c r="O112" s="35"/>
      <c r="P112" s="37"/>
    </row>
    <row r="113" spans="2:16" x14ac:dyDescent="0.25">
      <c r="B113" s="35"/>
      <c r="C113" s="142"/>
      <c r="D113" s="35"/>
      <c r="E113" s="35"/>
      <c r="F113" s="35"/>
      <c r="G113" s="35"/>
      <c r="H113" s="35"/>
      <c r="I113" s="38"/>
      <c r="J113" s="38"/>
      <c r="K113" s="38"/>
      <c r="L113" s="38"/>
      <c r="M113" s="35"/>
      <c r="N113" s="35"/>
      <c r="O113" s="35"/>
      <c r="P113" s="37"/>
    </row>
    <row r="114" spans="2:16" x14ac:dyDescent="0.25">
      <c r="B114" s="35"/>
      <c r="C114" s="142"/>
      <c r="D114" s="35"/>
      <c r="E114" s="35"/>
      <c r="F114" s="35"/>
      <c r="G114" s="35"/>
      <c r="H114" s="35"/>
      <c r="I114" s="38"/>
      <c r="J114" s="38"/>
      <c r="K114" s="38"/>
      <c r="L114" s="38"/>
      <c r="M114" s="35"/>
      <c r="N114" s="35"/>
      <c r="O114" s="35"/>
      <c r="P114" s="37"/>
    </row>
    <row r="115" spans="2:16" x14ac:dyDescent="0.25">
      <c r="B115" s="35"/>
      <c r="C115" s="142"/>
      <c r="D115" s="35"/>
      <c r="E115" s="35"/>
      <c r="F115" s="35"/>
      <c r="G115" s="35"/>
      <c r="H115" s="35"/>
      <c r="I115" s="38"/>
      <c r="J115" s="38"/>
      <c r="K115" s="38"/>
      <c r="L115" s="38"/>
      <c r="M115" s="35"/>
      <c r="N115" s="35"/>
      <c r="O115" s="35"/>
      <c r="P115" s="37"/>
    </row>
    <row r="116" spans="2:16" x14ac:dyDescent="0.25">
      <c r="B116" s="35"/>
      <c r="C116" s="142"/>
      <c r="D116" s="35"/>
      <c r="E116" s="35"/>
      <c r="F116" s="35"/>
      <c r="G116" s="35"/>
      <c r="H116" s="35"/>
      <c r="I116" s="38"/>
      <c r="J116" s="38"/>
      <c r="K116" s="38"/>
      <c r="L116" s="38"/>
      <c r="M116" s="35"/>
      <c r="N116" s="35"/>
      <c r="O116" s="35"/>
      <c r="P116" s="37"/>
    </row>
    <row r="117" spans="2:16" x14ac:dyDescent="0.25">
      <c r="B117" s="35"/>
      <c r="C117" s="142"/>
      <c r="D117" s="35"/>
      <c r="E117" s="35"/>
      <c r="F117" s="35"/>
      <c r="G117" s="35"/>
      <c r="H117" s="35"/>
      <c r="I117" s="38"/>
      <c r="J117" s="38"/>
      <c r="K117" s="38"/>
      <c r="L117" s="38"/>
      <c r="M117" s="35"/>
      <c r="N117" s="35"/>
      <c r="O117" s="35"/>
      <c r="P117" s="37"/>
    </row>
    <row r="118" spans="2:16" x14ac:dyDescent="0.25">
      <c r="B118" s="35"/>
      <c r="C118" s="142"/>
      <c r="D118" s="35"/>
      <c r="E118" s="35"/>
      <c r="F118" s="35"/>
      <c r="G118" s="35"/>
      <c r="H118" s="35"/>
      <c r="I118" s="38"/>
      <c r="J118" s="38"/>
      <c r="K118" s="38"/>
      <c r="L118" s="38"/>
      <c r="M118" s="35"/>
      <c r="N118" s="35"/>
      <c r="O118" s="35"/>
      <c r="P118" s="37"/>
    </row>
    <row r="119" spans="2:16" x14ac:dyDescent="0.25">
      <c r="B119" s="35"/>
      <c r="C119" s="142"/>
      <c r="D119" s="35"/>
      <c r="E119" s="35"/>
      <c r="F119" s="35"/>
      <c r="G119" s="35"/>
      <c r="H119" s="35"/>
      <c r="I119" s="38"/>
      <c r="J119" s="38"/>
      <c r="K119" s="38"/>
      <c r="L119" s="38"/>
      <c r="M119" s="35"/>
      <c r="N119" s="35"/>
      <c r="O119" s="35"/>
      <c r="P119" s="37"/>
    </row>
    <row r="120" spans="2:16" x14ac:dyDescent="0.25">
      <c r="B120" s="35"/>
      <c r="C120" s="142"/>
      <c r="D120" s="35"/>
      <c r="E120" s="35"/>
      <c r="F120" s="35"/>
      <c r="G120" s="35"/>
      <c r="H120" s="35"/>
      <c r="I120" s="38"/>
      <c r="J120" s="38"/>
      <c r="K120" s="38"/>
      <c r="L120" s="38"/>
      <c r="M120" s="35"/>
      <c r="N120" s="35"/>
      <c r="O120" s="35"/>
      <c r="P120" s="37"/>
    </row>
    <row r="121" spans="2:16" x14ac:dyDescent="0.25">
      <c r="B121" s="35"/>
      <c r="C121" s="142"/>
      <c r="D121" s="35"/>
      <c r="E121" s="35"/>
      <c r="F121" s="35"/>
      <c r="G121" s="35"/>
      <c r="H121" s="35"/>
      <c r="I121" s="38"/>
      <c r="J121" s="38"/>
      <c r="K121" s="38"/>
      <c r="L121" s="38"/>
      <c r="M121" s="35"/>
      <c r="N121" s="35"/>
      <c r="O121" s="35"/>
      <c r="P121" s="37"/>
    </row>
    <row r="122" spans="2:16" x14ac:dyDescent="0.25">
      <c r="B122" s="35"/>
      <c r="C122" s="142"/>
      <c r="D122" s="35"/>
      <c r="E122" s="35"/>
      <c r="F122" s="35"/>
      <c r="G122" s="35"/>
      <c r="H122" s="35"/>
      <c r="I122" s="38"/>
      <c r="J122" s="38"/>
      <c r="K122" s="38"/>
      <c r="L122" s="38"/>
      <c r="M122" s="35"/>
      <c r="N122" s="35"/>
      <c r="O122" s="35"/>
      <c r="P122" s="37"/>
    </row>
    <row r="123" spans="2:16" x14ac:dyDescent="0.25">
      <c r="B123" s="35"/>
      <c r="C123" s="142"/>
      <c r="D123" s="35"/>
      <c r="E123" s="35"/>
      <c r="F123" s="35"/>
      <c r="G123" s="35"/>
      <c r="H123" s="35"/>
      <c r="I123" s="38"/>
      <c r="J123" s="38"/>
      <c r="K123" s="38"/>
      <c r="L123" s="38"/>
      <c r="M123" s="35"/>
      <c r="N123" s="35"/>
      <c r="O123" s="35"/>
      <c r="P123" s="37"/>
    </row>
    <row r="124" spans="2:16" x14ac:dyDescent="0.25">
      <c r="B124" s="35"/>
      <c r="C124" s="142"/>
      <c r="D124" s="35"/>
      <c r="E124" s="35"/>
      <c r="F124" s="35"/>
      <c r="G124" s="35"/>
      <c r="H124" s="35"/>
      <c r="I124" s="38"/>
      <c r="J124" s="38"/>
      <c r="K124" s="38"/>
      <c r="L124" s="38"/>
      <c r="M124" s="35"/>
      <c r="N124" s="35"/>
      <c r="O124" s="35"/>
      <c r="P124" s="37"/>
    </row>
    <row r="125" spans="2:16" x14ac:dyDescent="0.25">
      <c r="B125" s="35"/>
      <c r="C125" s="142"/>
      <c r="D125" s="35"/>
      <c r="E125" s="35"/>
      <c r="F125" s="35"/>
      <c r="G125" s="35"/>
      <c r="H125" s="35"/>
      <c r="I125" s="38"/>
      <c r="J125" s="38"/>
      <c r="K125" s="38"/>
      <c r="L125" s="38"/>
      <c r="M125" s="35"/>
      <c r="N125" s="35"/>
      <c r="O125" s="35"/>
      <c r="P125" s="37"/>
    </row>
    <row r="126" spans="2:16" x14ac:dyDescent="0.25">
      <c r="B126" s="35"/>
      <c r="C126" s="142"/>
      <c r="D126" s="35"/>
      <c r="E126" s="35"/>
      <c r="F126" s="35"/>
      <c r="G126" s="35"/>
      <c r="H126" s="35"/>
      <c r="I126" s="38"/>
      <c r="J126" s="38"/>
      <c r="K126" s="38"/>
      <c r="L126" s="38"/>
      <c r="M126" s="35"/>
      <c r="N126" s="35"/>
      <c r="O126" s="35"/>
      <c r="P126" s="37"/>
    </row>
    <row r="127" spans="2:16" x14ac:dyDescent="0.25">
      <c r="B127" s="35"/>
      <c r="C127" s="142"/>
      <c r="D127" s="35"/>
      <c r="E127" s="35"/>
      <c r="F127" s="35"/>
      <c r="G127" s="35"/>
      <c r="H127" s="35"/>
      <c r="I127" s="38"/>
      <c r="J127" s="38"/>
      <c r="K127" s="38"/>
      <c r="L127" s="38"/>
      <c r="M127" s="35"/>
      <c r="N127" s="35"/>
      <c r="O127" s="35"/>
      <c r="P127" s="37"/>
    </row>
    <row r="128" spans="2:16" x14ac:dyDescent="0.25">
      <c r="B128" s="35"/>
      <c r="C128" s="142"/>
      <c r="D128" s="35"/>
      <c r="E128" s="35"/>
      <c r="F128" s="35"/>
      <c r="G128" s="35"/>
      <c r="H128" s="35"/>
      <c r="I128" s="38"/>
      <c r="J128" s="38"/>
      <c r="K128" s="38"/>
      <c r="L128" s="38"/>
      <c r="M128" s="35"/>
      <c r="N128" s="35"/>
      <c r="O128" s="35"/>
      <c r="P128" s="37"/>
    </row>
    <row r="129" spans="2:16" x14ac:dyDescent="0.25">
      <c r="B129" s="35"/>
      <c r="C129" s="142"/>
      <c r="D129" s="35"/>
      <c r="E129" s="35"/>
      <c r="F129" s="35"/>
      <c r="G129" s="35"/>
      <c r="H129" s="35"/>
      <c r="I129" s="38"/>
      <c r="J129" s="38"/>
      <c r="K129" s="38"/>
      <c r="L129" s="38"/>
      <c r="M129" s="35"/>
      <c r="N129" s="35"/>
      <c r="O129" s="35"/>
      <c r="P129" s="37"/>
    </row>
    <row r="130" spans="2:16" x14ac:dyDescent="0.25">
      <c r="B130" s="35"/>
      <c r="C130" s="142"/>
      <c r="D130" s="35"/>
      <c r="E130" s="35"/>
      <c r="F130" s="35"/>
      <c r="G130" s="35"/>
      <c r="H130" s="35"/>
      <c r="I130" s="38"/>
      <c r="J130" s="38"/>
      <c r="K130" s="38"/>
      <c r="L130" s="38"/>
      <c r="M130" s="35"/>
      <c r="N130" s="35"/>
      <c r="O130" s="35"/>
      <c r="P130" s="37"/>
    </row>
    <row r="131" spans="2:16" x14ac:dyDescent="0.25">
      <c r="B131" s="35"/>
      <c r="C131" s="142"/>
      <c r="D131" s="35"/>
      <c r="E131" s="35"/>
      <c r="F131" s="35"/>
      <c r="G131" s="35"/>
      <c r="H131" s="35"/>
      <c r="I131" s="38"/>
      <c r="J131" s="38"/>
      <c r="K131" s="38"/>
      <c r="L131" s="38"/>
      <c r="M131" s="35"/>
      <c r="N131" s="35"/>
      <c r="O131" s="35"/>
      <c r="P131" s="37"/>
    </row>
    <row r="132" spans="2:16" x14ac:dyDescent="0.25">
      <c r="B132" s="35"/>
      <c r="C132" s="142"/>
      <c r="D132" s="35"/>
      <c r="E132" s="35"/>
      <c r="F132" s="35"/>
      <c r="G132" s="35"/>
      <c r="H132" s="35"/>
      <c r="I132" s="38"/>
      <c r="J132" s="38"/>
      <c r="K132" s="38"/>
      <c r="L132" s="38"/>
      <c r="M132" s="35"/>
      <c r="N132" s="35"/>
      <c r="O132" s="35"/>
      <c r="P132" s="37"/>
    </row>
    <row r="133" spans="2:16" x14ac:dyDescent="0.25">
      <c r="B133" s="35"/>
      <c r="C133" s="142"/>
      <c r="D133" s="35"/>
      <c r="E133" s="35"/>
      <c r="F133" s="35"/>
      <c r="G133" s="35"/>
      <c r="H133" s="35"/>
      <c r="I133" s="38"/>
      <c r="J133" s="38"/>
      <c r="K133" s="38"/>
      <c r="L133" s="38"/>
      <c r="M133" s="35"/>
      <c r="N133" s="35"/>
      <c r="O133" s="35"/>
      <c r="P133" s="37"/>
    </row>
    <row r="134" spans="2:16" x14ac:dyDescent="0.25">
      <c r="B134" s="35"/>
      <c r="C134" s="142"/>
      <c r="D134" s="35"/>
      <c r="E134" s="35"/>
      <c r="F134" s="35"/>
      <c r="G134" s="35"/>
      <c r="H134" s="35"/>
      <c r="I134" s="38"/>
      <c r="J134" s="38"/>
      <c r="K134" s="38"/>
      <c r="L134" s="38"/>
      <c r="M134" s="35"/>
      <c r="N134" s="35"/>
      <c r="O134" s="35"/>
      <c r="P134" s="37"/>
    </row>
    <row r="135" spans="2:16" x14ac:dyDescent="0.25">
      <c r="B135" s="35"/>
      <c r="C135" s="142"/>
      <c r="D135" s="35"/>
      <c r="E135" s="35"/>
      <c r="F135" s="35"/>
      <c r="G135" s="35"/>
      <c r="H135" s="35"/>
      <c r="I135" s="38"/>
      <c r="J135" s="38"/>
      <c r="K135" s="38"/>
      <c r="L135" s="38"/>
      <c r="M135" s="35"/>
      <c r="N135" s="35"/>
      <c r="O135" s="35"/>
      <c r="P135" s="37"/>
    </row>
    <row r="136" spans="2:16" x14ac:dyDescent="0.25">
      <c r="B136" s="35"/>
      <c r="C136" s="142"/>
      <c r="D136" s="35"/>
      <c r="E136" s="35"/>
      <c r="F136" s="35"/>
      <c r="G136" s="35"/>
      <c r="H136" s="35"/>
      <c r="I136" s="38"/>
      <c r="J136" s="38"/>
      <c r="K136" s="38"/>
      <c r="L136" s="38"/>
      <c r="M136" s="35"/>
      <c r="N136" s="35"/>
      <c r="O136" s="35"/>
      <c r="P136" s="37"/>
    </row>
    <row r="137" spans="2:16" x14ac:dyDescent="0.25">
      <c r="B137" s="35"/>
      <c r="C137" s="142"/>
      <c r="D137" s="35"/>
      <c r="E137" s="35"/>
      <c r="F137" s="35"/>
      <c r="G137" s="35"/>
      <c r="H137" s="35"/>
      <c r="I137" s="38"/>
      <c r="J137" s="38"/>
      <c r="K137" s="38"/>
      <c r="L137" s="38"/>
      <c r="M137" s="35"/>
      <c r="N137" s="35"/>
      <c r="O137" s="35"/>
      <c r="P137" s="37"/>
    </row>
    <row r="138" spans="2:16" x14ac:dyDescent="0.25">
      <c r="B138" s="35"/>
      <c r="C138" s="142"/>
      <c r="D138" s="35"/>
      <c r="E138" s="35"/>
      <c r="F138" s="35"/>
      <c r="G138" s="35"/>
      <c r="H138" s="35"/>
      <c r="I138" s="38"/>
      <c r="J138" s="38"/>
      <c r="K138" s="38"/>
      <c r="L138" s="38"/>
      <c r="M138" s="35"/>
      <c r="N138" s="35"/>
      <c r="O138" s="35"/>
      <c r="P138" s="37"/>
    </row>
    <row r="139" spans="2:16" x14ac:dyDescent="0.25">
      <c r="B139" s="35"/>
      <c r="C139" s="142"/>
      <c r="D139" s="35"/>
      <c r="E139" s="35"/>
      <c r="F139" s="35"/>
      <c r="G139" s="35"/>
      <c r="H139" s="35"/>
      <c r="I139" s="38"/>
      <c r="J139" s="38"/>
      <c r="K139" s="38"/>
      <c r="L139" s="38"/>
      <c r="M139" s="35"/>
      <c r="N139" s="35"/>
      <c r="O139" s="35"/>
      <c r="P139" s="37"/>
    </row>
    <row r="140" spans="2:16" x14ac:dyDescent="0.25">
      <c r="B140" s="35"/>
      <c r="C140" s="142"/>
      <c r="D140" s="35"/>
      <c r="E140" s="35"/>
      <c r="F140" s="35"/>
      <c r="G140" s="35"/>
      <c r="H140" s="35"/>
      <c r="I140" s="38"/>
      <c r="J140" s="38"/>
      <c r="K140" s="38"/>
      <c r="L140" s="38"/>
      <c r="M140" s="35"/>
      <c r="N140" s="35"/>
      <c r="O140" s="35"/>
      <c r="P140" s="37"/>
    </row>
    <row r="141" spans="2:16" x14ac:dyDescent="0.25">
      <c r="B141" s="35"/>
      <c r="C141" s="142"/>
      <c r="D141" s="35"/>
      <c r="E141" s="35"/>
      <c r="F141" s="35"/>
      <c r="G141" s="35"/>
      <c r="H141" s="35"/>
      <c r="I141" s="38"/>
      <c r="J141" s="38"/>
      <c r="K141" s="38"/>
      <c r="L141" s="38"/>
      <c r="M141" s="35"/>
      <c r="N141" s="35"/>
      <c r="O141" s="35"/>
      <c r="P141" s="37"/>
    </row>
    <row r="142" spans="2:16" x14ac:dyDescent="0.25">
      <c r="B142" s="35"/>
      <c r="C142" s="142"/>
      <c r="D142" s="35"/>
      <c r="E142" s="35"/>
      <c r="F142" s="35"/>
      <c r="G142" s="35"/>
      <c r="H142" s="35"/>
      <c r="I142" s="38"/>
      <c r="J142" s="38"/>
      <c r="K142" s="38"/>
      <c r="L142" s="38"/>
      <c r="M142" s="35"/>
      <c r="N142" s="35"/>
      <c r="O142" s="35"/>
      <c r="P142" s="37"/>
    </row>
    <row r="143" spans="2:16" x14ac:dyDescent="0.25">
      <c r="B143" s="35"/>
      <c r="C143" s="142"/>
      <c r="D143" s="35"/>
      <c r="E143" s="35"/>
      <c r="F143" s="35"/>
      <c r="G143" s="35"/>
      <c r="H143" s="35"/>
      <c r="I143" s="38"/>
      <c r="J143" s="38"/>
      <c r="K143" s="38"/>
      <c r="L143" s="38"/>
      <c r="M143" s="35"/>
      <c r="N143" s="35"/>
      <c r="O143" s="35"/>
      <c r="P143" s="37"/>
    </row>
    <row r="144" spans="2:16" x14ac:dyDescent="0.25">
      <c r="B144" s="35"/>
      <c r="C144" s="142"/>
      <c r="D144" s="35"/>
      <c r="E144" s="35"/>
      <c r="F144" s="35"/>
      <c r="G144" s="35"/>
      <c r="H144" s="35"/>
      <c r="I144" s="38"/>
      <c r="J144" s="38"/>
      <c r="K144" s="38"/>
      <c r="L144" s="38"/>
      <c r="M144" s="35"/>
      <c r="N144" s="35"/>
      <c r="O144" s="35"/>
      <c r="P144" s="37"/>
    </row>
    <row r="145" spans="2:16" x14ac:dyDescent="0.25">
      <c r="B145" s="35"/>
      <c r="C145" s="142"/>
      <c r="D145" s="35"/>
      <c r="E145" s="35"/>
      <c r="F145" s="35"/>
      <c r="G145" s="35"/>
      <c r="H145" s="35"/>
      <c r="I145" s="38"/>
      <c r="J145" s="38"/>
      <c r="K145" s="38"/>
      <c r="L145" s="38"/>
      <c r="M145" s="35"/>
      <c r="N145" s="35"/>
      <c r="O145" s="35"/>
      <c r="P145" s="37"/>
    </row>
    <row r="146" spans="2:16" x14ac:dyDescent="0.25">
      <c r="B146" s="35"/>
      <c r="C146" s="142"/>
      <c r="D146" s="35"/>
      <c r="E146" s="35"/>
      <c r="F146" s="35"/>
      <c r="G146" s="35"/>
      <c r="H146" s="35"/>
      <c r="I146" s="38"/>
      <c r="J146" s="38"/>
      <c r="K146" s="38"/>
      <c r="L146" s="38"/>
      <c r="M146" s="35"/>
      <c r="N146" s="35"/>
      <c r="O146" s="35"/>
      <c r="P146" s="37"/>
    </row>
    <row r="147" spans="2:16" x14ac:dyDescent="0.25">
      <c r="B147" s="35"/>
      <c r="C147" s="142"/>
      <c r="D147" s="35"/>
      <c r="E147" s="35"/>
      <c r="F147" s="35"/>
      <c r="G147" s="35"/>
      <c r="H147" s="35"/>
      <c r="I147" s="38"/>
      <c r="J147" s="38"/>
      <c r="K147" s="38"/>
      <c r="L147" s="38"/>
      <c r="M147" s="35"/>
      <c r="N147" s="35"/>
      <c r="O147" s="35"/>
      <c r="P147" s="37"/>
    </row>
    <row r="148" spans="2:16" x14ac:dyDescent="0.25">
      <c r="B148" s="35"/>
      <c r="C148" s="142"/>
      <c r="D148" s="35"/>
      <c r="E148" s="35"/>
      <c r="F148" s="35"/>
      <c r="G148" s="35"/>
      <c r="H148" s="35"/>
      <c r="I148" s="38"/>
      <c r="J148" s="38"/>
      <c r="K148" s="38"/>
      <c r="L148" s="38"/>
      <c r="M148" s="35"/>
      <c r="N148" s="35"/>
      <c r="O148" s="35"/>
      <c r="P148" s="37"/>
    </row>
    <row r="149" spans="2:16" x14ac:dyDescent="0.25">
      <c r="B149" s="35"/>
      <c r="C149" s="142"/>
      <c r="D149" s="35"/>
      <c r="E149" s="35"/>
      <c r="F149" s="35"/>
      <c r="G149" s="35"/>
      <c r="H149" s="35"/>
      <c r="I149" s="38"/>
      <c r="J149" s="38"/>
      <c r="K149" s="38"/>
      <c r="L149" s="38"/>
      <c r="M149" s="35"/>
      <c r="N149" s="35"/>
      <c r="O149" s="35"/>
      <c r="P149" s="37"/>
    </row>
    <row r="150" spans="2:16" x14ac:dyDescent="0.25">
      <c r="B150" s="35"/>
      <c r="C150" s="142"/>
      <c r="D150" s="35"/>
      <c r="E150" s="35"/>
      <c r="F150" s="35"/>
      <c r="G150" s="35"/>
      <c r="H150" s="35"/>
      <c r="I150" s="38"/>
      <c r="J150" s="38"/>
      <c r="K150" s="38"/>
      <c r="L150" s="38"/>
      <c r="M150" s="35"/>
      <c r="N150" s="35"/>
      <c r="O150" s="35"/>
      <c r="P150" s="37"/>
    </row>
    <row r="151" spans="2:16" x14ac:dyDescent="0.25">
      <c r="B151" s="35"/>
      <c r="C151" s="142"/>
      <c r="D151" s="35"/>
      <c r="E151" s="35"/>
      <c r="F151" s="35"/>
      <c r="G151" s="35"/>
      <c r="H151" s="35"/>
      <c r="I151" s="38"/>
      <c r="J151" s="38"/>
      <c r="K151" s="38"/>
      <c r="L151" s="38"/>
      <c r="M151" s="35"/>
      <c r="N151" s="35"/>
      <c r="O151" s="35"/>
      <c r="P151" s="37"/>
    </row>
    <row r="152" spans="2:16" x14ac:dyDescent="0.25">
      <c r="B152" s="35"/>
      <c r="C152" s="142"/>
      <c r="D152" s="35"/>
      <c r="E152" s="35"/>
      <c r="F152" s="35"/>
      <c r="G152" s="35"/>
      <c r="H152" s="35"/>
      <c r="I152" s="38"/>
      <c r="J152" s="38"/>
      <c r="K152" s="38"/>
      <c r="L152" s="38"/>
      <c r="M152" s="35"/>
      <c r="N152" s="35"/>
      <c r="O152" s="35"/>
      <c r="P152" s="37"/>
    </row>
    <row r="153" spans="2:16" x14ac:dyDescent="0.25">
      <c r="B153" s="35"/>
      <c r="C153" s="142"/>
      <c r="D153" s="35"/>
      <c r="E153" s="35"/>
      <c r="F153" s="35"/>
      <c r="G153" s="35"/>
      <c r="H153" s="35"/>
      <c r="I153" s="38"/>
      <c r="J153" s="38"/>
      <c r="K153" s="38"/>
      <c r="L153" s="38"/>
      <c r="M153" s="35"/>
      <c r="N153" s="35"/>
      <c r="O153" s="35"/>
      <c r="P153" s="37"/>
    </row>
    <row r="154" spans="2:16" x14ac:dyDescent="0.25">
      <c r="B154" s="35"/>
      <c r="C154" s="142"/>
      <c r="D154" s="35"/>
      <c r="E154" s="35"/>
      <c r="F154" s="35"/>
      <c r="G154" s="35"/>
      <c r="H154" s="35"/>
      <c r="I154" s="38"/>
      <c r="J154" s="38"/>
      <c r="K154" s="38"/>
      <c r="L154" s="38"/>
      <c r="M154" s="35"/>
      <c r="N154" s="35"/>
      <c r="O154" s="35"/>
      <c r="P154" s="37"/>
    </row>
    <row r="155" spans="2:16" x14ac:dyDescent="0.25">
      <c r="B155" s="35"/>
      <c r="C155" s="142"/>
      <c r="D155" s="35"/>
      <c r="E155" s="35"/>
      <c r="F155" s="35"/>
      <c r="G155" s="35"/>
      <c r="H155" s="35"/>
      <c r="I155" s="38"/>
      <c r="J155" s="38"/>
      <c r="K155" s="38"/>
      <c r="L155" s="38"/>
      <c r="M155" s="35"/>
      <c r="N155" s="35"/>
      <c r="O155" s="35"/>
      <c r="P155" s="37"/>
    </row>
    <row r="156" spans="2:16" x14ac:dyDescent="0.25">
      <c r="B156" s="35"/>
      <c r="C156" s="142"/>
      <c r="D156" s="35"/>
      <c r="E156" s="35"/>
      <c r="F156" s="35"/>
      <c r="G156" s="35"/>
      <c r="H156" s="35"/>
      <c r="I156" s="38"/>
      <c r="J156" s="38"/>
      <c r="K156" s="38"/>
      <c r="L156" s="38"/>
      <c r="M156" s="35"/>
      <c r="N156" s="35"/>
      <c r="O156" s="35"/>
      <c r="P156" s="37"/>
    </row>
    <row r="157" spans="2:16" x14ac:dyDescent="0.25">
      <c r="B157" s="35"/>
      <c r="C157" s="142"/>
      <c r="D157" s="35"/>
      <c r="E157" s="35"/>
      <c r="F157" s="35"/>
      <c r="G157" s="35"/>
      <c r="H157" s="35"/>
      <c r="I157" s="38"/>
      <c r="J157" s="38"/>
      <c r="K157" s="38"/>
      <c r="L157" s="38"/>
      <c r="M157" s="35"/>
      <c r="N157" s="35"/>
      <c r="O157" s="35"/>
      <c r="P157" s="37"/>
    </row>
    <row r="158" spans="2:16" x14ac:dyDescent="0.25">
      <c r="B158" s="35"/>
      <c r="C158" s="142"/>
      <c r="D158" s="35"/>
      <c r="E158" s="35"/>
      <c r="F158" s="35"/>
      <c r="G158" s="35"/>
      <c r="H158" s="35"/>
      <c r="I158" s="38"/>
      <c r="J158" s="38"/>
      <c r="K158" s="38"/>
      <c r="L158" s="38"/>
      <c r="M158" s="35"/>
      <c r="N158" s="35"/>
      <c r="O158" s="35"/>
      <c r="P158" s="37"/>
    </row>
    <row r="159" spans="2:16" x14ac:dyDescent="0.25">
      <c r="B159" s="35"/>
      <c r="C159" s="142"/>
      <c r="D159" s="35"/>
      <c r="E159" s="35"/>
      <c r="F159" s="35"/>
      <c r="G159" s="35"/>
      <c r="H159" s="35"/>
      <c r="I159" s="38"/>
      <c r="J159" s="38"/>
      <c r="K159" s="38"/>
      <c r="L159" s="38"/>
      <c r="M159" s="35"/>
      <c r="N159" s="35"/>
      <c r="O159" s="35"/>
      <c r="P159" s="37"/>
    </row>
    <row r="160" spans="2:16" x14ac:dyDescent="0.25">
      <c r="B160" s="35"/>
      <c r="C160" s="142"/>
      <c r="D160" s="35"/>
      <c r="E160" s="35"/>
      <c r="F160" s="35"/>
      <c r="G160" s="35"/>
      <c r="H160" s="35"/>
      <c r="I160" s="38"/>
      <c r="J160" s="38"/>
      <c r="K160" s="38"/>
      <c r="L160" s="38"/>
      <c r="M160" s="35"/>
      <c r="N160" s="35"/>
      <c r="O160" s="35"/>
      <c r="P160" s="37"/>
    </row>
    <row r="161" spans="2:16" x14ac:dyDescent="0.25">
      <c r="B161" s="35"/>
      <c r="C161" s="142"/>
      <c r="D161" s="35"/>
      <c r="E161" s="35"/>
      <c r="F161" s="35"/>
      <c r="G161" s="35"/>
      <c r="H161" s="35"/>
      <c r="I161" s="38"/>
      <c r="J161" s="38"/>
      <c r="K161" s="38"/>
      <c r="L161" s="38"/>
      <c r="M161" s="35"/>
      <c r="N161" s="35"/>
      <c r="O161" s="35"/>
      <c r="P161" s="37"/>
    </row>
    <row r="162" spans="2:16" x14ac:dyDescent="0.25">
      <c r="B162" s="35"/>
      <c r="C162" s="142"/>
      <c r="D162" s="35"/>
      <c r="E162" s="35"/>
      <c r="F162" s="35"/>
      <c r="G162" s="35"/>
      <c r="H162" s="35"/>
      <c r="I162" s="38"/>
      <c r="J162" s="38"/>
      <c r="K162" s="38"/>
      <c r="L162" s="38"/>
      <c r="M162" s="35"/>
      <c r="N162" s="35"/>
      <c r="O162" s="35"/>
      <c r="P162" s="37"/>
    </row>
    <row r="163" spans="2:16" x14ac:dyDescent="0.25">
      <c r="B163" s="35"/>
      <c r="C163" s="142"/>
      <c r="D163" s="35"/>
      <c r="E163" s="35"/>
      <c r="F163" s="35"/>
      <c r="G163" s="35"/>
      <c r="H163" s="35"/>
      <c r="I163" s="38"/>
      <c r="J163" s="38"/>
      <c r="K163" s="38"/>
      <c r="L163" s="38"/>
      <c r="M163" s="35"/>
      <c r="N163" s="35"/>
      <c r="O163" s="35"/>
      <c r="P163" s="37"/>
    </row>
    <row r="164" spans="2:16" x14ac:dyDescent="0.25">
      <c r="B164" s="35"/>
      <c r="C164" s="142"/>
      <c r="D164" s="35"/>
      <c r="E164" s="35"/>
      <c r="F164" s="35"/>
      <c r="G164" s="35"/>
      <c r="H164" s="35"/>
      <c r="I164" s="38"/>
      <c r="J164" s="38"/>
      <c r="K164" s="38"/>
      <c r="L164" s="38"/>
      <c r="M164" s="35"/>
      <c r="N164" s="35"/>
      <c r="O164" s="35"/>
      <c r="P164" s="37"/>
    </row>
    <row r="165" spans="2:16" x14ac:dyDescent="0.25">
      <c r="B165" s="35"/>
      <c r="C165" s="142"/>
      <c r="D165" s="35"/>
      <c r="E165" s="35"/>
      <c r="F165" s="35"/>
      <c r="G165" s="35"/>
      <c r="H165" s="35"/>
      <c r="I165" s="38"/>
      <c r="J165" s="38"/>
      <c r="K165" s="38"/>
      <c r="L165" s="38"/>
      <c r="M165" s="35"/>
      <c r="N165" s="35"/>
      <c r="O165" s="35"/>
      <c r="P165" s="37"/>
    </row>
    <row r="166" spans="2:16" x14ac:dyDescent="0.25">
      <c r="B166" s="35"/>
      <c r="C166" s="142"/>
      <c r="D166" s="35"/>
      <c r="E166" s="35"/>
      <c r="F166" s="35"/>
      <c r="G166" s="35"/>
      <c r="H166" s="35"/>
      <c r="I166" s="38"/>
      <c r="J166" s="38"/>
      <c r="K166" s="38"/>
      <c r="L166" s="38"/>
      <c r="M166" s="35"/>
      <c r="N166" s="35"/>
      <c r="O166" s="35"/>
      <c r="P166" s="37"/>
    </row>
    <row r="167" spans="2:16" x14ac:dyDescent="0.25">
      <c r="B167" s="35"/>
      <c r="C167" s="142"/>
      <c r="D167" s="35"/>
      <c r="E167" s="35"/>
      <c r="F167" s="35"/>
      <c r="G167" s="35"/>
      <c r="H167" s="35"/>
      <c r="I167" s="38"/>
      <c r="J167" s="38"/>
      <c r="K167" s="38"/>
      <c r="L167" s="38"/>
      <c r="M167" s="35"/>
      <c r="N167" s="35"/>
      <c r="O167" s="35"/>
      <c r="P167" s="37"/>
    </row>
    <row r="168" spans="2:16" x14ac:dyDescent="0.25">
      <c r="B168" s="35"/>
      <c r="C168" s="142"/>
      <c r="D168" s="35"/>
      <c r="E168" s="35"/>
      <c r="F168" s="35"/>
      <c r="G168" s="35"/>
      <c r="H168" s="35"/>
      <c r="I168" s="38"/>
      <c r="J168" s="38"/>
      <c r="K168" s="38"/>
      <c r="L168" s="38"/>
      <c r="M168" s="35"/>
      <c r="N168" s="35"/>
      <c r="O168" s="35"/>
      <c r="P168" s="37"/>
    </row>
    <row r="169" spans="2:16" x14ac:dyDescent="0.25">
      <c r="B169" s="35"/>
      <c r="C169" s="142"/>
      <c r="D169" s="35"/>
      <c r="E169" s="35"/>
      <c r="F169" s="35"/>
      <c r="G169" s="35"/>
      <c r="H169" s="35"/>
      <c r="I169" s="38"/>
      <c r="J169" s="38"/>
      <c r="K169" s="38"/>
      <c r="L169" s="38"/>
      <c r="M169" s="35"/>
      <c r="N169" s="35"/>
      <c r="O169" s="35"/>
      <c r="P169" s="37"/>
    </row>
    <row r="170" spans="2:16" x14ac:dyDescent="0.25">
      <c r="B170" s="35"/>
      <c r="C170" s="142"/>
      <c r="D170" s="35"/>
      <c r="E170" s="35"/>
      <c r="F170" s="35"/>
      <c r="G170" s="35"/>
      <c r="H170" s="35"/>
      <c r="I170" s="38"/>
      <c r="J170" s="38"/>
      <c r="K170" s="38"/>
      <c r="L170" s="38"/>
      <c r="M170" s="35"/>
      <c r="N170" s="35"/>
      <c r="O170" s="35"/>
      <c r="P170" s="37"/>
    </row>
    <row r="171" spans="2:16" x14ac:dyDescent="0.25">
      <c r="B171" s="35"/>
      <c r="C171" s="142"/>
      <c r="D171" s="35"/>
      <c r="E171" s="35"/>
      <c r="F171" s="35"/>
      <c r="G171" s="35"/>
      <c r="H171" s="35"/>
      <c r="I171" s="38"/>
      <c r="J171" s="38"/>
      <c r="K171" s="38"/>
      <c r="L171" s="38"/>
      <c r="M171" s="35"/>
      <c r="N171" s="35"/>
      <c r="O171" s="35"/>
      <c r="P171" s="37"/>
    </row>
    <row r="172" spans="2:16" x14ac:dyDescent="0.25">
      <c r="B172" s="35"/>
      <c r="C172" s="142"/>
      <c r="D172" s="35"/>
      <c r="E172" s="35"/>
      <c r="F172" s="35"/>
      <c r="G172" s="35"/>
      <c r="H172" s="35"/>
      <c r="I172" s="38"/>
      <c r="J172" s="38"/>
      <c r="K172" s="38"/>
      <c r="L172" s="38"/>
      <c r="M172" s="35"/>
      <c r="N172" s="35"/>
      <c r="O172" s="35"/>
      <c r="P172" s="37"/>
    </row>
    <row r="173" spans="2:16" x14ac:dyDescent="0.25">
      <c r="B173" s="35"/>
      <c r="C173" s="142"/>
      <c r="D173" s="35"/>
      <c r="E173" s="35"/>
      <c r="F173" s="35"/>
      <c r="G173" s="35"/>
      <c r="H173" s="35"/>
      <c r="I173" s="38"/>
      <c r="J173" s="38"/>
      <c r="K173" s="38"/>
      <c r="L173" s="38"/>
      <c r="M173" s="35"/>
      <c r="N173" s="35"/>
      <c r="O173" s="35"/>
      <c r="P173" s="37"/>
    </row>
    <row r="174" spans="2:16" x14ac:dyDescent="0.25">
      <c r="B174" s="35"/>
      <c r="C174" s="142"/>
      <c r="D174" s="35"/>
      <c r="E174" s="35"/>
      <c r="F174" s="35"/>
      <c r="G174" s="35"/>
      <c r="H174" s="35"/>
      <c r="I174" s="38"/>
      <c r="J174" s="38"/>
      <c r="K174" s="38"/>
      <c r="L174" s="38"/>
      <c r="M174" s="35"/>
      <c r="N174" s="35"/>
      <c r="O174" s="35"/>
      <c r="P174" s="37"/>
    </row>
    <row r="175" spans="2:16" x14ac:dyDescent="0.25">
      <c r="B175" s="35"/>
      <c r="C175" s="142"/>
      <c r="D175" s="35"/>
      <c r="E175" s="35"/>
      <c r="F175" s="35"/>
      <c r="G175" s="35"/>
      <c r="H175" s="35"/>
      <c r="I175" s="38"/>
      <c r="J175" s="38"/>
      <c r="K175" s="38"/>
      <c r="L175" s="38"/>
      <c r="M175" s="35"/>
      <c r="N175" s="35"/>
      <c r="O175" s="35"/>
      <c r="P175" s="37"/>
    </row>
    <row r="176" spans="2:16" x14ac:dyDescent="0.25">
      <c r="B176" s="35"/>
      <c r="C176" s="142"/>
      <c r="D176" s="35"/>
      <c r="E176" s="35"/>
      <c r="F176" s="35"/>
      <c r="G176" s="35"/>
      <c r="H176" s="35"/>
      <c r="I176" s="38"/>
      <c r="J176" s="38"/>
      <c r="K176" s="38"/>
      <c r="L176" s="38"/>
      <c r="M176" s="35"/>
      <c r="N176" s="35"/>
      <c r="O176" s="35"/>
      <c r="P176" s="37"/>
    </row>
    <row r="177" spans="2:16" x14ac:dyDescent="0.25">
      <c r="B177" s="35"/>
      <c r="C177" s="142"/>
      <c r="D177" s="35"/>
      <c r="E177" s="35"/>
      <c r="F177" s="35"/>
      <c r="G177" s="35"/>
      <c r="H177" s="35"/>
      <c r="I177" s="38"/>
      <c r="J177" s="38"/>
      <c r="K177" s="38"/>
      <c r="L177" s="38"/>
      <c r="M177" s="35"/>
      <c r="N177" s="35"/>
      <c r="O177" s="35"/>
      <c r="P177" s="37"/>
    </row>
    <row r="178" spans="2:16" x14ac:dyDescent="0.25">
      <c r="B178" s="35"/>
      <c r="C178" s="142"/>
      <c r="D178" s="35"/>
      <c r="E178" s="35"/>
      <c r="F178" s="35"/>
      <c r="G178" s="35"/>
      <c r="H178" s="35"/>
      <c r="I178" s="38"/>
      <c r="J178" s="38"/>
      <c r="K178" s="38"/>
      <c r="L178" s="38"/>
      <c r="M178" s="35"/>
      <c r="N178" s="35"/>
      <c r="O178" s="35"/>
      <c r="P178" s="37"/>
    </row>
    <row r="179" spans="2:16" x14ac:dyDescent="0.25">
      <c r="B179" s="35"/>
      <c r="C179" s="142"/>
      <c r="D179" s="35"/>
      <c r="E179" s="35"/>
      <c r="F179" s="35"/>
      <c r="G179" s="35"/>
      <c r="H179" s="35"/>
      <c r="I179" s="38"/>
      <c r="J179" s="38"/>
      <c r="K179" s="38"/>
      <c r="L179" s="38"/>
      <c r="M179" s="35"/>
      <c r="N179" s="35"/>
      <c r="O179" s="35"/>
      <c r="P179" s="37"/>
    </row>
    <row r="180" spans="2:16" x14ac:dyDescent="0.25">
      <c r="B180" s="35"/>
      <c r="C180" s="142"/>
      <c r="D180" s="35"/>
      <c r="E180" s="35"/>
      <c r="F180" s="35"/>
      <c r="G180" s="35"/>
      <c r="H180" s="35"/>
      <c r="I180" s="38"/>
      <c r="J180" s="38"/>
      <c r="K180" s="38"/>
      <c r="L180" s="38"/>
      <c r="M180" s="35"/>
      <c r="N180" s="35"/>
      <c r="O180" s="35"/>
      <c r="P180" s="37"/>
    </row>
    <row r="181" spans="2:16" x14ac:dyDescent="0.25">
      <c r="B181" s="35"/>
      <c r="C181" s="142"/>
      <c r="D181" s="35"/>
      <c r="E181" s="35"/>
      <c r="F181" s="35"/>
      <c r="G181" s="35"/>
      <c r="H181" s="35"/>
      <c r="I181" s="38"/>
      <c r="J181" s="38"/>
      <c r="K181" s="38"/>
      <c r="L181" s="38"/>
      <c r="M181" s="35"/>
      <c r="N181" s="35"/>
      <c r="O181" s="35"/>
      <c r="P181" s="37"/>
    </row>
    <row r="182" spans="2:16" x14ac:dyDescent="0.25">
      <c r="B182" s="35"/>
      <c r="C182" s="142"/>
      <c r="D182" s="35"/>
      <c r="E182" s="35"/>
      <c r="F182" s="35"/>
      <c r="G182" s="35"/>
      <c r="H182" s="35"/>
      <c r="I182" s="38"/>
      <c r="J182" s="38"/>
      <c r="K182" s="38"/>
      <c r="L182" s="38"/>
      <c r="M182" s="35"/>
      <c r="N182" s="35"/>
      <c r="O182" s="35"/>
      <c r="P182" s="37"/>
    </row>
    <row r="183" spans="2:16" x14ac:dyDescent="0.25">
      <c r="B183" s="35"/>
      <c r="C183" s="142"/>
      <c r="D183" s="35"/>
      <c r="E183" s="35"/>
      <c r="F183" s="35"/>
      <c r="G183" s="35"/>
      <c r="H183" s="35"/>
      <c r="I183" s="38"/>
      <c r="J183" s="38"/>
      <c r="K183" s="38"/>
      <c r="L183" s="38"/>
      <c r="M183" s="35"/>
      <c r="N183" s="35"/>
      <c r="O183" s="35"/>
      <c r="P183" s="37"/>
    </row>
    <row r="184" spans="2:16" x14ac:dyDescent="0.25">
      <c r="B184" s="35"/>
      <c r="C184" s="142"/>
      <c r="D184" s="35"/>
      <c r="E184" s="35"/>
      <c r="F184" s="35"/>
      <c r="G184" s="35"/>
      <c r="H184" s="35"/>
      <c r="I184" s="38"/>
      <c r="J184" s="38"/>
      <c r="K184" s="38"/>
      <c r="L184" s="38"/>
      <c r="M184" s="35"/>
      <c r="N184" s="35"/>
      <c r="O184" s="35"/>
      <c r="P184" s="37"/>
    </row>
    <row r="185" spans="2:16" x14ac:dyDescent="0.25">
      <c r="B185" s="35"/>
      <c r="C185" s="142"/>
      <c r="D185" s="35"/>
      <c r="E185" s="35"/>
      <c r="F185" s="35"/>
      <c r="G185" s="35"/>
      <c r="H185" s="35"/>
      <c r="I185" s="38"/>
      <c r="J185" s="38"/>
      <c r="K185" s="38"/>
      <c r="L185" s="38"/>
      <c r="M185" s="35"/>
      <c r="N185" s="35"/>
      <c r="O185" s="35"/>
      <c r="P185" s="37"/>
    </row>
    <row r="186" spans="2:16" x14ac:dyDescent="0.25">
      <c r="B186" s="35"/>
      <c r="C186" s="142"/>
      <c r="D186" s="35"/>
      <c r="E186" s="35"/>
      <c r="F186" s="35"/>
      <c r="G186" s="35"/>
      <c r="H186" s="35"/>
      <c r="I186" s="38"/>
      <c r="J186" s="38"/>
      <c r="K186" s="38"/>
      <c r="L186" s="38"/>
      <c r="M186" s="35"/>
      <c r="N186" s="35"/>
      <c r="O186" s="35"/>
      <c r="P186" s="37"/>
    </row>
    <row r="187" spans="2:16" x14ac:dyDescent="0.25">
      <c r="B187" s="35"/>
      <c r="C187" s="142"/>
      <c r="D187" s="35"/>
      <c r="E187" s="35"/>
      <c r="F187" s="35"/>
      <c r="G187" s="35"/>
      <c r="H187" s="35"/>
      <c r="I187" s="38"/>
      <c r="J187" s="38"/>
      <c r="K187" s="38"/>
      <c r="L187" s="38"/>
      <c r="M187" s="35"/>
      <c r="N187" s="35"/>
      <c r="O187" s="35"/>
      <c r="P187" s="37"/>
    </row>
    <row r="188" spans="2:16" x14ac:dyDescent="0.25">
      <c r="B188" s="35"/>
      <c r="C188" s="142"/>
      <c r="D188" s="35"/>
      <c r="E188" s="35"/>
      <c r="F188" s="35"/>
      <c r="G188" s="35"/>
      <c r="H188" s="35"/>
      <c r="I188" s="38"/>
      <c r="J188" s="38"/>
      <c r="K188" s="38"/>
      <c r="L188" s="38"/>
      <c r="M188" s="35"/>
      <c r="N188" s="35"/>
      <c r="O188" s="35"/>
      <c r="P188" s="37"/>
    </row>
    <row r="189" spans="2:16" x14ac:dyDescent="0.25">
      <c r="B189" s="35"/>
      <c r="C189" s="142"/>
      <c r="D189" s="35"/>
      <c r="E189" s="35"/>
      <c r="F189" s="35"/>
      <c r="G189" s="35"/>
      <c r="H189" s="35"/>
      <c r="I189" s="38"/>
      <c r="J189" s="38"/>
      <c r="K189" s="38"/>
      <c r="L189" s="38"/>
      <c r="M189" s="35"/>
      <c r="N189" s="35"/>
      <c r="O189" s="35"/>
      <c r="P189" s="37"/>
    </row>
    <row r="190" spans="2:16" x14ac:dyDescent="0.25">
      <c r="B190" s="35"/>
      <c r="C190" s="142"/>
      <c r="D190" s="35"/>
      <c r="E190" s="35"/>
      <c r="F190" s="35"/>
      <c r="G190" s="35"/>
      <c r="H190" s="35"/>
      <c r="I190" s="38"/>
      <c r="J190" s="38"/>
      <c r="K190" s="38"/>
      <c r="L190" s="38"/>
      <c r="M190" s="35"/>
      <c r="N190" s="35"/>
      <c r="O190" s="35"/>
      <c r="P190" s="37"/>
    </row>
    <row r="191" spans="2:16" x14ac:dyDescent="0.25">
      <c r="B191" s="35"/>
      <c r="C191" s="142"/>
      <c r="D191" s="35"/>
      <c r="E191" s="35"/>
      <c r="F191" s="35"/>
      <c r="G191" s="35"/>
      <c r="H191" s="35"/>
      <c r="I191" s="38"/>
      <c r="J191" s="38"/>
      <c r="K191" s="38"/>
      <c r="L191" s="38"/>
      <c r="M191" s="35"/>
      <c r="N191" s="35"/>
      <c r="O191" s="35"/>
      <c r="P191" s="37"/>
    </row>
    <row r="192" spans="2:16" x14ac:dyDescent="0.25">
      <c r="B192" s="35"/>
      <c r="C192" s="142"/>
      <c r="D192" s="35"/>
      <c r="E192" s="35"/>
      <c r="F192" s="35"/>
      <c r="G192" s="35"/>
      <c r="H192" s="35"/>
      <c r="I192" s="38"/>
      <c r="J192" s="38"/>
      <c r="K192" s="38"/>
      <c r="L192" s="38"/>
      <c r="M192" s="35"/>
      <c r="N192" s="35"/>
      <c r="O192" s="35"/>
      <c r="P192" s="37"/>
    </row>
    <row r="193" spans="2:16" x14ac:dyDescent="0.25">
      <c r="B193" s="35"/>
      <c r="C193" s="142"/>
      <c r="D193" s="35"/>
      <c r="E193" s="35"/>
      <c r="F193" s="35"/>
      <c r="G193" s="35"/>
      <c r="H193" s="35"/>
      <c r="I193" s="38"/>
      <c r="J193" s="38"/>
      <c r="K193" s="38"/>
      <c r="L193" s="38"/>
      <c r="M193" s="35"/>
      <c r="N193" s="35"/>
      <c r="O193" s="35"/>
      <c r="P193" s="37"/>
    </row>
    <row r="194" spans="2:16" x14ac:dyDescent="0.25">
      <c r="B194" s="35"/>
      <c r="C194" s="142"/>
      <c r="D194" s="35"/>
      <c r="E194" s="35"/>
      <c r="F194" s="35"/>
      <c r="G194" s="35"/>
      <c r="H194" s="35"/>
      <c r="I194" s="38"/>
      <c r="J194" s="38"/>
      <c r="K194" s="38"/>
      <c r="L194" s="38"/>
      <c r="M194" s="35"/>
      <c r="N194" s="35"/>
      <c r="O194" s="35"/>
      <c r="P194" s="37"/>
    </row>
    <row r="195" spans="2:16" x14ac:dyDescent="0.25">
      <c r="B195" s="35"/>
      <c r="C195" s="142"/>
      <c r="D195" s="35"/>
      <c r="E195" s="35"/>
      <c r="F195" s="35"/>
      <c r="G195" s="35"/>
      <c r="H195" s="35"/>
      <c r="I195" s="38"/>
      <c r="J195" s="38"/>
      <c r="K195" s="38"/>
      <c r="L195" s="38"/>
      <c r="M195" s="35"/>
      <c r="N195" s="35"/>
      <c r="O195" s="35"/>
      <c r="P195" s="37"/>
    </row>
    <row r="196" spans="2:16" x14ac:dyDescent="0.25">
      <c r="B196" s="35"/>
      <c r="C196" s="142"/>
      <c r="D196" s="35"/>
      <c r="E196" s="35"/>
      <c r="F196" s="35"/>
      <c r="G196" s="35"/>
      <c r="H196" s="35"/>
      <c r="I196" s="38"/>
      <c r="J196" s="38"/>
      <c r="K196" s="38"/>
      <c r="L196" s="38"/>
      <c r="M196" s="35"/>
      <c r="N196" s="35"/>
      <c r="O196" s="35"/>
      <c r="P196" s="37"/>
    </row>
    <row r="197" spans="2:16" x14ac:dyDescent="0.25">
      <c r="B197" s="35"/>
      <c r="C197" s="142"/>
      <c r="D197" s="35"/>
      <c r="E197" s="35"/>
      <c r="F197" s="35"/>
      <c r="G197" s="35"/>
      <c r="H197" s="35"/>
      <c r="I197" s="38"/>
      <c r="J197" s="38"/>
      <c r="K197" s="38"/>
      <c r="L197" s="38"/>
      <c r="M197" s="35"/>
      <c r="N197" s="35"/>
      <c r="O197" s="35"/>
      <c r="P197" s="37"/>
    </row>
    <row r="198" spans="2:16" x14ac:dyDescent="0.25">
      <c r="B198" s="35"/>
      <c r="C198" s="142"/>
      <c r="D198" s="35"/>
      <c r="E198" s="35"/>
      <c r="F198" s="35"/>
      <c r="G198" s="35"/>
      <c r="H198" s="35"/>
      <c r="I198" s="38"/>
      <c r="J198" s="38"/>
      <c r="K198" s="38"/>
      <c r="L198" s="38"/>
      <c r="M198" s="35"/>
      <c r="N198" s="35"/>
      <c r="O198" s="35"/>
      <c r="P198" s="37"/>
    </row>
    <row r="199" spans="2:16" x14ac:dyDescent="0.25">
      <c r="B199" s="35"/>
      <c r="C199" s="142"/>
      <c r="D199" s="35"/>
      <c r="E199" s="35"/>
      <c r="F199" s="35"/>
      <c r="G199" s="35"/>
      <c r="H199" s="35"/>
      <c r="I199" s="38"/>
      <c r="J199" s="38"/>
      <c r="K199" s="38"/>
      <c r="L199" s="38"/>
      <c r="M199" s="35"/>
      <c r="N199" s="35"/>
      <c r="O199" s="35"/>
      <c r="P199" s="37"/>
    </row>
    <row r="200" spans="2:16" x14ac:dyDescent="0.25">
      <c r="B200" s="35"/>
      <c r="C200" s="142"/>
      <c r="D200" s="35"/>
      <c r="E200" s="35"/>
      <c r="F200" s="35"/>
      <c r="G200" s="35"/>
      <c r="H200" s="35"/>
      <c r="I200" s="38"/>
      <c r="J200" s="38"/>
      <c r="K200" s="38"/>
      <c r="L200" s="38"/>
      <c r="M200" s="35"/>
      <c r="N200" s="35"/>
      <c r="O200" s="35"/>
      <c r="P200" s="37"/>
    </row>
    <row r="201" spans="2:16" x14ac:dyDescent="0.25">
      <c r="B201" s="35"/>
      <c r="C201" s="142"/>
      <c r="D201" s="35"/>
      <c r="E201" s="35"/>
      <c r="F201" s="35"/>
      <c r="G201" s="35"/>
      <c r="H201" s="35"/>
      <c r="I201" s="38"/>
      <c r="J201" s="38"/>
      <c r="K201" s="38"/>
      <c r="L201" s="38"/>
      <c r="M201" s="35"/>
      <c r="N201" s="35"/>
      <c r="O201" s="35"/>
      <c r="P201" s="37"/>
    </row>
    <row r="202" spans="2:16" x14ac:dyDescent="0.25">
      <c r="B202" s="35"/>
      <c r="C202" s="142"/>
      <c r="D202" s="35"/>
      <c r="E202" s="35"/>
      <c r="F202" s="35"/>
      <c r="G202" s="35"/>
      <c r="H202" s="35"/>
      <c r="I202" s="38"/>
      <c r="J202" s="38"/>
      <c r="K202" s="38"/>
      <c r="L202" s="38"/>
      <c r="M202" s="35"/>
      <c r="N202" s="35"/>
      <c r="O202" s="35"/>
      <c r="P202" s="37"/>
    </row>
    <row r="203" spans="2:16" x14ac:dyDescent="0.25">
      <c r="B203" s="35"/>
      <c r="C203" s="142"/>
      <c r="D203" s="35"/>
      <c r="E203" s="35"/>
      <c r="F203" s="35"/>
      <c r="G203" s="35"/>
      <c r="H203" s="35"/>
      <c r="I203" s="38"/>
      <c r="J203" s="38"/>
      <c r="K203" s="38"/>
      <c r="L203" s="38"/>
      <c r="M203" s="35"/>
      <c r="N203" s="35"/>
      <c r="O203" s="35"/>
      <c r="P203" s="37"/>
    </row>
    <row r="204" spans="2:16" x14ac:dyDescent="0.25">
      <c r="B204" s="35"/>
      <c r="C204" s="142"/>
      <c r="D204" s="35"/>
      <c r="E204" s="35"/>
      <c r="F204" s="35"/>
      <c r="G204" s="35"/>
      <c r="H204" s="35"/>
      <c r="I204" s="38"/>
      <c r="J204" s="38"/>
      <c r="K204" s="38"/>
      <c r="L204" s="38"/>
      <c r="M204" s="35"/>
      <c r="N204" s="35"/>
      <c r="O204" s="35"/>
      <c r="P204" s="37"/>
    </row>
    <row r="205" spans="2:16" x14ac:dyDescent="0.25">
      <c r="B205" s="35"/>
      <c r="C205" s="142"/>
      <c r="D205" s="35"/>
      <c r="E205" s="35"/>
      <c r="F205" s="35"/>
      <c r="G205" s="35"/>
      <c r="H205" s="35"/>
      <c r="I205" s="38"/>
      <c r="J205" s="38"/>
      <c r="K205" s="38"/>
      <c r="L205" s="38"/>
      <c r="M205" s="35"/>
      <c r="N205" s="35"/>
      <c r="O205" s="35"/>
      <c r="P205" s="37"/>
    </row>
    <row r="206" spans="2:16" x14ac:dyDescent="0.25">
      <c r="B206" s="35"/>
      <c r="C206" s="142"/>
      <c r="D206" s="35"/>
      <c r="E206" s="35"/>
      <c r="F206" s="35"/>
      <c r="G206" s="35"/>
      <c r="H206" s="35"/>
      <c r="I206" s="38"/>
      <c r="J206" s="38"/>
      <c r="K206" s="38"/>
      <c r="L206" s="38"/>
      <c r="M206" s="35"/>
      <c r="N206" s="35"/>
      <c r="O206" s="35"/>
      <c r="P206" s="37"/>
    </row>
    <row r="207" spans="2:16" x14ac:dyDescent="0.25">
      <c r="B207" s="35"/>
      <c r="C207" s="142"/>
      <c r="D207" s="35"/>
      <c r="E207" s="35"/>
      <c r="F207" s="35"/>
      <c r="G207" s="35"/>
      <c r="H207" s="35"/>
      <c r="I207" s="38"/>
      <c r="J207" s="38"/>
      <c r="K207" s="38"/>
      <c r="L207" s="38"/>
      <c r="M207" s="35"/>
      <c r="N207" s="35"/>
      <c r="O207" s="35"/>
      <c r="P207" s="37"/>
    </row>
    <row r="208" spans="2:16" x14ac:dyDescent="0.25">
      <c r="B208" s="35"/>
      <c r="C208" s="142"/>
      <c r="D208" s="35"/>
      <c r="E208" s="35"/>
      <c r="F208" s="35"/>
      <c r="G208" s="35"/>
      <c r="H208" s="35"/>
      <c r="I208" s="38"/>
      <c r="J208" s="38"/>
      <c r="K208" s="38"/>
      <c r="L208" s="38"/>
      <c r="M208" s="35"/>
      <c r="N208" s="35"/>
      <c r="O208" s="35"/>
      <c r="P208" s="37"/>
    </row>
    <row r="209" spans="2:16" x14ac:dyDescent="0.25">
      <c r="B209" s="35"/>
      <c r="C209" s="142"/>
      <c r="D209" s="35"/>
      <c r="E209" s="35"/>
      <c r="F209" s="35"/>
      <c r="G209" s="35"/>
      <c r="H209" s="35"/>
      <c r="I209" s="38"/>
      <c r="J209" s="38"/>
      <c r="K209" s="38"/>
      <c r="L209" s="38"/>
      <c r="M209" s="35"/>
      <c r="N209" s="35"/>
      <c r="O209" s="35"/>
      <c r="P209" s="37"/>
    </row>
    <row r="210" spans="2:16" x14ac:dyDescent="0.25">
      <c r="B210" s="35"/>
      <c r="C210" s="142"/>
      <c r="D210" s="35"/>
      <c r="E210" s="35"/>
      <c r="F210" s="35"/>
      <c r="G210" s="35"/>
      <c r="H210" s="35"/>
      <c r="I210" s="38"/>
      <c r="J210" s="38"/>
      <c r="K210" s="38"/>
      <c r="L210" s="38"/>
      <c r="M210" s="35"/>
      <c r="N210" s="35"/>
      <c r="O210" s="35"/>
      <c r="P210" s="37"/>
    </row>
    <row r="211" spans="2:16" x14ac:dyDescent="0.25">
      <c r="B211" s="35"/>
      <c r="C211" s="142"/>
      <c r="D211" s="35"/>
      <c r="E211" s="35"/>
      <c r="F211" s="35"/>
      <c r="G211" s="35"/>
      <c r="H211" s="35"/>
      <c r="I211" s="38"/>
      <c r="J211" s="38"/>
      <c r="K211" s="38"/>
      <c r="L211" s="38"/>
      <c r="M211" s="35"/>
      <c r="N211" s="35"/>
      <c r="O211" s="35"/>
      <c r="P211" s="37"/>
    </row>
    <row r="212" spans="2:16" x14ac:dyDescent="0.25">
      <c r="B212" s="35"/>
      <c r="C212" s="142"/>
      <c r="D212" s="35"/>
      <c r="E212" s="35"/>
      <c r="F212" s="35"/>
      <c r="G212" s="35"/>
      <c r="H212" s="35"/>
      <c r="I212" s="38"/>
      <c r="J212" s="38"/>
      <c r="K212" s="38"/>
      <c r="L212" s="38"/>
      <c r="M212" s="35"/>
      <c r="N212" s="35"/>
      <c r="O212" s="35"/>
      <c r="P212" s="37"/>
    </row>
    <row r="213" spans="2:16" x14ac:dyDescent="0.25">
      <c r="B213" s="35"/>
      <c r="C213" s="142"/>
      <c r="D213" s="35"/>
      <c r="E213" s="35"/>
      <c r="F213" s="35"/>
      <c r="G213" s="35"/>
      <c r="H213" s="35"/>
      <c r="I213" s="38"/>
      <c r="J213" s="38"/>
      <c r="K213" s="38"/>
      <c r="L213" s="38"/>
      <c r="M213" s="35"/>
      <c r="N213" s="35"/>
      <c r="O213" s="35"/>
      <c r="P213" s="37"/>
    </row>
    <row r="214" spans="2:16" x14ac:dyDescent="0.25">
      <c r="B214" s="35"/>
      <c r="C214" s="142"/>
      <c r="D214" s="35"/>
      <c r="E214" s="35"/>
      <c r="F214" s="35"/>
      <c r="G214" s="35"/>
      <c r="H214" s="35"/>
      <c r="I214" s="38"/>
      <c r="J214" s="38"/>
      <c r="K214" s="38"/>
      <c r="L214" s="38"/>
      <c r="M214" s="35"/>
      <c r="N214" s="35"/>
      <c r="O214" s="35"/>
      <c r="P214" s="37"/>
    </row>
    <row r="215" spans="2:16" x14ac:dyDescent="0.25">
      <c r="B215" s="35"/>
      <c r="C215" s="142"/>
      <c r="D215" s="35"/>
      <c r="E215" s="35"/>
      <c r="F215" s="35"/>
      <c r="G215" s="35"/>
      <c r="H215" s="35"/>
      <c r="I215" s="38"/>
      <c r="J215" s="38"/>
      <c r="K215" s="38"/>
      <c r="L215" s="38"/>
      <c r="M215" s="35"/>
      <c r="N215" s="35"/>
      <c r="O215" s="35"/>
      <c r="P215" s="37"/>
    </row>
    <row r="216" spans="2:16" x14ac:dyDescent="0.25">
      <c r="B216" s="35"/>
      <c r="C216" s="142"/>
      <c r="D216" s="35"/>
      <c r="E216" s="35"/>
      <c r="F216" s="35"/>
      <c r="G216" s="35"/>
      <c r="H216" s="35"/>
      <c r="I216" s="38"/>
      <c r="J216" s="38"/>
      <c r="K216" s="38"/>
      <c r="L216" s="38"/>
      <c r="M216" s="35"/>
      <c r="N216" s="35"/>
      <c r="O216" s="35"/>
      <c r="P216" s="37"/>
    </row>
    <row r="217" spans="2:16" x14ac:dyDescent="0.25">
      <c r="B217" s="35"/>
      <c r="C217" s="142"/>
      <c r="D217" s="35"/>
      <c r="E217" s="35"/>
      <c r="F217" s="35"/>
      <c r="G217" s="35"/>
      <c r="H217" s="35"/>
      <c r="I217" s="38"/>
      <c r="J217" s="38"/>
      <c r="K217" s="38"/>
      <c r="L217" s="38"/>
      <c r="M217" s="35"/>
      <c r="N217" s="35"/>
      <c r="O217" s="35"/>
      <c r="P217" s="37"/>
    </row>
    <row r="218" spans="2:16" x14ac:dyDescent="0.25">
      <c r="B218" s="35"/>
      <c r="C218" s="142"/>
      <c r="D218" s="35"/>
      <c r="E218" s="35"/>
      <c r="F218" s="35"/>
      <c r="G218" s="35"/>
      <c r="H218" s="35"/>
      <c r="I218" s="38"/>
      <c r="J218" s="38"/>
      <c r="K218" s="38"/>
      <c r="L218" s="38"/>
      <c r="M218" s="35"/>
      <c r="N218" s="35"/>
      <c r="O218" s="35"/>
      <c r="P218" s="37"/>
    </row>
    <row r="219" spans="2:16" x14ac:dyDescent="0.25">
      <c r="B219" s="35"/>
      <c r="C219" s="142"/>
      <c r="D219" s="35"/>
      <c r="E219" s="35"/>
      <c r="F219" s="35"/>
      <c r="G219" s="35"/>
      <c r="H219" s="35"/>
      <c r="I219" s="38"/>
      <c r="J219" s="38"/>
      <c r="K219" s="38"/>
      <c r="L219" s="38"/>
      <c r="M219" s="35"/>
      <c r="N219" s="35"/>
      <c r="O219" s="35"/>
      <c r="P219" s="37"/>
    </row>
    <row r="220" spans="2:16" x14ac:dyDescent="0.25">
      <c r="B220" s="35"/>
      <c r="C220" s="142"/>
      <c r="D220" s="35"/>
      <c r="E220" s="35"/>
      <c r="F220" s="35"/>
      <c r="G220" s="35"/>
      <c r="H220" s="35"/>
      <c r="I220" s="38"/>
      <c r="J220" s="38"/>
      <c r="K220" s="38"/>
      <c r="L220" s="38"/>
      <c r="M220" s="35"/>
      <c r="N220" s="35"/>
      <c r="O220" s="35"/>
      <c r="P220" s="37"/>
    </row>
    <row r="221" spans="2:16" x14ac:dyDescent="0.25">
      <c r="B221" s="35"/>
      <c r="C221" s="142"/>
      <c r="D221" s="35"/>
      <c r="E221" s="35"/>
      <c r="F221" s="35"/>
      <c r="G221" s="35"/>
      <c r="H221" s="35"/>
      <c r="I221" s="38"/>
      <c r="J221" s="38"/>
      <c r="K221" s="38"/>
      <c r="L221" s="38"/>
      <c r="M221" s="35"/>
      <c r="N221" s="35"/>
      <c r="O221" s="35"/>
      <c r="P221" s="37"/>
    </row>
    <row r="222" spans="2:16" x14ac:dyDescent="0.25">
      <c r="B222" s="35"/>
      <c r="C222" s="142"/>
      <c r="D222" s="35"/>
      <c r="E222" s="35"/>
      <c r="F222" s="35"/>
      <c r="G222" s="35"/>
      <c r="H222" s="35"/>
      <c r="I222" s="38"/>
      <c r="J222" s="38"/>
      <c r="K222" s="38"/>
      <c r="L222" s="38"/>
      <c r="M222" s="35"/>
      <c r="N222" s="35"/>
      <c r="O222" s="35"/>
      <c r="P222" s="37"/>
    </row>
    <row r="223" spans="2:16" x14ac:dyDescent="0.25">
      <c r="B223" s="35"/>
      <c r="C223" s="142"/>
      <c r="D223" s="35"/>
      <c r="E223" s="35"/>
      <c r="F223" s="35"/>
      <c r="G223" s="35"/>
      <c r="H223" s="35"/>
      <c r="I223" s="38"/>
      <c r="J223" s="38"/>
      <c r="K223" s="38"/>
      <c r="L223" s="38"/>
      <c r="M223" s="35"/>
      <c r="N223" s="35"/>
      <c r="O223" s="35"/>
      <c r="P223" s="37"/>
    </row>
    <row r="224" spans="2:16" x14ac:dyDescent="0.25">
      <c r="B224" s="35"/>
      <c r="C224" s="142"/>
      <c r="D224" s="35"/>
      <c r="E224" s="35"/>
      <c r="F224" s="35"/>
      <c r="G224" s="35"/>
      <c r="H224" s="35"/>
      <c r="I224" s="38"/>
      <c r="J224" s="38"/>
      <c r="K224" s="38"/>
      <c r="L224" s="38"/>
      <c r="M224" s="35"/>
      <c r="N224" s="35"/>
      <c r="O224" s="35"/>
      <c r="P224" s="37"/>
    </row>
    <row r="225" spans="2:16" x14ac:dyDescent="0.25">
      <c r="B225" s="35"/>
      <c r="C225" s="142"/>
      <c r="D225" s="35"/>
      <c r="E225" s="35"/>
      <c r="F225" s="35"/>
      <c r="G225" s="35"/>
      <c r="H225" s="35"/>
      <c r="I225" s="38"/>
      <c r="J225" s="38"/>
      <c r="K225" s="38"/>
      <c r="L225" s="38"/>
      <c r="M225" s="35"/>
      <c r="N225" s="35"/>
      <c r="O225" s="35"/>
      <c r="P225" s="37"/>
    </row>
    <row r="226" spans="2:16" x14ac:dyDescent="0.25">
      <c r="B226" s="35"/>
      <c r="C226" s="142"/>
      <c r="D226" s="35"/>
      <c r="E226" s="35"/>
      <c r="F226" s="35"/>
      <c r="G226" s="35"/>
      <c r="H226" s="35"/>
      <c r="I226" s="38"/>
      <c r="J226" s="38"/>
      <c r="K226" s="38"/>
      <c r="L226" s="38"/>
      <c r="M226" s="35"/>
      <c r="N226" s="35"/>
      <c r="O226" s="35"/>
      <c r="P226" s="37"/>
    </row>
    <row r="227" spans="2:16" x14ac:dyDescent="0.25">
      <c r="B227" s="35"/>
      <c r="C227" s="142"/>
      <c r="D227" s="35"/>
      <c r="E227" s="35"/>
      <c r="F227" s="35"/>
      <c r="G227" s="35"/>
      <c r="H227" s="35"/>
      <c r="I227" s="38"/>
      <c r="J227" s="38"/>
      <c r="K227" s="38"/>
      <c r="L227" s="38"/>
      <c r="M227" s="35"/>
      <c r="N227" s="35"/>
      <c r="O227" s="35"/>
      <c r="P227" s="37"/>
    </row>
    <row r="228" spans="2:16" x14ac:dyDescent="0.25">
      <c r="B228" s="35"/>
      <c r="C228" s="142"/>
      <c r="D228" s="35"/>
      <c r="E228" s="35"/>
      <c r="F228" s="35"/>
      <c r="G228" s="35"/>
      <c r="H228" s="35"/>
      <c r="I228" s="38"/>
      <c r="J228" s="38"/>
      <c r="K228" s="38"/>
      <c r="L228" s="38"/>
      <c r="M228" s="35"/>
      <c r="N228" s="35"/>
      <c r="O228" s="35"/>
      <c r="P228" s="37"/>
    </row>
    <row r="229" spans="2:16" x14ac:dyDescent="0.25">
      <c r="B229" s="35"/>
      <c r="C229" s="142"/>
      <c r="D229" s="35"/>
      <c r="E229" s="35"/>
      <c r="F229" s="35"/>
      <c r="G229" s="35"/>
      <c r="H229" s="35"/>
      <c r="I229" s="38"/>
      <c r="J229" s="38"/>
      <c r="K229" s="38"/>
      <c r="L229" s="38"/>
      <c r="M229" s="35"/>
      <c r="N229" s="35"/>
      <c r="O229" s="35"/>
      <c r="P229" s="37"/>
    </row>
    <row r="230" spans="2:16" x14ac:dyDescent="0.25">
      <c r="B230" s="35"/>
      <c r="C230" s="142"/>
      <c r="D230" s="35"/>
      <c r="E230" s="35"/>
      <c r="F230" s="35"/>
      <c r="G230" s="35"/>
      <c r="H230" s="35"/>
      <c r="I230" s="38"/>
      <c r="J230" s="38"/>
      <c r="K230" s="38"/>
      <c r="L230" s="38"/>
      <c r="M230" s="35"/>
      <c r="N230" s="35"/>
      <c r="O230" s="35"/>
      <c r="P230" s="37"/>
    </row>
    <row r="231" spans="2:16" x14ac:dyDescent="0.25">
      <c r="B231" s="35"/>
      <c r="C231" s="142"/>
      <c r="D231" s="35"/>
      <c r="E231" s="35"/>
      <c r="F231" s="35"/>
      <c r="G231" s="35"/>
      <c r="H231" s="35"/>
      <c r="I231" s="38"/>
      <c r="J231" s="38"/>
      <c r="K231" s="38"/>
      <c r="L231" s="38"/>
      <c r="M231" s="35"/>
      <c r="N231" s="35"/>
      <c r="O231" s="35"/>
      <c r="P231" s="37"/>
    </row>
    <row r="232" spans="2:16" x14ac:dyDescent="0.25">
      <c r="B232" s="35"/>
      <c r="C232" s="142"/>
      <c r="D232" s="35"/>
      <c r="E232" s="35"/>
      <c r="F232" s="35"/>
      <c r="G232" s="35"/>
      <c r="H232" s="35"/>
      <c r="I232" s="38"/>
      <c r="J232" s="38"/>
      <c r="K232" s="38"/>
      <c r="L232" s="38"/>
      <c r="M232" s="35"/>
      <c r="N232" s="35"/>
      <c r="O232" s="35"/>
      <c r="P232" s="37"/>
    </row>
    <row r="233" spans="2:16" x14ac:dyDescent="0.25">
      <c r="B233" s="35"/>
      <c r="C233" s="142"/>
      <c r="D233" s="35"/>
      <c r="E233" s="35"/>
      <c r="F233" s="35"/>
      <c r="G233" s="35"/>
      <c r="H233" s="35"/>
      <c r="I233" s="38"/>
      <c r="J233" s="38"/>
      <c r="K233" s="38"/>
      <c r="L233" s="38"/>
      <c r="M233" s="35"/>
      <c r="N233" s="35"/>
      <c r="O233" s="35"/>
      <c r="P233" s="37"/>
    </row>
    <row r="234" spans="2:16" x14ac:dyDescent="0.25">
      <c r="B234" s="35"/>
      <c r="C234" s="142"/>
      <c r="D234" s="35"/>
      <c r="E234" s="35"/>
      <c r="F234" s="35"/>
      <c r="G234" s="35"/>
      <c r="H234" s="35"/>
      <c r="I234" s="38"/>
      <c r="J234" s="38"/>
      <c r="K234" s="38"/>
      <c r="L234" s="38"/>
      <c r="M234" s="35"/>
      <c r="N234" s="35"/>
      <c r="O234" s="35"/>
      <c r="P234" s="37"/>
    </row>
    <row r="235" spans="2:16" x14ac:dyDescent="0.25">
      <c r="B235" s="35"/>
      <c r="C235" s="142"/>
      <c r="D235" s="35"/>
      <c r="E235" s="35"/>
      <c r="F235" s="35"/>
      <c r="G235" s="35"/>
      <c r="H235" s="35"/>
      <c r="I235" s="38"/>
      <c r="J235" s="38"/>
      <c r="K235" s="38"/>
      <c r="L235" s="38"/>
      <c r="M235" s="35"/>
      <c r="N235" s="35"/>
      <c r="O235" s="35"/>
      <c r="P235" s="37"/>
    </row>
    <row r="236" spans="2:16" x14ac:dyDescent="0.25">
      <c r="B236" s="35"/>
      <c r="C236" s="142"/>
      <c r="D236" s="35"/>
      <c r="E236" s="35"/>
      <c r="F236" s="35"/>
      <c r="G236" s="35"/>
      <c r="H236" s="35"/>
      <c r="I236" s="38"/>
      <c r="J236" s="38"/>
      <c r="K236" s="38"/>
      <c r="L236" s="38"/>
      <c r="M236" s="35"/>
      <c r="N236" s="35"/>
      <c r="O236" s="35"/>
      <c r="P236" s="37"/>
    </row>
    <row r="237" spans="2:16" x14ac:dyDescent="0.25">
      <c r="B237" s="35"/>
      <c r="C237" s="142"/>
      <c r="D237" s="35"/>
      <c r="E237" s="35"/>
      <c r="F237" s="35"/>
      <c r="G237" s="35"/>
      <c r="H237" s="35"/>
      <c r="I237" s="38"/>
      <c r="J237" s="38"/>
      <c r="K237" s="38"/>
      <c r="L237" s="38"/>
      <c r="M237" s="35"/>
      <c r="N237" s="35"/>
      <c r="O237" s="35"/>
      <c r="P237" s="37"/>
    </row>
    <row r="238" spans="2:16" x14ac:dyDescent="0.25">
      <c r="B238" s="35"/>
      <c r="C238" s="142"/>
      <c r="D238" s="35"/>
      <c r="E238" s="35"/>
      <c r="F238" s="35"/>
      <c r="G238" s="35"/>
      <c r="H238" s="35"/>
      <c r="I238" s="38"/>
      <c r="J238" s="38"/>
      <c r="K238" s="38"/>
      <c r="L238" s="38"/>
      <c r="M238" s="35"/>
      <c r="N238" s="35"/>
      <c r="O238" s="35"/>
      <c r="P238" s="37"/>
    </row>
    <row r="239" spans="2:16" x14ac:dyDescent="0.25">
      <c r="B239" s="35"/>
      <c r="C239" s="142"/>
      <c r="D239" s="35"/>
      <c r="E239" s="35"/>
      <c r="F239" s="35"/>
      <c r="G239" s="35"/>
      <c r="H239" s="35"/>
      <c r="I239" s="38"/>
      <c r="J239" s="38"/>
      <c r="K239" s="38"/>
      <c r="L239" s="38"/>
      <c r="M239" s="35"/>
      <c r="N239" s="35"/>
      <c r="O239" s="35"/>
      <c r="P239" s="37"/>
    </row>
    <row r="240" spans="2:16" x14ac:dyDescent="0.25">
      <c r="B240" s="35"/>
      <c r="C240" s="142"/>
      <c r="D240" s="35"/>
      <c r="E240" s="35"/>
      <c r="F240" s="35"/>
      <c r="G240" s="35"/>
      <c r="H240" s="35"/>
      <c r="I240" s="38"/>
      <c r="J240" s="38"/>
      <c r="K240" s="38"/>
      <c r="L240" s="38"/>
      <c r="M240" s="35"/>
      <c r="N240" s="35"/>
      <c r="O240" s="35"/>
      <c r="P240" s="37"/>
    </row>
    <row r="241" spans="2:16" x14ac:dyDescent="0.25">
      <c r="B241" s="35"/>
      <c r="C241" s="142"/>
      <c r="D241" s="35"/>
      <c r="E241" s="35"/>
      <c r="F241" s="35"/>
      <c r="G241" s="35"/>
      <c r="H241" s="35"/>
      <c r="I241" s="38"/>
      <c r="J241" s="38"/>
      <c r="K241" s="38"/>
      <c r="L241" s="38"/>
      <c r="M241" s="35"/>
      <c r="N241" s="35"/>
      <c r="O241" s="35"/>
      <c r="P241" s="37"/>
    </row>
    <row r="242" spans="2:16" x14ac:dyDescent="0.25">
      <c r="B242" s="35"/>
      <c r="C242" s="142"/>
      <c r="D242" s="35"/>
      <c r="E242" s="35"/>
      <c r="F242" s="35"/>
      <c r="G242" s="35"/>
      <c r="H242" s="35"/>
      <c r="I242" s="38"/>
      <c r="J242" s="38"/>
      <c r="K242" s="38"/>
      <c r="L242" s="38"/>
      <c r="M242" s="35"/>
      <c r="N242" s="35"/>
      <c r="O242" s="35"/>
      <c r="P242" s="37"/>
    </row>
    <row r="243" spans="2:16" x14ac:dyDescent="0.25">
      <c r="B243" s="35"/>
      <c r="C243" s="142"/>
      <c r="D243" s="35"/>
      <c r="E243" s="35"/>
      <c r="F243" s="35"/>
      <c r="G243" s="35"/>
      <c r="H243" s="35"/>
      <c r="I243" s="38"/>
      <c r="J243" s="38"/>
      <c r="K243" s="38"/>
      <c r="L243" s="38"/>
      <c r="M243" s="35"/>
      <c r="N243" s="35"/>
      <c r="O243" s="35"/>
      <c r="P243" s="37"/>
    </row>
    <row r="244" spans="2:16" x14ac:dyDescent="0.25">
      <c r="B244" s="35"/>
      <c r="C244" s="142"/>
      <c r="D244" s="35"/>
      <c r="E244" s="35"/>
      <c r="F244" s="35"/>
      <c r="G244" s="35"/>
      <c r="H244" s="35"/>
      <c r="I244" s="38"/>
      <c r="J244" s="38"/>
      <c r="K244" s="38"/>
      <c r="L244" s="38"/>
      <c r="M244" s="35"/>
      <c r="N244" s="35"/>
      <c r="O244" s="35"/>
      <c r="P244" s="37"/>
    </row>
    <row r="245" spans="2:16" x14ac:dyDescent="0.25">
      <c r="B245" s="35"/>
      <c r="C245" s="142"/>
      <c r="D245" s="35"/>
      <c r="E245" s="35"/>
      <c r="F245" s="35"/>
      <c r="G245" s="35"/>
      <c r="H245" s="35"/>
      <c r="I245" s="38"/>
      <c r="J245" s="38"/>
      <c r="K245" s="38"/>
      <c r="L245" s="38"/>
      <c r="M245" s="35"/>
      <c r="N245" s="35"/>
      <c r="O245" s="35"/>
      <c r="P245" s="37"/>
    </row>
    <row r="246" spans="2:16" x14ac:dyDescent="0.25">
      <c r="B246" s="35"/>
      <c r="C246" s="142"/>
      <c r="D246" s="35"/>
      <c r="E246" s="35"/>
      <c r="F246" s="35"/>
      <c r="G246" s="35"/>
      <c r="H246" s="35"/>
      <c r="I246" s="38"/>
      <c r="J246" s="38"/>
      <c r="K246" s="38"/>
      <c r="L246" s="38"/>
      <c r="M246" s="35"/>
      <c r="N246" s="35"/>
      <c r="O246" s="35"/>
      <c r="P246" s="37"/>
    </row>
    <row r="247" spans="2:16" x14ac:dyDescent="0.25">
      <c r="B247" s="35"/>
      <c r="C247" s="142"/>
      <c r="D247" s="35"/>
      <c r="E247" s="35"/>
      <c r="F247" s="35"/>
      <c r="G247" s="35"/>
      <c r="H247" s="35"/>
      <c r="I247" s="38"/>
      <c r="J247" s="38"/>
      <c r="K247" s="38"/>
      <c r="L247" s="38"/>
      <c r="M247" s="35"/>
      <c r="N247" s="35"/>
      <c r="O247" s="35"/>
      <c r="P247" s="37"/>
    </row>
    <row r="248" spans="2:16" x14ac:dyDescent="0.25">
      <c r="B248" s="35"/>
      <c r="C248" s="142"/>
      <c r="D248" s="35"/>
      <c r="E248" s="35"/>
      <c r="F248" s="35"/>
      <c r="G248" s="35"/>
      <c r="H248" s="35"/>
      <c r="I248" s="38"/>
      <c r="J248" s="38"/>
      <c r="K248" s="38"/>
      <c r="L248" s="38"/>
      <c r="M248" s="35"/>
      <c r="N248" s="35"/>
      <c r="O248" s="35"/>
      <c r="P248" s="37"/>
    </row>
    <row r="249" spans="2:16" x14ac:dyDescent="0.25">
      <c r="B249" s="35"/>
      <c r="C249" s="142"/>
      <c r="D249" s="35"/>
      <c r="E249" s="35"/>
      <c r="F249" s="35"/>
      <c r="G249" s="35"/>
      <c r="H249" s="35"/>
      <c r="I249" s="38"/>
      <c r="J249" s="38"/>
      <c r="K249" s="38"/>
      <c r="L249" s="38"/>
      <c r="M249" s="35"/>
      <c r="N249" s="35"/>
      <c r="O249" s="35"/>
      <c r="P249" s="37"/>
    </row>
    <row r="250" spans="2:16" x14ac:dyDescent="0.25">
      <c r="B250" s="35"/>
      <c r="C250" s="142"/>
      <c r="D250" s="35"/>
      <c r="E250" s="35"/>
      <c r="F250" s="35"/>
      <c r="G250" s="35"/>
      <c r="H250" s="35"/>
      <c r="I250" s="38"/>
      <c r="J250" s="38"/>
      <c r="K250" s="38"/>
      <c r="L250" s="38"/>
      <c r="M250" s="35"/>
      <c r="N250" s="35"/>
      <c r="O250" s="35"/>
      <c r="P250" s="37"/>
    </row>
    <row r="251" spans="2:16" x14ac:dyDescent="0.25">
      <c r="B251" s="35"/>
      <c r="C251" s="142"/>
      <c r="D251" s="35"/>
      <c r="E251" s="35"/>
      <c r="F251" s="35"/>
      <c r="G251" s="35"/>
      <c r="H251" s="35"/>
      <c r="I251" s="38"/>
      <c r="J251" s="38"/>
      <c r="K251" s="38"/>
      <c r="L251" s="38"/>
      <c r="M251" s="35"/>
      <c r="N251" s="35"/>
      <c r="O251" s="35"/>
      <c r="P251" s="37"/>
    </row>
    <row r="252" spans="2:16" x14ac:dyDescent="0.25">
      <c r="B252" s="35"/>
      <c r="C252" s="142"/>
      <c r="D252" s="35"/>
      <c r="E252" s="35"/>
      <c r="F252" s="35"/>
      <c r="G252" s="35"/>
      <c r="H252" s="35"/>
      <c r="I252" s="38"/>
      <c r="J252" s="38"/>
      <c r="K252" s="38"/>
      <c r="L252" s="38"/>
      <c r="M252" s="35"/>
      <c r="N252" s="35"/>
      <c r="O252" s="35"/>
      <c r="P252" s="37"/>
    </row>
    <row r="253" spans="2:16" x14ac:dyDescent="0.25">
      <c r="B253" s="35"/>
      <c r="C253" s="142"/>
      <c r="D253" s="35"/>
      <c r="E253" s="35"/>
      <c r="F253" s="35"/>
      <c r="G253" s="35"/>
      <c r="H253" s="35"/>
      <c r="I253" s="38"/>
      <c r="J253" s="38"/>
      <c r="K253" s="38"/>
      <c r="L253" s="38"/>
      <c r="M253" s="35"/>
      <c r="N253" s="35"/>
      <c r="O253" s="35"/>
      <c r="P253" s="37"/>
    </row>
    <row r="254" spans="2:16" x14ac:dyDescent="0.25">
      <c r="B254" s="35"/>
      <c r="C254" s="142"/>
      <c r="D254" s="35"/>
      <c r="E254" s="35"/>
      <c r="F254" s="35"/>
      <c r="G254" s="35"/>
      <c r="H254" s="35"/>
      <c r="I254" s="38"/>
      <c r="J254" s="38"/>
      <c r="K254" s="38"/>
      <c r="L254" s="38"/>
      <c r="M254" s="35"/>
      <c r="N254" s="35"/>
      <c r="O254" s="35"/>
      <c r="P254" s="37"/>
    </row>
    <row r="255" spans="2:16" x14ac:dyDescent="0.25">
      <c r="B255" s="35"/>
      <c r="C255" s="142"/>
      <c r="D255" s="35"/>
      <c r="E255" s="35"/>
      <c r="F255" s="35"/>
      <c r="G255" s="35"/>
      <c r="H255" s="35"/>
      <c r="I255" s="38"/>
      <c r="J255" s="38"/>
      <c r="K255" s="38"/>
      <c r="L255" s="38"/>
      <c r="M255" s="35"/>
      <c r="N255" s="35"/>
      <c r="O255" s="35"/>
      <c r="P255" s="37"/>
    </row>
    <row r="256" spans="2:16" x14ac:dyDescent="0.25">
      <c r="B256" s="35"/>
      <c r="C256" s="142"/>
      <c r="D256" s="35"/>
      <c r="E256" s="35"/>
      <c r="F256" s="35"/>
      <c r="G256" s="35"/>
      <c r="H256" s="35"/>
      <c r="I256" s="38"/>
      <c r="J256" s="38"/>
      <c r="K256" s="38"/>
      <c r="L256" s="38"/>
      <c r="M256" s="35"/>
      <c r="N256" s="35"/>
      <c r="O256" s="35"/>
      <c r="P256" s="37"/>
    </row>
    <row r="257" spans="2:16" x14ac:dyDescent="0.25">
      <c r="B257" s="35"/>
      <c r="C257" s="142"/>
      <c r="D257" s="35"/>
      <c r="E257" s="35"/>
      <c r="F257" s="35"/>
      <c r="G257" s="35"/>
      <c r="H257" s="35"/>
      <c r="I257" s="38"/>
      <c r="J257" s="38"/>
      <c r="K257" s="38"/>
      <c r="L257" s="38"/>
      <c r="M257" s="35"/>
      <c r="N257" s="35"/>
      <c r="O257" s="35"/>
      <c r="P257" s="37"/>
    </row>
    <row r="258" spans="2:16" x14ac:dyDescent="0.25">
      <c r="B258" s="35"/>
      <c r="C258" s="142"/>
      <c r="D258" s="35"/>
      <c r="E258" s="35"/>
      <c r="F258" s="35"/>
      <c r="G258" s="35"/>
      <c r="H258" s="35"/>
      <c r="I258" s="38"/>
      <c r="J258" s="38"/>
      <c r="K258" s="38"/>
      <c r="L258" s="38"/>
      <c r="M258" s="35"/>
      <c r="N258" s="35"/>
      <c r="O258" s="35"/>
      <c r="P258" s="37"/>
    </row>
    <row r="259" spans="2:16" x14ac:dyDescent="0.25">
      <c r="B259" s="35"/>
      <c r="C259" s="142"/>
      <c r="D259" s="35"/>
      <c r="E259" s="35"/>
      <c r="F259" s="35"/>
      <c r="G259" s="35"/>
      <c r="H259" s="35"/>
      <c r="I259" s="38"/>
      <c r="J259" s="38"/>
      <c r="K259" s="38"/>
      <c r="L259" s="38"/>
      <c r="M259" s="35"/>
      <c r="N259" s="35"/>
      <c r="O259" s="35"/>
      <c r="P259" s="37"/>
    </row>
    <row r="260" spans="2:16" x14ac:dyDescent="0.25">
      <c r="B260" s="35"/>
      <c r="C260" s="142"/>
      <c r="D260" s="35"/>
      <c r="E260" s="35"/>
      <c r="F260" s="35"/>
      <c r="G260" s="35"/>
      <c r="H260" s="35"/>
      <c r="I260" s="38"/>
      <c r="J260" s="38"/>
      <c r="K260" s="38"/>
      <c r="L260" s="38"/>
      <c r="M260" s="35"/>
      <c r="N260" s="35"/>
      <c r="O260" s="35"/>
      <c r="P260" s="37"/>
    </row>
    <row r="261" spans="2:16" x14ac:dyDescent="0.25">
      <c r="B261" s="35"/>
      <c r="C261" s="142"/>
      <c r="D261" s="35"/>
      <c r="E261" s="35"/>
      <c r="F261" s="35"/>
      <c r="G261" s="35"/>
      <c r="H261" s="35"/>
      <c r="I261" s="38"/>
      <c r="J261" s="38"/>
      <c r="K261" s="38"/>
      <c r="L261" s="38"/>
      <c r="M261" s="35"/>
      <c r="N261" s="35"/>
      <c r="O261" s="35"/>
      <c r="P261" s="37"/>
    </row>
    <row r="262" spans="2:16" x14ac:dyDescent="0.25">
      <c r="B262" s="35"/>
      <c r="C262" s="142"/>
      <c r="D262" s="35"/>
      <c r="E262" s="35"/>
      <c r="F262" s="35"/>
      <c r="G262" s="35"/>
      <c r="H262" s="35"/>
      <c r="I262" s="38"/>
      <c r="J262" s="38"/>
      <c r="K262" s="38"/>
      <c r="L262" s="38"/>
      <c r="M262" s="35"/>
      <c r="N262" s="35"/>
      <c r="O262" s="35"/>
      <c r="P262" s="37"/>
    </row>
    <row r="263" spans="2:16" x14ac:dyDescent="0.25">
      <c r="B263" s="35"/>
      <c r="C263" s="142"/>
      <c r="D263" s="35"/>
      <c r="E263" s="35"/>
      <c r="F263" s="35"/>
      <c r="G263" s="35"/>
      <c r="H263" s="35"/>
      <c r="I263" s="38"/>
      <c r="J263" s="38"/>
      <c r="K263" s="38"/>
      <c r="L263" s="38"/>
      <c r="M263" s="35"/>
      <c r="N263" s="35"/>
      <c r="O263" s="35"/>
      <c r="P263" s="37"/>
    </row>
    <row r="264" spans="2:16" x14ac:dyDescent="0.25">
      <c r="B264" s="35"/>
      <c r="C264" s="142"/>
      <c r="D264" s="35"/>
      <c r="E264" s="35"/>
      <c r="F264" s="35"/>
      <c r="G264" s="35"/>
      <c r="H264" s="35"/>
      <c r="I264" s="38"/>
      <c r="J264" s="38"/>
      <c r="K264" s="38"/>
      <c r="L264" s="38"/>
      <c r="M264" s="35"/>
      <c r="N264" s="35"/>
      <c r="O264" s="35"/>
      <c r="P264" s="37"/>
    </row>
    <row r="265" spans="2:16" x14ac:dyDescent="0.25">
      <c r="B265" s="35"/>
      <c r="C265" s="142"/>
      <c r="D265" s="35"/>
      <c r="E265" s="35"/>
      <c r="F265" s="35"/>
      <c r="G265" s="35"/>
      <c r="H265" s="35"/>
      <c r="I265" s="38"/>
      <c r="J265" s="38"/>
      <c r="K265" s="38"/>
      <c r="L265" s="38"/>
      <c r="M265" s="35"/>
      <c r="N265" s="35"/>
      <c r="O265" s="35"/>
      <c r="P265" s="37"/>
    </row>
    <row r="266" spans="2:16" x14ac:dyDescent="0.25">
      <c r="B266" s="35"/>
      <c r="C266" s="142"/>
      <c r="D266" s="35"/>
      <c r="E266" s="35"/>
      <c r="F266" s="35"/>
      <c r="G266" s="35"/>
      <c r="H266" s="35"/>
      <c r="I266" s="38"/>
      <c r="J266" s="38"/>
      <c r="K266" s="38"/>
      <c r="L266" s="38"/>
      <c r="M266" s="35"/>
      <c r="N266" s="35"/>
      <c r="O266" s="35"/>
      <c r="P266" s="37"/>
    </row>
    <row r="267" spans="2:16" x14ac:dyDescent="0.25">
      <c r="B267" s="35"/>
      <c r="C267" s="142"/>
      <c r="D267" s="35"/>
      <c r="E267" s="35"/>
      <c r="F267" s="35"/>
      <c r="G267" s="35"/>
      <c r="H267" s="35"/>
      <c r="I267" s="38"/>
      <c r="J267" s="38"/>
      <c r="K267" s="38"/>
      <c r="L267" s="38"/>
      <c r="M267" s="35"/>
      <c r="N267" s="35"/>
      <c r="O267" s="35"/>
      <c r="P267" s="37"/>
    </row>
    <row r="268" spans="2:16" x14ac:dyDescent="0.25">
      <c r="B268" s="35"/>
      <c r="C268" s="142"/>
      <c r="D268" s="35"/>
      <c r="E268" s="35"/>
      <c r="F268" s="35"/>
      <c r="G268" s="35"/>
      <c r="H268" s="35"/>
      <c r="I268" s="38"/>
      <c r="J268" s="38"/>
      <c r="K268" s="38"/>
      <c r="L268" s="38"/>
      <c r="M268" s="35"/>
      <c r="N268" s="35"/>
      <c r="O268" s="35"/>
      <c r="P268" s="37"/>
    </row>
    <row r="269" spans="2:16" x14ac:dyDescent="0.25">
      <c r="B269" s="35"/>
      <c r="C269" s="142"/>
      <c r="D269" s="35"/>
      <c r="E269" s="35"/>
      <c r="F269" s="35"/>
      <c r="G269" s="35"/>
      <c r="H269" s="35"/>
      <c r="I269" s="38"/>
      <c r="J269" s="38"/>
      <c r="K269" s="38"/>
      <c r="L269" s="38"/>
      <c r="M269" s="35"/>
      <c r="N269" s="35"/>
      <c r="O269" s="35"/>
      <c r="P269" s="37"/>
    </row>
    <row r="270" spans="2:16" x14ac:dyDescent="0.25">
      <c r="B270" s="35"/>
      <c r="C270" s="142"/>
      <c r="D270" s="35"/>
      <c r="E270" s="35"/>
      <c r="F270" s="35"/>
      <c r="G270" s="35"/>
      <c r="H270" s="35"/>
      <c r="I270" s="38"/>
      <c r="J270" s="38"/>
      <c r="K270" s="38"/>
      <c r="L270" s="38"/>
      <c r="M270" s="35"/>
      <c r="N270" s="35"/>
      <c r="O270" s="35"/>
      <c r="P270" s="37"/>
    </row>
    <row r="271" spans="2:16" x14ac:dyDescent="0.25">
      <c r="B271" s="35"/>
      <c r="C271" s="142"/>
      <c r="D271" s="35"/>
      <c r="E271" s="35"/>
      <c r="F271" s="35"/>
      <c r="G271" s="35"/>
      <c r="H271" s="35"/>
      <c r="I271" s="38"/>
      <c r="J271" s="38"/>
      <c r="K271" s="38"/>
      <c r="L271" s="38"/>
      <c r="M271" s="35"/>
      <c r="N271" s="35"/>
      <c r="O271" s="35"/>
      <c r="P271" s="37"/>
    </row>
    <row r="272" spans="2:16" x14ac:dyDescent="0.25">
      <c r="B272" s="35"/>
      <c r="C272" s="142"/>
      <c r="D272" s="35"/>
      <c r="E272" s="35"/>
      <c r="F272" s="35"/>
      <c r="G272" s="35"/>
      <c r="H272" s="35"/>
      <c r="I272" s="38"/>
      <c r="J272" s="38"/>
      <c r="K272" s="38"/>
      <c r="L272" s="38"/>
      <c r="M272" s="35"/>
      <c r="N272" s="35"/>
      <c r="O272" s="35"/>
      <c r="P272" s="37"/>
    </row>
    <row r="273" spans="2:16" x14ac:dyDescent="0.25">
      <c r="B273" s="35"/>
      <c r="C273" s="142"/>
      <c r="D273" s="35"/>
      <c r="E273" s="35"/>
      <c r="F273" s="35"/>
      <c r="G273" s="35"/>
      <c r="H273" s="35"/>
      <c r="I273" s="38"/>
      <c r="J273" s="38"/>
      <c r="K273" s="38"/>
      <c r="L273" s="38"/>
      <c r="M273" s="35"/>
      <c r="N273" s="35"/>
      <c r="O273" s="35"/>
      <c r="P273" s="37"/>
    </row>
    <row r="274" spans="2:16" x14ac:dyDescent="0.25">
      <c r="B274" s="35"/>
      <c r="C274" s="142"/>
      <c r="D274" s="35"/>
      <c r="E274" s="35"/>
      <c r="F274" s="35"/>
      <c r="G274" s="35"/>
      <c r="H274" s="35"/>
      <c r="I274" s="38"/>
      <c r="J274" s="38"/>
      <c r="K274" s="38"/>
      <c r="L274" s="38"/>
      <c r="M274" s="35"/>
      <c r="N274" s="35"/>
      <c r="O274" s="35"/>
      <c r="P274" s="37"/>
    </row>
    <row r="275" spans="2:16" x14ac:dyDescent="0.25">
      <c r="B275" s="35"/>
      <c r="C275" s="142"/>
      <c r="D275" s="35"/>
      <c r="E275" s="35"/>
      <c r="F275" s="35"/>
      <c r="G275" s="35"/>
      <c r="H275" s="35"/>
      <c r="I275" s="38"/>
      <c r="J275" s="38"/>
      <c r="K275" s="38"/>
      <c r="L275" s="38"/>
      <c r="M275" s="35"/>
      <c r="N275" s="35"/>
      <c r="O275" s="35"/>
      <c r="P275" s="37"/>
    </row>
    <row r="276" spans="2:16" x14ac:dyDescent="0.25">
      <c r="B276" s="35"/>
      <c r="C276" s="142"/>
      <c r="D276" s="35"/>
      <c r="E276" s="35"/>
      <c r="F276" s="35"/>
      <c r="G276" s="35"/>
      <c r="H276" s="35"/>
      <c r="I276" s="38"/>
      <c r="J276" s="38"/>
      <c r="K276" s="38"/>
      <c r="L276" s="38"/>
      <c r="M276" s="35"/>
      <c r="N276" s="35"/>
      <c r="O276" s="35"/>
      <c r="P276" s="37"/>
    </row>
    <row r="277" spans="2:16" x14ac:dyDescent="0.25">
      <c r="B277" s="35"/>
      <c r="C277" s="142"/>
      <c r="D277" s="35"/>
      <c r="E277" s="35"/>
      <c r="F277" s="35"/>
      <c r="G277" s="35"/>
      <c r="H277" s="35"/>
      <c r="I277" s="38"/>
      <c r="J277" s="38"/>
      <c r="K277" s="38"/>
      <c r="L277" s="38"/>
      <c r="M277" s="35"/>
      <c r="N277" s="35"/>
      <c r="O277" s="35"/>
      <c r="P277" s="37"/>
    </row>
    <row r="278" spans="2:16" x14ac:dyDescent="0.25">
      <c r="B278" s="35"/>
      <c r="C278" s="142"/>
      <c r="D278" s="35"/>
      <c r="E278" s="35"/>
      <c r="F278" s="35"/>
      <c r="G278" s="35"/>
      <c r="H278" s="35"/>
      <c r="I278" s="38"/>
      <c r="J278" s="38"/>
      <c r="K278" s="38"/>
      <c r="L278" s="38"/>
      <c r="M278" s="35"/>
      <c r="N278" s="35"/>
      <c r="O278" s="35"/>
      <c r="P278" s="37"/>
    </row>
    <row r="279" spans="2:16" x14ac:dyDescent="0.25">
      <c r="B279" s="35"/>
      <c r="C279" s="142"/>
      <c r="D279" s="35"/>
      <c r="E279" s="35"/>
      <c r="F279" s="35"/>
      <c r="G279" s="35"/>
      <c r="H279" s="35"/>
      <c r="I279" s="38"/>
      <c r="J279" s="38"/>
      <c r="K279" s="38"/>
      <c r="L279" s="38"/>
      <c r="M279" s="35"/>
      <c r="N279" s="35"/>
      <c r="O279" s="35"/>
      <c r="P279" s="37"/>
    </row>
    <row r="280" spans="2:16" x14ac:dyDescent="0.25">
      <c r="B280" s="35"/>
      <c r="C280" s="142"/>
      <c r="D280" s="35"/>
      <c r="E280" s="35"/>
      <c r="F280" s="35"/>
      <c r="G280" s="35"/>
      <c r="H280" s="35"/>
      <c r="I280" s="38"/>
      <c r="J280" s="38"/>
      <c r="K280" s="38"/>
      <c r="L280" s="38"/>
      <c r="M280" s="35"/>
      <c r="N280" s="35"/>
      <c r="O280" s="35"/>
      <c r="P280" s="37"/>
    </row>
    <row r="281" spans="2:16" x14ac:dyDescent="0.25">
      <c r="B281" s="35"/>
      <c r="C281" s="142"/>
      <c r="D281" s="35"/>
      <c r="E281" s="35"/>
      <c r="F281" s="35"/>
      <c r="G281" s="35"/>
      <c r="H281" s="35"/>
      <c r="I281" s="38"/>
      <c r="J281" s="38"/>
      <c r="K281" s="38"/>
      <c r="L281" s="38"/>
      <c r="M281" s="35"/>
      <c r="N281" s="35"/>
      <c r="O281" s="35"/>
      <c r="P281" s="37"/>
    </row>
    <row r="282" spans="2:16" x14ac:dyDescent="0.25">
      <c r="B282" s="35"/>
      <c r="C282" s="142"/>
      <c r="D282" s="35"/>
      <c r="E282" s="35"/>
      <c r="F282" s="35"/>
      <c r="G282" s="35"/>
      <c r="H282" s="35"/>
      <c r="I282" s="38"/>
      <c r="J282" s="38"/>
      <c r="K282" s="38"/>
      <c r="L282" s="38"/>
      <c r="M282" s="35"/>
      <c r="N282" s="35"/>
      <c r="O282" s="35"/>
      <c r="P282" s="37"/>
    </row>
    <row r="283" spans="2:16" x14ac:dyDescent="0.25">
      <c r="B283" s="35"/>
      <c r="C283" s="142"/>
      <c r="D283" s="35"/>
      <c r="E283" s="35"/>
      <c r="F283" s="35"/>
      <c r="G283" s="35"/>
      <c r="H283" s="35"/>
      <c r="I283" s="38"/>
      <c r="J283" s="38"/>
      <c r="K283" s="38"/>
      <c r="L283" s="38"/>
      <c r="M283" s="35"/>
      <c r="N283" s="35"/>
      <c r="O283" s="35"/>
      <c r="P283" s="37"/>
    </row>
    <row r="284" spans="2:16" x14ac:dyDescent="0.25">
      <c r="B284" s="35"/>
      <c r="C284" s="142"/>
      <c r="D284" s="35"/>
      <c r="E284" s="35"/>
      <c r="F284" s="35"/>
      <c r="G284" s="35"/>
      <c r="H284" s="35"/>
      <c r="I284" s="38"/>
      <c r="J284" s="38"/>
      <c r="K284" s="38"/>
      <c r="L284" s="38"/>
      <c r="M284" s="35"/>
      <c r="N284" s="35"/>
      <c r="O284" s="35"/>
      <c r="P284" s="37"/>
    </row>
    <row r="285" spans="2:16" x14ac:dyDescent="0.25">
      <c r="B285" s="35"/>
      <c r="C285" s="142"/>
      <c r="D285" s="35"/>
      <c r="E285" s="35"/>
      <c r="F285" s="35"/>
      <c r="G285" s="35"/>
      <c r="H285" s="35"/>
      <c r="I285" s="38"/>
      <c r="J285" s="38"/>
      <c r="K285" s="38"/>
      <c r="L285" s="38"/>
      <c r="M285" s="35"/>
      <c r="N285" s="35"/>
      <c r="O285" s="35"/>
      <c r="P285" s="37"/>
    </row>
    <row r="286" spans="2:16" x14ac:dyDescent="0.25">
      <c r="B286" s="35"/>
      <c r="C286" s="142"/>
      <c r="D286" s="35"/>
      <c r="E286" s="35"/>
      <c r="F286" s="35"/>
      <c r="G286" s="35"/>
      <c r="H286" s="35"/>
      <c r="I286" s="38"/>
      <c r="J286" s="38"/>
      <c r="K286" s="38"/>
      <c r="L286" s="38"/>
      <c r="M286" s="35"/>
      <c r="N286" s="35"/>
      <c r="O286" s="35"/>
      <c r="P286" s="37"/>
    </row>
    <row r="287" spans="2:16" x14ac:dyDescent="0.25">
      <c r="B287" s="35"/>
      <c r="C287" s="142"/>
      <c r="D287" s="35"/>
      <c r="E287" s="35"/>
      <c r="F287" s="35"/>
      <c r="G287" s="35"/>
      <c r="H287" s="35"/>
      <c r="I287" s="38"/>
      <c r="J287" s="38"/>
      <c r="K287" s="38"/>
      <c r="L287" s="38"/>
      <c r="M287" s="35"/>
      <c r="N287" s="35"/>
      <c r="O287" s="35"/>
      <c r="P287" s="37"/>
    </row>
    <row r="288" spans="2:16" x14ac:dyDescent="0.25">
      <c r="B288" s="35"/>
      <c r="C288" s="142"/>
      <c r="D288" s="35"/>
      <c r="E288" s="35"/>
      <c r="F288" s="35"/>
      <c r="G288" s="35"/>
      <c r="H288" s="35"/>
      <c r="I288" s="38"/>
      <c r="J288" s="38"/>
      <c r="K288" s="38"/>
      <c r="L288" s="38"/>
      <c r="M288" s="35"/>
      <c r="N288" s="35"/>
      <c r="O288" s="35"/>
      <c r="P288" s="37"/>
    </row>
    <row r="289" spans="2:16" x14ac:dyDescent="0.25">
      <c r="B289" s="35"/>
      <c r="C289" s="142"/>
      <c r="D289" s="35"/>
      <c r="E289" s="35"/>
      <c r="F289" s="35"/>
      <c r="G289" s="35"/>
      <c r="H289" s="35"/>
      <c r="I289" s="38"/>
      <c r="J289" s="38"/>
      <c r="K289" s="38"/>
      <c r="L289" s="38"/>
      <c r="M289" s="35"/>
      <c r="N289" s="35"/>
      <c r="O289" s="35"/>
      <c r="P289" s="37"/>
    </row>
    <row r="290" spans="2:16" x14ac:dyDescent="0.25">
      <c r="B290" s="35"/>
      <c r="C290" s="142"/>
      <c r="D290" s="35"/>
      <c r="E290" s="35"/>
      <c r="F290" s="35"/>
      <c r="G290" s="35"/>
      <c r="H290" s="35"/>
      <c r="I290" s="38"/>
      <c r="J290" s="38"/>
      <c r="K290" s="38"/>
      <c r="L290" s="38"/>
      <c r="M290" s="35"/>
      <c r="N290" s="35"/>
      <c r="O290" s="35"/>
      <c r="P290" s="37"/>
    </row>
    <row r="291" spans="2:16" x14ac:dyDescent="0.25">
      <c r="B291" s="35"/>
      <c r="C291" s="142"/>
      <c r="D291" s="35"/>
      <c r="E291" s="35"/>
      <c r="F291" s="35"/>
      <c r="G291" s="35"/>
      <c r="H291" s="35"/>
      <c r="I291" s="38"/>
      <c r="J291" s="38"/>
      <c r="K291" s="38"/>
      <c r="L291" s="38"/>
      <c r="M291" s="35"/>
      <c r="N291" s="35"/>
      <c r="O291" s="35"/>
      <c r="P291" s="37"/>
    </row>
    <row r="292" spans="2:16" x14ac:dyDescent="0.25">
      <c r="B292" s="35"/>
      <c r="C292" s="142"/>
      <c r="D292" s="35"/>
      <c r="E292" s="35"/>
      <c r="F292" s="35"/>
      <c r="G292" s="35"/>
      <c r="H292" s="35"/>
      <c r="I292" s="35"/>
      <c r="J292" s="35"/>
      <c r="K292" s="35"/>
      <c r="L292" s="38"/>
      <c r="M292" s="35"/>
      <c r="N292" s="35"/>
      <c r="O292" s="35"/>
      <c r="P292" s="37"/>
    </row>
    <row r="293" spans="2:16" x14ac:dyDescent="0.25">
      <c r="B293" s="35"/>
      <c r="C293" s="142"/>
      <c r="D293" s="35"/>
      <c r="E293" s="35"/>
      <c r="F293" s="35"/>
      <c r="G293" s="35"/>
      <c r="H293" s="35"/>
      <c r="I293" s="35"/>
      <c r="J293" s="35"/>
      <c r="K293" s="35"/>
      <c r="L293" s="38"/>
      <c r="M293" s="35"/>
      <c r="N293" s="35"/>
      <c r="O293" s="35"/>
      <c r="P293" s="37"/>
    </row>
    <row r="294" spans="2:16" x14ac:dyDescent="0.25">
      <c r="B294" s="35"/>
      <c r="C294" s="142"/>
      <c r="D294" s="35"/>
      <c r="E294" s="35"/>
      <c r="F294" s="35"/>
      <c r="G294" s="35"/>
      <c r="H294" s="35"/>
      <c r="I294" s="35"/>
      <c r="J294" s="35"/>
      <c r="K294" s="35"/>
      <c r="L294" s="38"/>
      <c r="M294" s="35"/>
      <c r="N294" s="35"/>
      <c r="O294" s="35"/>
      <c r="P294" s="37"/>
    </row>
    <row r="295" spans="2:16" x14ac:dyDescent="0.25">
      <c r="B295" s="35"/>
      <c r="C295" s="142"/>
      <c r="D295" s="35"/>
      <c r="E295" s="35"/>
      <c r="F295" s="35"/>
      <c r="G295" s="35"/>
      <c r="H295" s="35"/>
      <c r="I295" s="35"/>
      <c r="J295" s="35"/>
      <c r="K295" s="35"/>
      <c r="L295" s="38"/>
      <c r="M295" s="35"/>
      <c r="N295" s="35"/>
      <c r="O295" s="35"/>
      <c r="P295" s="37"/>
    </row>
    <row r="296" spans="2:16" x14ac:dyDescent="0.25">
      <c r="B296" s="35"/>
      <c r="C296" s="142"/>
      <c r="D296" s="35"/>
      <c r="E296" s="35"/>
      <c r="F296" s="35"/>
      <c r="G296" s="35"/>
      <c r="H296" s="35"/>
      <c r="I296" s="35"/>
      <c r="J296" s="35"/>
      <c r="K296" s="35"/>
      <c r="L296" s="38"/>
      <c r="M296" s="35"/>
      <c r="N296" s="35"/>
      <c r="O296" s="35"/>
      <c r="P296" s="37"/>
    </row>
    <row r="297" spans="2:16" x14ac:dyDescent="0.25">
      <c r="B297" s="35"/>
      <c r="C297" s="36"/>
      <c r="D297" s="35"/>
      <c r="E297" s="35"/>
      <c r="F297" s="35"/>
      <c r="G297" s="35"/>
      <c r="H297" s="35"/>
      <c r="I297" s="35"/>
      <c r="J297" s="35"/>
      <c r="K297" s="35"/>
      <c r="L297" s="35"/>
      <c r="M297" s="35"/>
      <c r="N297" s="35"/>
      <c r="O297" s="35"/>
    </row>
    <row r="298" spans="2:16" x14ac:dyDescent="0.25">
      <c r="B298" s="35"/>
      <c r="C298" s="36"/>
      <c r="D298" s="35"/>
      <c r="E298" s="35"/>
      <c r="F298" s="35"/>
      <c r="G298" s="35"/>
      <c r="H298" s="35"/>
      <c r="I298" s="35"/>
      <c r="J298" s="35"/>
      <c r="K298" s="35"/>
      <c r="L298" s="35"/>
      <c r="M298" s="35"/>
      <c r="N298" s="35"/>
      <c r="O298" s="35"/>
    </row>
    <row r="299" spans="2:16" x14ac:dyDescent="0.25">
      <c r="B299" s="35"/>
      <c r="C299" s="36"/>
      <c r="D299" s="35"/>
      <c r="E299" s="35"/>
      <c r="F299" s="35"/>
      <c r="G299" s="35"/>
      <c r="H299" s="35"/>
      <c r="I299" s="35"/>
      <c r="J299" s="35"/>
      <c r="K299" s="35"/>
      <c r="L299" s="35"/>
      <c r="M299" s="35"/>
      <c r="N299" s="35"/>
      <c r="O299" s="35"/>
    </row>
    <row r="300" spans="2:16" x14ac:dyDescent="0.25">
      <c r="B300" s="35"/>
      <c r="C300" s="36"/>
      <c r="L300" s="35"/>
      <c r="M300" s="35"/>
      <c r="N300" s="35"/>
      <c r="O300" s="35"/>
    </row>
    <row r="301" spans="2:16" x14ac:dyDescent="0.25">
      <c r="B301" s="35"/>
      <c r="C301" s="36"/>
      <c r="L301" s="35"/>
      <c r="M301" s="35"/>
      <c r="N301" s="35"/>
      <c r="O301" s="35"/>
    </row>
    <row r="302" spans="2:16" x14ac:dyDescent="0.25">
      <c r="B302" s="35"/>
      <c r="C302" s="36"/>
      <c r="L302" s="35"/>
      <c r="M302" s="35"/>
      <c r="N302" s="35"/>
      <c r="O302" s="35"/>
    </row>
    <row r="303" spans="2:16" x14ac:dyDescent="0.25">
      <c r="B303" s="35"/>
      <c r="C303" s="36"/>
      <c r="L303" s="35"/>
      <c r="M303" s="35"/>
      <c r="N303" s="35"/>
      <c r="O303" s="35"/>
    </row>
    <row r="304" spans="2:16" x14ac:dyDescent="0.25">
      <c r="B304" s="35"/>
      <c r="C304" s="36"/>
      <c r="L304" s="35"/>
      <c r="M304" s="35"/>
      <c r="N304" s="35"/>
      <c r="O304" s="35"/>
    </row>
  </sheetData>
  <pageMargins left="0.75" right="0.75" top="1" bottom="1" header="0.5" footer="0.5"/>
  <pageSetup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F25"/>
  <sheetViews>
    <sheetView tabSelected="1" workbookViewId="0">
      <pane xSplit="1" ySplit="2" topLeftCell="B3" activePane="bottomRight" state="frozen"/>
      <selection activeCell="B3" sqref="B3"/>
      <selection pane="topRight" activeCell="B3" sqref="B3"/>
      <selection pane="bottomLeft" activeCell="B3" sqref="B3"/>
      <selection pane="bottomRight" activeCell="B3" sqref="B3"/>
    </sheetView>
  </sheetViews>
  <sheetFormatPr baseColWidth="10" defaultColWidth="46.7109375" defaultRowHeight="15" x14ac:dyDescent="0.25"/>
  <cols>
    <col min="1" max="1" width="3" bestFit="1" customWidth="1"/>
    <col min="2" max="2" width="23.140625" bestFit="1" customWidth="1"/>
    <col min="3" max="3" width="30.85546875" bestFit="1" customWidth="1"/>
    <col min="4" max="4" width="12.42578125" customWidth="1"/>
    <col min="5" max="5" width="5.7109375" bestFit="1" customWidth="1"/>
    <col min="6" max="6" width="62.140625" customWidth="1"/>
  </cols>
  <sheetData>
    <row r="1" spans="1:6" x14ac:dyDescent="0.25">
      <c r="A1" t="s">
        <v>1441</v>
      </c>
    </row>
    <row r="2" spans="1:6" x14ac:dyDescent="0.25">
      <c r="A2" s="5" t="s">
        <v>1180</v>
      </c>
      <c r="B2" s="5" t="s">
        <v>824</v>
      </c>
      <c r="C2" s="5" t="s">
        <v>1181</v>
      </c>
      <c r="D2" s="5" t="s">
        <v>1182</v>
      </c>
      <c r="E2" s="5" t="s">
        <v>166</v>
      </c>
      <c r="F2" s="5" t="s">
        <v>29</v>
      </c>
    </row>
    <row r="3" spans="1:6" x14ac:dyDescent="0.25">
      <c r="A3" s="9">
        <v>1</v>
      </c>
      <c r="B3" s="10" t="s">
        <v>1183</v>
      </c>
      <c r="C3" s="10" t="s">
        <v>828</v>
      </c>
      <c r="D3" s="71">
        <v>0</v>
      </c>
      <c r="E3" s="10"/>
    </row>
    <row r="4" spans="1:6" x14ac:dyDescent="0.25">
      <c r="A4" s="9">
        <v>2</v>
      </c>
      <c r="B4" s="10" t="s">
        <v>829</v>
      </c>
      <c r="C4" t="s">
        <v>1426</v>
      </c>
      <c r="D4" s="71">
        <v>10000</v>
      </c>
      <c r="E4" s="10" t="s">
        <v>1184</v>
      </c>
      <c r="F4" s="11" t="s">
        <v>1185</v>
      </c>
    </row>
    <row r="5" spans="1:6" x14ac:dyDescent="0.25">
      <c r="A5" s="9">
        <v>3</v>
      </c>
      <c r="B5" s="10" t="s">
        <v>1186</v>
      </c>
      <c r="C5" t="s">
        <v>1427</v>
      </c>
      <c r="D5" s="71">
        <v>20000</v>
      </c>
      <c r="E5" s="10" t="s">
        <v>204</v>
      </c>
      <c r="F5" s="11" t="s">
        <v>1187</v>
      </c>
    </row>
    <row r="6" spans="1:6" x14ac:dyDescent="0.25">
      <c r="A6" s="9">
        <v>4</v>
      </c>
      <c r="B6" s="10" t="s">
        <v>1186</v>
      </c>
      <c r="C6" t="s">
        <v>1428</v>
      </c>
      <c r="D6" s="71">
        <v>10000</v>
      </c>
      <c r="E6" s="10" t="s">
        <v>204</v>
      </c>
      <c r="F6" s="11" t="s">
        <v>1187</v>
      </c>
    </row>
    <row r="7" spans="1:6" ht="75" x14ac:dyDescent="0.25">
      <c r="A7" s="9">
        <v>5</v>
      </c>
      <c r="B7" s="10" t="s">
        <v>1186</v>
      </c>
      <c r="C7" t="s">
        <v>1429</v>
      </c>
      <c r="D7" s="71">
        <v>1500</v>
      </c>
      <c r="E7" s="10" t="s">
        <v>204</v>
      </c>
      <c r="F7" s="11" t="s">
        <v>1430</v>
      </c>
    </row>
    <row r="8" spans="1:6" x14ac:dyDescent="0.25">
      <c r="A8" s="9">
        <v>6</v>
      </c>
      <c r="B8" s="10" t="s">
        <v>1186</v>
      </c>
      <c r="C8" t="s">
        <v>1431</v>
      </c>
      <c r="D8" s="71">
        <v>40000</v>
      </c>
      <c r="E8" s="10" t="s">
        <v>204</v>
      </c>
      <c r="F8" s="11" t="s">
        <v>1187</v>
      </c>
    </row>
    <row r="9" spans="1:6" x14ac:dyDescent="0.25">
      <c r="A9" s="9">
        <v>7</v>
      </c>
      <c r="B9" s="10" t="s">
        <v>833</v>
      </c>
      <c r="C9" t="s">
        <v>1432</v>
      </c>
      <c r="D9" s="71">
        <v>10000</v>
      </c>
      <c r="E9" s="10" t="s">
        <v>1184</v>
      </c>
      <c r="F9" s="11" t="s">
        <v>1188</v>
      </c>
    </row>
    <row r="10" spans="1:6" x14ac:dyDescent="0.25">
      <c r="A10" s="9">
        <v>8</v>
      </c>
      <c r="B10" s="10" t="s">
        <v>834</v>
      </c>
      <c r="C10" t="s">
        <v>1433</v>
      </c>
      <c r="D10" s="71">
        <v>10000</v>
      </c>
      <c r="E10" s="10" t="s">
        <v>1184</v>
      </c>
      <c r="F10" s="11" t="s">
        <v>1188</v>
      </c>
    </row>
    <row r="11" spans="1:6" x14ac:dyDescent="0.25">
      <c r="A11" s="9">
        <v>9</v>
      </c>
      <c r="B11" s="10" t="s">
        <v>836</v>
      </c>
      <c r="C11" t="s">
        <v>1434</v>
      </c>
      <c r="D11" s="71">
        <v>10000</v>
      </c>
      <c r="E11" s="10" t="s">
        <v>1184</v>
      </c>
      <c r="F11" s="11" t="s">
        <v>1188</v>
      </c>
    </row>
    <row r="12" spans="1:6" x14ac:dyDescent="0.25">
      <c r="A12" s="9">
        <v>10</v>
      </c>
      <c r="B12" s="10" t="s">
        <v>836</v>
      </c>
      <c r="C12" t="s">
        <v>1435</v>
      </c>
      <c r="D12" s="71">
        <v>5000</v>
      </c>
      <c r="E12" s="10" t="s">
        <v>1189</v>
      </c>
      <c r="F12" s="11" t="s">
        <v>1190</v>
      </c>
    </row>
    <row r="13" spans="1:6" x14ac:dyDescent="0.25">
      <c r="A13" s="9">
        <v>11</v>
      </c>
      <c r="B13" s="10" t="s">
        <v>1191</v>
      </c>
      <c r="C13" t="s">
        <v>1436</v>
      </c>
      <c r="D13" s="71">
        <v>500</v>
      </c>
      <c r="E13" s="10" t="s">
        <v>1192</v>
      </c>
      <c r="F13" s="12" t="s">
        <v>1193</v>
      </c>
    </row>
    <row r="14" spans="1:6" x14ac:dyDescent="0.25">
      <c r="A14" s="34">
        <v>12</v>
      </c>
      <c r="B14" s="11" t="s">
        <v>915</v>
      </c>
      <c r="C14" t="s">
        <v>1437</v>
      </c>
      <c r="D14" s="70">
        <v>500</v>
      </c>
      <c r="E14" s="11" t="s">
        <v>1192</v>
      </c>
      <c r="F14" s="12" t="s">
        <v>1193</v>
      </c>
    </row>
    <row r="17" spans="2:3" x14ac:dyDescent="0.25">
      <c r="B17" s="10"/>
      <c r="C17" s="10"/>
    </row>
    <row r="18" spans="2:3" x14ac:dyDescent="0.25">
      <c r="B18" s="10"/>
      <c r="C18" s="10"/>
    </row>
    <row r="19" spans="2:3" x14ac:dyDescent="0.25">
      <c r="B19" s="10"/>
      <c r="C19" s="10"/>
    </row>
    <row r="20" spans="2:3" x14ac:dyDescent="0.25">
      <c r="B20" s="10"/>
      <c r="C20" s="10"/>
    </row>
    <row r="21" spans="2:3" x14ac:dyDescent="0.25">
      <c r="B21" s="10"/>
      <c r="C21" s="10"/>
    </row>
    <row r="22" spans="2:3" x14ac:dyDescent="0.25">
      <c r="B22" s="10"/>
      <c r="C22" s="10"/>
    </row>
    <row r="23" spans="2:3" x14ac:dyDescent="0.25">
      <c r="B23" s="10"/>
      <c r="C23" s="10"/>
    </row>
    <row r="24" spans="2:3" x14ac:dyDescent="0.25">
      <c r="B24" s="10"/>
      <c r="C24" s="10"/>
    </row>
    <row r="25" spans="2:3" x14ac:dyDescent="0.25">
      <c r="B25" s="10"/>
      <c r="C25"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IV10"/>
  <sheetViews>
    <sheetView topLeftCell="A2" zoomScaleSheetLayoutView="40" workbookViewId="0">
      <pane ySplit="555" activePane="bottomLeft"/>
      <selection activeCell="A136" sqref="A136"/>
      <selection pane="bottomLeft" activeCell="E23" sqref="E23"/>
    </sheetView>
  </sheetViews>
  <sheetFormatPr baseColWidth="10" defaultColWidth="9.140625" defaultRowHeight="15" x14ac:dyDescent="0.25"/>
  <cols>
    <col min="1" max="1" width="10.85546875" style="72" customWidth="1"/>
    <col min="2" max="2" width="66.85546875" style="72" customWidth="1"/>
    <col min="3" max="3" width="19.5703125" style="136" customWidth="1"/>
    <col min="4" max="4" width="34.85546875" style="72" customWidth="1"/>
    <col min="5" max="256" width="9.140625" style="72"/>
    <col min="257" max="257" width="10.85546875" style="72" customWidth="1"/>
    <col min="258" max="258" width="66.85546875" style="72" customWidth="1"/>
    <col min="259" max="259" width="19.5703125" style="72" customWidth="1"/>
    <col min="260" max="260" width="34.85546875" style="72" customWidth="1"/>
    <col min="261" max="512" width="9.140625" style="72"/>
    <col min="513" max="513" width="10.85546875" style="72" customWidth="1"/>
    <col min="514" max="514" width="66.85546875" style="72" customWidth="1"/>
    <col min="515" max="515" width="19.5703125" style="72" customWidth="1"/>
    <col min="516" max="516" width="34.85546875" style="72" customWidth="1"/>
    <col min="517" max="768" width="9.140625" style="72"/>
    <col min="769" max="769" width="10.85546875" style="72" customWidth="1"/>
    <col min="770" max="770" width="66.85546875" style="72" customWidth="1"/>
    <col min="771" max="771" width="19.5703125" style="72" customWidth="1"/>
    <col min="772" max="772" width="34.85546875" style="72" customWidth="1"/>
    <col min="773" max="1024" width="9.140625" style="72"/>
    <col min="1025" max="1025" width="10.85546875" style="72" customWidth="1"/>
    <col min="1026" max="1026" width="66.85546875" style="72" customWidth="1"/>
    <col min="1027" max="1027" width="19.5703125" style="72" customWidth="1"/>
    <col min="1028" max="1028" width="34.85546875" style="72" customWidth="1"/>
    <col min="1029" max="1280" width="9.140625" style="72"/>
    <col min="1281" max="1281" width="10.85546875" style="72" customWidth="1"/>
    <col min="1282" max="1282" width="66.85546875" style="72" customWidth="1"/>
    <col min="1283" max="1283" width="19.5703125" style="72" customWidth="1"/>
    <col min="1284" max="1284" width="34.85546875" style="72" customWidth="1"/>
    <col min="1285" max="1536" width="9.140625" style="72"/>
    <col min="1537" max="1537" width="10.85546875" style="72" customWidth="1"/>
    <col min="1538" max="1538" width="66.85546875" style="72" customWidth="1"/>
    <col min="1539" max="1539" width="19.5703125" style="72" customWidth="1"/>
    <col min="1540" max="1540" width="34.85546875" style="72" customWidth="1"/>
    <col min="1541" max="1792" width="9.140625" style="72"/>
    <col min="1793" max="1793" width="10.85546875" style="72" customWidth="1"/>
    <col min="1794" max="1794" width="66.85546875" style="72" customWidth="1"/>
    <col min="1795" max="1795" width="19.5703125" style="72" customWidth="1"/>
    <col min="1796" max="1796" width="34.85546875" style="72" customWidth="1"/>
    <col min="1797" max="2048" width="9.140625" style="72"/>
    <col min="2049" max="2049" width="10.85546875" style="72" customWidth="1"/>
    <col min="2050" max="2050" width="66.85546875" style="72" customWidth="1"/>
    <col min="2051" max="2051" width="19.5703125" style="72" customWidth="1"/>
    <col min="2052" max="2052" width="34.85546875" style="72" customWidth="1"/>
    <col min="2053" max="2304" width="9.140625" style="72"/>
    <col min="2305" max="2305" width="10.85546875" style="72" customWidth="1"/>
    <col min="2306" max="2306" width="66.85546875" style="72" customWidth="1"/>
    <col min="2307" max="2307" width="19.5703125" style="72" customWidth="1"/>
    <col min="2308" max="2308" width="34.85546875" style="72" customWidth="1"/>
    <col min="2309" max="2560" width="9.140625" style="72"/>
    <col min="2561" max="2561" width="10.85546875" style="72" customWidth="1"/>
    <col min="2562" max="2562" width="66.85546875" style="72" customWidth="1"/>
    <col min="2563" max="2563" width="19.5703125" style="72" customWidth="1"/>
    <col min="2564" max="2564" width="34.85546875" style="72" customWidth="1"/>
    <col min="2565" max="2816" width="9.140625" style="72"/>
    <col min="2817" max="2817" width="10.85546875" style="72" customWidth="1"/>
    <col min="2818" max="2818" width="66.85546875" style="72" customWidth="1"/>
    <col min="2819" max="2819" width="19.5703125" style="72" customWidth="1"/>
    <col min="2820" max="2820" width="34.85546875" style="72" customWidth="1"/>
    <col min="2821" max="3072" width="9.140625" style="72"/>
    <col min="3073" max="3073" width="10.85546875" style="72" customWidth="1"/>
    <col min="3074" max="3074" width="66.85546875" style="72" customWidth="1"/>
    <col min="3075" max="3075" width="19.5703125" style="72" customWidth="1"/>
    <col min="3076" max="3076" width="34.85546875" style="72" customWidth="1"/>
    <col min="3077" max="3328" width="9.140625" style="72"/>
    <col min="3329" max="3329" width="10.85546875" style="72" customWidth="1"/>
    <col min="3330" max="3330" width="66.85546875" style="72" customWidth="1"/>
    <col min="3331" max="3331" width="19.5703125" style="72" customWidth="1"/>
    <col min="3332" max="3332" width="34.85546875" style="72" customWidth="1"/>
    <col min="3333" max="3584" width="9.140625" style="72"/>
    <col min="3585" max="3585" width="10.85546875" style="72" customWidth="1"/>
    <col min="3586" max="3586" width="66.85546875" style="72" customWidth="1"/>
    <col min="3587" max="3587" width="19.5703125" style="72" customWidth="1"/>
    <col min="3588" max="3588" width="34.85546875" style="72" customWidth="1"/>
    <col min="3589" max="3840" width="9.140625" style="72"/>
    <col min="3841" max="3841" width="10.85546875" style="72" customWidth="1"/>
    <col min="3842" max="3842" width="66.85546875" style="72" customWidth="1"/>
    <col min="3843" max="3843" width="19.5703125" style="72" customWidth="1"/>
    <col min="3844" max="3844" width="34.85546875" style="72" customWidth="1"/>
    <col min="3845" max="4096" width="9.140625" style="72"/>
    <col min="4097" max="4097" width="10.85546875" style="72" customWidth="1"/>
    <col min="4098" max="4098" width="66.85546875" style="72" customWidth="1"/>
    <col min="4099" max="4099" width="19.5703125" style="72" customWidth="1"/>
    <col min="4100" max="4100" width="34.85546875" style="72" customWidth="1"/>
    <col min="4101" max="4352" width="9.140625" style="72"/>
    <col min="4353" max="4353" width="10.85546875" style="72" customWidth="1"/>
    <col min="4354" max="4354" width="66.85546875" style="72" customWidth="1"/>
    <col min="4355" max="4355" width="19.5703125" style="72" customWidth="1"/>
    <col min="4356" max="4356" width="34.85546875" style="72" customWidth="1"/>
    <col min="4357" max="4608" width="9.140625" style="72"/>
    <col min="4609" max="4609" width="10.85546875" style="72" customWidth="1"/>
    <col min="4610" max="4610" width="66.85546875" style="72" customWidth="1"/>
    <col min="4611" max="4611" width="19.5703125" style="72" customWidth="1"/>
    <col min="4612" max="4612" width="34.85546875" style="72" customWidth="1"/>
    <col min="4613" max="4864" width="9.140625" style="72"/>
    <col min="4865" max="4865" width="10.85546875" style="72" customWidth="1"/>
    <col min="4866" max="4866" width="66.85546875" style="72" customWidth="1"/>
    <col min="4867" max="4867" width="19.5703125" style="72" customWidth="1"/>
    <col min="4868" max="4868" width="34.85546875" style="72" customWidth="1"/>
    <col min="4869" max="5120" width="9.140625" style="72"/>
    <col min="5121" max="5121" width="10.85546875" style="72" customWidth="1"/>
    <col min="5122" max="5122" width="66.85546875" style="72" customWidth="1"/>
    <col min="5123" max="5123" width="19.5703125" style="72" customWidth="1"/>
    <col min="5124" max="5124" width="34.85546875" style="72" customWidth="1"/>
    <col min="5125" max="5376" width="9.140625" style="72"/>
    <col min="5377" max="5377" width="10.85546875" style="72" customWidth="1"/>
    <col min="5378" max="5378" width="66.85546875" style="72" customWidth="1"/>
    <col min="5379" max="5379" width="19.5703125" style="72" customWidth="1"/>
    <col min="5380" max="5380" width="34.85546875" style="72" customWidth="1"/>
    <col min="5381" max="5632" width="9.140625" style="72"/>
    <col min="5633" max="5633" width="10.85546875" style="72" customWidth="1"/>
    <col min="5634" max="5634" width="66.85546875" style="72" customWidth="1"/>
    <col min="5635" max="5635" width="19.5703125" style="72" customWidth="1"/>
    <col min="5636" max="5636" width="34.85546875" style="72" customWidth="1"/>
    <col min="5637" max="5888" width="9.140625" style="72"/>
    <col min="5889" max="5889" width="10.85546875" style="72" customWidth="1"/>
    <col min="5890" max="5890" width="66.85546875" style="72" customWidth="1"/>
    <col min="5891" max="5891" width="19.5703125" style="72" customWidth="1"/>
    <col min="5892" max="5892" width="34.85546875" style="72" customWidth="1"/>
    <col min="5893" max="6144" width="9.140625" style="72"/>
    <col min="6145" max="6145" width="10.85546875" style="72" customWidth="1"/>
    <col min="6146" max="6146" width="66.85546875" style="72" customWidth="1"/>
    <col min="6147" max="6147" width="19.5703125" style="72" customWidth="1"/>
    <col min="6148" max="6148" width="34.85546875" style="72" customWidth="1"/>
    <col min="6149" max="6400" width="9.140625" style="72"/>
    <col min="6401" max="6401" width="10.85546875" style="72" customWidth="1"/>
    <col min="6402" max="6402" width="66.85546875" style="72" customWidth="1"/>
    <col min="6403" max="6403" width="19.5703125" style="72" customWidth="1"/>
    <col min="6404" max="6404" width="34.85546875" style="72" customWidth="1"/>
    <col min="6405" max="6656" width="9.140625" style="72"/>
    <col min="6657" max="6657" width="10.85546875" style="72" customWidth="1"/>
    <col min="6658" max="6658" width="66.85546875" style="72" customWidth="1"/>
    <col min="6659" max="6659" width="19.5703125" style="72" customWidth="1"/>
    <col min="6660" max="6660" width="34.85546875" style="72" customWidth="1"/>
    <col min="6661" max="6912" width="9.140625" style="72"/>
    <col min="6913" max="6913" width="10.85546875" style="72" customWidth="1"/>
    <col min="6914" max="6914" width="66.85546875" style="72" customWidth="1"/>
    <col min="6915" max="6915" width="19.5703125" style="72" customWidth="1"/>
    <col min="6916" max="6916" width="34.85546875" style="72" customWidth="1"/>
    <col min="6917" max="7168" width="9.140625" style="72"/>
    <col min="7169" max="7169" width="10.85546875" style="72" customWidth="1"/>
    <col min="7170" max="7170" width="66.85546875" style="72" customWidth="1"/>
    <col min="7171" max="7171" width="19.5703125" style="72" customWidth="1"/>
    <col min="7172" max="7172" width="34.85546875" style="72" customWidth="1"/>
    <col min="7173" max="7424" width="9.140625" style="72"/>
    <col min="7425" max="7425" width="10.85546875" style="72" customWidth="1"/>
    <col min="7426" max="7426" width="66.85546875" style="72" customWidth="1"/>
    <col min="7427" max="7427" width="19.5703125" style="72" customWidth="1"/>
    <col min="7428" max="7428" width="34.85546875" style="72" customWidth="1"/>
    <col min="7429" max="7680" width="9.140625" style="72"/>
    <col min="7681" max="7681" width="10.85546875" style="72" customWidth="1"/>
    <col min="7682" max="7682" width="66.85546875" style="72" customWidth="1"/>
    <col min="7683" max="7683" width="19.5703125" style="72" customWidth="1"/>
    <col min="7684" max="7684" width="34.85546875" style="72" customWidth="1"/>
    <col min="7685" max="7936" width="9.140625" style="72"/>
    <col min="7937" max="7937" width="10.85546875" style="72" customWidth="1"/>
    <col min="7938" max="7938" width="66.85546875" style="72" customWidth="1"/>
    <col min="7939" max="7939" width="19.5703125" style="72" customWidth="1"/>
    <col min="7940" max="7940" width="34.85546875" style="72" customWidth="1"/>
    <col min="7941" max="8192" width="9.140625" style="72"/>
    <col min="8193" max="8193" width="10.85546875" style="72" customWidth="1"/>
    <col min="8194" max="8194" width="66.85546875" style="72" customWidth="1"/>
    <col min="8195" max="8195" width="19.5703125" style="72" customWidth="1"/>
    <col min="8196" max="8196" width="34.85546875" style="72" customWidth="1"/>
    <col min="8197" max="8448" width="9.140625" style="72"/>
    <col min="8449" max="8449" width="10.85546875" style="72" customWidth="1"/>
    <col min="8450" max="8450" width="66.85546875" style="72" customWidth="1"/>
    <col min="8451" max="8451" width="19.5703125" style="72" customWidth="1"/>
    <col min="8452" max="8452" width="34.85546875" style="72" customWidth="1"/>
    <col min="8453" max="8704" width="9.140625" style="72"/>
    <col min="8705" max="8705" width="10.85546875" style="72" customWidth="1"/>
    <col min="8706" max="8706" width="66.85546875" style="72" customWidth="1"/>
    <col min="8707" max="8707" width="19.5703125" style="72" customWidth="1"/>
    <col min="8708" max="8708" width="34.85546875" style="72" customWidth="1"/>
    <col min="8709" max="8960" width="9.140625" style="72"/>
    <col min="8961" max="8961" width="10.85546875" style="72" customWidth="1"/>
    <col min="8962" max="8962" width="66.85546875" style="72" customWidth="1"/>
    <col min="8963" max="8963" width="19.5703125" style="72" customWidth="1"/>
    <col min="8964" max="8964" width="34.85546875" style="72" customWidth="1"/>
    <col min="8965" max="9216" width="9.140625" style="72"/>
    <col min="9217" max="9217" width="10.85546875" style="72" customWidth="1"/>
    <col min="9218" max="9218" width="66.85546875" style="72" customWidth="1"/>
    <col min="9219" max="9219" width="19.5703125" style="72" customWidth="1"/>
    <col min="9220" max="9220" width="34.85546875" style="72" customWidth="1"/>
    <col min="9221" max="9472" width="9.140625" style="72"/>
    <col min="9473" max="9473" width="10.85546875" style="72" customWidth="1"/>
    <col min="9474" max="9474" width="66.85546875" style="72" customWidth="1"/>
    <col min="9475" max="9475" width="19.5703125" style="72" customWidth="1"/>
    <col min="9476" max="9476" width="34.85546875" style="72" customWidth="1"/>
    <col min="9477" max="9728" width="9.140625" style="72"/>
    <col min="9729" max="9729" width="10.85546875" style="72" customWidth="1"/>
    <col min="9730" max="9730" width="66.85546875" style="72" customWidth="1"/>
    <col min="9731" max="9731" width="19.5703125" style="72" customWidth="1"/>
    <col min="9732" max="9732" width="34.85546875" style="72" customWidth="1"/>
    <col min="9733" max="9984" width="9.140625" style="72"/>
    <col min="9985" max="9985" width="10.85546875" style="72" customWidth="1"/>
    <col min="9986" max="9986" width="66.85546875" style="72" customWidth="1"/>
    <col min="9987" max="9987" width="19.5703125" style="72" customWidth="1"/>
    <col min="9988" max="9988" width="34.85546875" style="72" customWidth="1"/>
    <col min="9989" max="10240" width="9.140625" style="72"/>
    <col min="10241" max="10241" width="10.85546875" style="72" customWidth="1"/>
    <col min="10242" max="10242" width="66.85546875" style="72" customWidth="1"/>
    <col min="10243" max="10243" width="19.5703125" style="72" customWidth="1"/>
    <col min="10244" max="10244" width="34.85546875" style="72" customWidth="1"/>
    <col min="10245" max="10496" width="9.140625" style="72"/>
    <col min="10497" max="10497" width="10.85546875" style="72" customWidth="1"/>
    <col min="10498" max="10498" width="66.85546875" style="72" customWidth="1"/>
    <col min="10499" max="10499" width="19.5703125" style="72" customWidth="1"/>
    <col min="10500" max="10500" width="34.85546875" style="72" customWidth="1"/>
    <col min="10501" max="10752" width="9.140625" style="72"/>
    <col min="10753" max="10753" width="10.85546875" style="72" customWidth="1"/>
    <col min="10754" max="10754" width="66.85546875" style="72" customWidth="1"/>
    <col min="10755" max="10755" width="19.5703125" style="72" customWidth="1"/>
    <col min="10756" max="10756" width="34.85546875" style="72" customWidth="1"/>
    <col min="10757" max="11008" width="9.140625" style="72"/>
    <col min="11009" max="11009" width="10.85546875" style="72" customWidth="1"/>
    <col min="11010" max="11010" width="66.85546875" style="72" customWidth="1"/>
    <col min="11011" max="11011" width="19.5703125" style="72" customWidth="1"/>
    <col min="11012" max="11012" width="34.85546875" style="72" customWidth="1"/>
    <col min="11013" max="11264" width="9.140625" style="72"/>
    <col min="11265" max="11265" width="10.85546875" style="72" customWidth="1"/>
    <col min="11266" max="11266" width="66.85546875" style="72" customWidth="1"/>
    <col min="11267" max="11267" width="19.5703125" style="72" customWidth="1"/>
    <col min="11268" max="11268" width="34.85546875" style="72" customWidth="1"/>
    <col min="11269" max="11520" width="9.140625" style="72"/>
    <col min="11521" max="11521" width="10.85546875" style="72" customWidth="1"/>
    <col min="11522" max="11522" width="66.85546875" style="72" customWidth="1"/>
    <col min="11523" max="11523" width="19.5703125" style="72" customWidth="1"/>
    <col min="11524" max="11524" width="34.85546875" style="72" customWidth="1"/>
    <col min="11525" max="11776" width="9.140625" style="72"/>
    <col min="11777" max="11777" width="10.85546875" style="72" customWidth="1"/>
    <col min="11778" max="11778" width="66.85546875" style="72" customWidth="1"/>
    <col min="11779" max="11779" width="19.5703125" style="72" customWidth="1"/>
    <col min="11780" max="11780" width="34.85546875" style="72" customWidth="1"/>
    <col min="11781" max="12032" width="9.140625" style="72"/>
    <col min="12033" max="12033" width="10.85546875" style="72" customWidth="1"/>
    <col min="12034" max="12034" width="66.85546875" style="72" customWidth="1"/>
    <col min="12035" max="12035" width="19.5703125" style="72" customWidth="1"/>
    <col min="12036" max="12036" width="34.85546875" style="72" customWidth="1"/>
    <col min="12037" max="12288" width="9.140625" style="72"/>
    <col min="12289" max="12289" width="10.85546875" style="72" customWidth="1"/>
    <col min="12290" max="12290" width="66.85546875" style="72" customWidth="1"/>
    <col min="12291" max="12291" width="19.5703125" style="72" customWidth="1"/>
    <col min="12292" max="12292" width="34.85546875" style="72" customWidth="1"/>
    <col min="12293" max="12544" width="9.140625" style="72"/>
    <col min="12545" max="12545" width="10.85546875" style="72" customWidth="1"/>
    <col min="12546" max="12546" width="66.85546875" style="72" customWidth="1"/>
    <col min="12547" max="12547" width="19.5703125" style="72" customWidth="1"/>
    <col min="12548" max="12548" width="34.85546875" style="72" customWidth="1"/>
    <col min="12549" max="12800" width="9.140625" style="72"/>
    <col min="12801" max="12801" width="10.85546875" style="72" customWidth="1"/>
    <col min="12802" max="12802" width="66.85546875" style="72" customWidth="1"/>
    <col min="12803" max="12803" width="19.5703125" style="72" customWidth="1"/>
    <col min="12804" max="12804" width="34.85546875" style="72" customWidth="1"/>
    <col min="12805" max="13056" width="9.140625" style="72"/>
    <col min="13057" max="13057" width="10.85546875" style="72" customWidth="1"/>
    <col min="13058" max="13058" width="66.85546875" style="72" customWidth="1"/>
    <col min="13059" max="13059" width="19.5703125" style="72" customWidth="1"/>
    <col min="13060" max="13060" width="34.85546875" style="72" customWidth="1"/>
    <col min="13061" max="13312" width="9.140625" style="72"/>
    <col min="13313" max="13313" width="10.85546875" style="72" customWidth="1"/>
    <col min="13314" max="13314" width="66.85546875" style="72" customWidth="1"/>
    <col min="13315" max="13315" width="19.5703125" style="72" customWidth="1"/>
    <col min="13316" max="13316" width="34.85546875" style="72" customWidth="1"/>
    <col min="13317" max="13568" width="9.140625" style="72"/>
    <col min="13569" max="13569" width="10.85546875" style="72" customWidth="1"/>
    <col min="13570" max="13570" width="66.85546875" style="72" customWidth="1"/>
    <col min="13571" max="13571" width="19.5703125" style="72" customWidth="1"/>
    <col min="13572" max="13572" width="34.85546875" style="72" customWidth="1"/>
    <col min="13573" max="13824" width="9.140625" style="72"/>
    <col min="13825" max="13825" width="10.85546875" style="72" customWidth="1"/>
    <col min="13826" max="13826" width="66.85546875" style="72" customWidth="1"/>
    <col min="13827" max="13827" width="19.5703125" style="72" customWidth="1"/>
    <col min="13828" max="13828" width="34.85546875" style="72" customWidth="1"/>
    <col min="13829" max="14080" width="9.140625" style="72"/>
    <col min="14081" max="14081" width="10.85546875" style="72" customWidth="1"/>
    <col min="14082" max="14082" width="66.85546875" style="72" customWidth="1"/>
    <col min="14083" max="14083" width="19.5703125" style="72" customWidth="1"/>
    <col min="14084" max="14084" width="34.85546875" style="72" customWidth="1"/>
    <col min="14085" max="14336" width="9.140625" style="72"/>
    <col min="14337" max="14337" width="10.85546875" style="72" customWidth="1"/>
    <col min="14338" max="14338" width="66.85546875" style="72" customWidth="1"/>
    <col min="14339" max="14339" width="19.5703125" style="72" customWidth="1"/>
    <col min="14340" max="14340" width="34.85546875" style="72" customWidth="1"/>
    <col min="14341" max="14592" width="9.140625" style="72"/>
    <col min="14593" max="14593" width="10.85546875" style="72" customWidth="1"/>
    <col min="14594" max="14594" width="66.85546875" style="72" customWidth="1"/>
    <col min="14595" max="14595" width="19.5703125" style="72" customWidth="1"/>
    <col min="14596" max="14596" width="34.85546875" style="72" customWidth="1"/>
    <col min="14597" max="14848" width="9.140625" style="72"/>
    <col min="14849" max="14849" width="10.85546875" style="72" customWidth="1"/>
    <col min="14850" max="14850" width="66.85546875" style="72" customWidth="1"/>
    <col min="14851" max="14851" width="19.5703125" style="72" customWidth="1"/>
    <col min="14852" max="14852" width="34.85546875" style="72" customWidth="1"/>
    <col min="14853" max="15104" width="9.140625" style="72"/>
    <col min="15105" max="15105" width="10.85546875" style="72" customWidth="1"/>
    <col min="15106" max="15106" width="66.85546875" style="72" customWidth="1"/>
    <col min="15107" max="15107" width="19.5703125" style="72" customWidth="1"/>
    <col min="15108" max="15108" width="34.85546875" style="72" customWidth="1"/>
    <col min="15109" max="15360" width="9.140625" style="72"/>
    <col min="15361" max="15361" width="10.85546875" style="72" customWidth="1"/>
    <col min="15362" max="15362" width="66.85546875" style="72" customWidth="1"/>
    <col min="15363" max="15363" width="19.5703125" style="72" customWidth="1"/>
    <col min="15364" max="15364" width="34.85546875" style="72" customWidth="1"/>
    <col min="15365" max="15616" width="9.140625" style="72"/>
    <col min="15617" max="15617" width="10.85546875" style="72" customWidth="1"/>
    <col min="15618" max="15618" width="66.85546875" style="72" customWidth="1"/>
    <col min="15619" max="15619" width="19.5703125" style="72" customWidth="1"/>
    <col min="15620" max="15620" width="34.85546875" style="72" customWidth="1"/>
    <col min="15621" max="15872" width="9.140625" style="72"/>
    <col min="15873" max="15873" width="10.85546875" style="72" customWidth="1"/>
    <col min="15874" max="15874" width="66.85546875" style="72" customWidth="1"/>
    <col min="15875" max="15875" width="19.5703125" style="72" customWidth="1"/>
    <col min="15876" max="15876" width="34.85546875" style="72" customWidth="1"/>
    <col min="15877" max="16128" width="9.140625" style="72"/>
    <col min="16129" max="16129" width="10.85546875" style="72" customWidth="1"/>
    <col min="16130" max="16130" width="66.85546875" style="72" customWidth="1"/>
    <col min="16131" max="16131" width="19.5703125" style="72" customWidth="1"/>
    <col min="16132" max="16132" width="34.85546875" style="72" customWidth="1"/>
    <col min="16133" max="16384" width="9.140625" style="72"/>
  </cols>
  <sheetData>
    <row r="1" spans="1:256" x14ac:dyDescent="0.25">
      <c r="A1" s="72" t="s">
        <v>1577</v>
      </c>
      <c r="B1" s="73"/>
      <c r="C1" s="75"/>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c r="CV1" s="73"/>
      <c r="CW1" s="73"/>
      <c r="CX1" s="73"/>
      <c r="CY1" s="73"/>
      <c r="CZ1" s="73"/>
      <c r="DA1" s="73"/>
      <c r="DB1" s="73"/>
      <c r="DC1" s="73"/>
      <c r="DD1" s="73"/>
      <c r="DE1" s="73"/>
      <c r="DF1" s="73"/>
      <c r="DG1" s="73"/>
      <c r="DH1" s="73"/>
      <c r="DI1" s="73"/>
      <c r="DJ1" s="73"/>
      <c r="DK1" s="73"/>
      <c r="DL1" s="73"/>
      <c r="DM1" s="73"/>
      <c r="DN1" s="73"/>
      <c r="DO1" s="73"/>
      <c r="DP1" s="73"/>
      <c r="DQ1" s="73"/>
      <c r="DR1" s="73"/>
      <c r="DS1" s="73"/>
      <c r="DT1" s="73"/>
      <c r="DU1" s="73"/>
      <c r="DV1" s="73"/>
      <c r="DW1" s="73"/>
      <c r="DX1" s="73"/>
      <c r="DY1" s="73"/>
      <c r="DZ1" s="73"/>
      <c r="EA1" s="73"/>
      <c r="EB1" s="73"/>
      <c r="EC1" s="73"/>
      <c r="ED1" s="73"/>
      <c r="EE1" s="73"/>
      <c r="EF1" s="73"/>
      <c r="EG1" s="73"/>
      <c r="EH1" s="73"/>
      <c r="EI1" s="73"/>
      <c r="EJ1" s="73"/>
      <c r="EK1" s="73"/>
      <c r="EL1" s="73"/>
      <c r="EM1" s="73"/>
      <c r="EN1" s="73"/>
      <c r="EO1" s="73"/>
      <c r="EP1" s="73"/>
      <c r="EQ1" s="73"/>
      <c r="ER1" s="73"/>
      <c r="ES1" s="73"/>
      <c r="ET1" s="73"/>
      <c r="EU1" s="73"/>
      <c r="EV1" s="73"/>
      <c r="EW1" s="73"/>
      <c r="EX1" s="73"/>
      <c r="EY1" s="73"/>
      <c r="EZ1" s="73"/>
      <c r="FA1" s="73"/>
      <c r="FB1" s="73"/>
      <c r="FC1" s="73"/>
      <c r="FD1" s="73"/>
      <c r="FE1" s="73"/>
      <c r="FF1" s="73"/>
      <c r="FG1" s="73"/>
      <c r="FH1" s="73"/>
      <c r="FI1" s="73"/>
      <c r="FJ1" s="73"/>
      <c r="FK1" s="73"/>
      <c r="FL1" s="73"/>
      <c r="FM1" s="73"/>
      <c r="FN1" s="73"/>
      <c r="FO1" s="73"/>
      <c r="FP1" s="73"/>
      <c r="FQ1" s="73"/>
      <c r="FR1" s="73"/>
      <c r="FS1" s="73"/>
      <c r="FT1" s="73"/>
      <c r="FU1" s="73"/>
      <c r="FV1" s="73"/>
      <c r="FW1" s="73"/>
      <c r="FX1" s="73"/>
      <c r="FY1" s="73"/>
      <c r="FZ1" s="73"/>
      <c r="GA1" s="73"/>
      <c r="GB1" s="73"/>
      <c r="GC1" s="73"/>
      <c r="GD1" s="73"/>
      <c r="GE1" s="73"/>
      <c r="GF1" s="73"/>
      <c r="GG1" s="73"/>
      <c r="GH1" s="73"/>
      <c r="GI1" s="73"/>
      <c r="GJ1" s="73"/>
      <c r="GK1" s="73"/>
      <c r="GL1" s="73"/>
      <c r="GM1" s="73"/>
      <c r="GN1" s="73"/>
      <c r="GO1" s="73"/>
      <c r="GP1" s="73"/>
      <c r="GQ1" s="73"/>
      <c r="GR1" s="73"/>
      <c r="GS1" s="73"/>
      <c r="GT1" s="73"/>
      <c r="GU1" s="73"/>
      <c r="GV1" s="73"/>
      <c r="GW1" s="73"/>
      <c r="GX1" s="73"/>
      <c r="GY1" s="73"/>
      <c r="GZ1" s="73"/>
      <c r="HA1" s="73"/>
      <c r="HB1" s="73"/>
      <c r="HC1" s="73"/>
      <c r="HD1" s="73"/>
      <c r="HE1" s="73"/>
      <c r="HF1" s="73"/>
      <c r="HG1" s="73"/>
      <c r="HH1" s="73"/>
      <c r="HI1" s="73"/>
      <c r="HJ1" s="73"/>
      <c r="HK1" s="73"/>
      <c r="HL1" s="73"/>
      <c r="HM1" s="73"/>
      <c r="HN1" s="73"/>
      <c r="HO1" s="73"/>
      <c r="HP1" s="73"/>
      <c r="HQ1" s="73"/>
      <c r="HR1" s="73"/>
      <c r="HS1" s="73"/>
      <c r="HT1" s="73"/>
      <c r="HU1" s="73"/>
      <c r="HV1" s="73"/>
      <c r="HW1" s="73"/>
      <c r="HX1" s="73"/>
      <c r="HY1" s="73"/>
      <c r="HZ1" s="73"/>
      <c r="IA1" s="73"/>
      <c r="IB1" s="73"/>
      <c r="IC1" s="73"/>
      <c r="ID1" s="73"/>
      <c r="IE1" s="73"/>
      <c r="IF1" s="73"/>
      <c r="IG1" s="73"/>
      <c r="IH1" s="73"/>
      <c r="II1" s="73"/>
      <c r="IJ1" s="73"/>
      <c r="IK1" s="73"/>
      <c r="IL1" s="73"/>
      <c r="IM1" s="73"/>
      <c r="IN1" s="73"/>
      <c r="IO1" s="73"/>
      <c r="IP1" s="73"/>
      <c r="IQ1" s="73"/>
      <c r="IR1" s="73"/>
      <c r="IS1" s="73"/>
      <c r="IT1" s="73"/>
      <c r="IU1" s="73"/>
      <c r="IV1" s="73"/>
    </row>
    <row r="2" spans="1:256" x14ac:dyDescent="0.25">
      <c r="A2" s="76" t="s">
        <v>19</v>
      </c>
      <c r="B2" s="76" t="s">
        <v>20</v>
      </c>
      <c r="C2" s="78" t="s">
        <v>28</v>
      </c>
      <c r="D2" s="76" t="s">
        <v>811</v>
      </c>
    </row>
    <row r="3" spans="1:256" x14ac:dyDescent="0.25">
      <c r="B3" s="159" t="s">
        <v>7</v>
      </c>
      <c r="C3" s="160">
        <v>39883</v>
      </c>
      <c r="D3" s="161" t="s">
        <v>480</v>
      </c>
    </row>
    <row r="4" spans="1:256" x14ac:dyDescent="0.25">
      <c r="B4" s="159" t="s">
        <v>812</v>
      </c>
      <c r="C4" s="160">
        <v>39883</v>
      </c>
      <c r="D4" s="161" t="s">
        <v>480</v>
      </c>
    </row>
    <row r="5" spans="1:256" x14ac:dyDescent="0.25">
      <c r="B5" s="72" t="s">
        <v>813</v>
      </c>
      <c r="C5" s="160">
        <v>39883</v>
      </c>
      <c r="D5" s="72" t="s">
        <v>814</v>
      </c>
    </row>
    <row r="6" spans="1:256" x14ac:dyDescent="0.25">
      <c r="B6" s="72" t="s">
        <v>815</v>
      </c>
      <c r="C6" s="160">
        <v>39883</v>
      </c>
      <c r="D6" s="72" t="s">
        <v>814</v>
      </c>
    </row>
    <row r="7" spans="1:256" x14ac:dyDescent="0.25">
      <c r="B7" s="72" t="s">
        <v>816</v>
      </c>
      <c r="C7" s="160">
        <v>39883</v>
      </c>
      <c r="D7" s="72" t="s">
        <v>817</v>
      </c>
    </row>
    <row r="8" spans="1:256" x14ac:dyDescent="0.25">
      <c r="B8" s="72" t="s">
        <v>818</v>
      </c>
      <c r="C8" s="160">
        <v>39883</v>
      </c>
      <c r="D8" s="72" t="s">
        <v>819</v>
      </c>
    </row>
    <row r="9" spans="1:256" x14ac:dyDescent="0.25">
      <c r="B9" s="72" t="s">
        <v>820</v>
      </c>
      <c r="C9" s="160">
        <v>39883</v>
      </c>
      <c r="D9" s="72" t="s">
        <v>821</v>
      </c>
    </row>
    <row r="10" spans="1:256" x14ac:dyDescent="0.25">
      <c r="B10" s="72" t="s">
        <v>822</v>
      </c>
      <c r="C10" s="160">
        <v>39883</v>
      </c>
      <c r="D10" s="72" t="s">
        <v>821</v>
      </c>
    </row>
  </sheetData>
  <sheetProtection selectLockedCells="1" selectUnlockedCells="1"/>
  <autoFilter ref="B2:D3"/>
  <printOptions gridLines="1"/>
  <pageMargins left="0.5" right="0.5" top="0.5" bottom="0.5" header="0.51180555555555551" footer="0.51180555555555551"/>
  <pageSetup firstPageNumber="0" fitToHeight="7"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176"/>
  <sheetViews>
    <sheetView workbookViewId="0">
      <selection activeCell="E23" sqref="E23"/>
    </sheetView>
  </sheetViews>
  <sheetFormatPr baseColWidth="10" defaultColWidth="9.140625" defaultRowHeight="15.75" x14ac:dyDescent="0.25"/>
  <cols>
    <col min="1" max="1" width="133.140625" style="169" customWidth="1"/>
    <col min="2" max="256" width="9.140625" style="163"/>
    <col min="257" max="257" width="133.140625" style="163" customWidth="1"/>
    <col min="258" max="512" width="9.140625" style="163"/>
    <col min="513" max="513" width="133.140625" style="163" customWidth="1"/>
    <col min="514" max="768" width="9.140625" style="163"/>
    <col min="769" max="769" width="133.140625" style="163" customWidth="1"/>
    <col min="770" max="1024" width="9.140625" style="163"/>
    <col min="1025" max="1025" width="133.140625" style="163" customWidth="1"/>
    <col min="1026" max="1280" width="9.140625" style="163"/>
    <col min="1281" max="1281" width="133.140625" style="163" customWidth="1"/>
    <col min="1282" max="1536" width="9.140625" style="163"/>
    <col min="1537" max="1537" width="133.140625" style="163" customWidth="1"/>
    <col min="1538" max="1792" width="9.140625" style="163"/>
    <col min="1793" max="1793" width="133.140625" style="163" customWidth="1"/>
    <col min="1794" max="2048" width="9.140625" style="163"/>
    <col min="2049" max="2049" width="133.140625" style="163" customWidth="1"/>
    <col min="2050" max="2304" width="9.140625" style="163"/>
    <col min="2305" max="2305" width="133.140625" style="163" customWidth="1"/>
    <col min="2306" max="2560" width="9.140625" style="163"/>
    <col min="2561" max="2561" width="133.140625" style="163" customWidth="1"/>
    <col min="2562" max="2816" width="9.140625" style="163"/>
    <col min="2817" max="2817" width="133.140625" style="163" customWidth="1"/>
    <col min="2818" max="3072" width="9.140625" style="163"/>
    <col min="3073" max="3073" width="133.140625" style="163" customWidth="1"/>
    <col min="3074" max="3328" width="9.140625" style="163"/>
    <col min="3329" max="3329" width="133.140625" style="163" customWidth="1"/>
    <col min="3330" max="3584" width="9.140625" style="163"/>
    <col min="3585" max="3585" width="133.140625" style="163" customWidth="1"/>
    <col min="3586" max="3840" width="9.140625" style="163"/>
    <col min="3841" max="3841" width="133.140625" style="163" customWidth="1"/>
    <col min="3842" max="4096" width="9.140625" style="163"/>
    <col min="4097" max="4097" width="133.140625" style="163" customWidth="1"/>
    <col min="4098" max="4352" width="9.140625" style="163"/>
    <col min="4353" max="4353" width="133.140625" style="163" customWidth="1"/>
    <col min="4354" max="4608" width="9.140625" style="163"/>
    <col min="4609" max="4609" width="133.140625" style="163" customWidth="1"/>
    <col min="4610" max="4864" width="9.140625" style="163"/>
    <col min="4865" max="4865" width="133.140625" style="163" customWidth="1"/>
    <col min="4866" max="5120" width="9.140625" style="163"/>
    <col min="5121" max="5121" width="133.140625" style="163" customWidth="1"/>
    <col min="5122" max="5376" width="9.140625" style="163"/>
    <col min="5377" max="5377" width="133.140625" style="163" customWidth="1"/>
    <col min="5378" max="5632" width="9.140625" style="163"/>
    <col min="5633" max="5633" width="133.140625" style="163" customWidth="1"/>
    <col min="5634" max="5888" width="9.140625" style="163"/>
    <col min="5889" max="5889" width="133.140625" style="163" customWidth="1"/>
    <col min="5890" max="6144" width="9.140625" style="163"/>
    <col min="6145" max="6145" width="133.140625" style="163" customWidth="1"/>
    <col min="6146" max="6400" width="9.140625" style="163"/>
    <col min="6401" max="6401" width="133.140625" style="163" customWidth="1"/>
    <col min="6402" max="6656" width="9.140625" style="163"/>
    <col min="6657" max="6657" width="133.140625" style="163" customWidth="1"/>
    <col min="6658" max="6912" width="9.140625" style="163"/>
    <col min="6913" max="6913" width="133.140625" style="163" customWidth="1"/>
    <col min="6914" max="7168" width="9.140625" style="163"/>
    <col min="7169" max="7169" width="133.140625" style="163" customWidth="1"/>
    <col min="7170" max="7424" width="9.140625" style="163"/>
    <col min="7425" max="7425" width="133.140625" style="163" customWidth="1"/>
    <col min="7426" max="7680" width="9.140625" style="163"/>
    <col min="7681" max="7681" width="133.140625" style="163" customWidth="1"/>
    <col min="7682" max="7936" width="9.140625" style="163"/>
    <col min="7937" max="7937" width="133.140625" style="163" customWidth="1"/>
    <col min="7938" max="8192" width="9.140625" style="163"/>
    <col min="8193" max="8193" width="133.140625" style="163" customWidth="1"/>
    <col min="8194" max="8448" width="9.140625" style="163"/>
    <col min="8449" max="8449" width="133.140625" style="163" customWidth="1"/>
    <col min="8450" max="8704" width="9.140625" style="163"/>
    <col min="8705" max="8705" width="133.140625" style="163" customWidth="1"/>
    <col min="8706" max="8960" width="9.140625" style="163"/>
    <col min="8961" max="8961" width="133.140625" style="163" customWidth="1"/>
    <col min="8962" max="9216" width="9.140625" style="163"/>
    <col min="9217" max="9217" width="133.140625" style="163" customWidth="1"/>
    <col min="9218" max="9472" width="9.140625" style="163"/>
    <col min="9473" max="9473" width="133.140625" style="163" customWidth="1"/>
    <col min="9474" max="9728" width="9.140625" style="163"/>
    <col min="9729" max="9729" width="133.140625" style="163" customWidth="1"/>
    <col min="9730" max="9984" width="9.140625" style="163"/>
    <col min="9985" max="9985" width="133.140625" style="163" customWidth="1"/>
    <col min="9986" max="10240" width="9.140625" style="163"/>
    <col min="10241" max="10241" width="133.140625" style="163" customWidth="1"/>
    <col min="10242" max="10496" width="9.140625" style="163"/>
    <col min="10497" max="10497" width="133.140625" style="163" customWidth="1"/>
    <col min="10498" max="10752" width="9.140625" style="163"/>
    <col min="10753" max="10753" width="133.140625" style="163" customWidth="1"/>
    <col min="10754" max="11008" width="9.140625" style="163"/>
    <col min="11009" max="11009" width="133.140625" style="163" customWidth="1"/>
    <col min="11010" max="11264" width="9.140625" style="163"/>
    <col min="11265" max="11265" width="133.140625" style="163" customWidth="1"/>
    <col min="11266" max="11520" width="9.140625" style="163"/>
    <col min="11521" max="11521" width="133.140625" style="163" customWidth="1"/>
    <col min="11522" max="11776" width="9.140625" style="163"/>
    <col min="11777" max="11777" width="133.140625" style="163" customWidth="1"/>
    <col min="11778" max="12032" width="9.140625" style="163"/>
    <col min="12033" max="12033" width="133.140625" style="163" customWidth="1"/>
    <col min="12034" max="12288" width="9.140625" style="163"/>
    <col min="12289" max="12289" width="133.140625" style="163" customWidth="1"/>
    <col min="12290" max="12544" width="9.140625" style="163"/>
    <col min="12545" max="12545" width="133.140625" style="163" customWidth="1"/>
    <col min="12546" max="12800" width="9.140625" style="163"/>
    <col min="12801" max="12801" width="133.140625" style="163" customWidth="1"/>
    <col min="12802" max="13056" width="9.140625" style="163"/>
    <col min="13057" max="13057" width="133.140625" style="163" customWidth="1"/>
    <col min="13058" max="13312" width="9.140625" style="163"/>
    <col min="13313" max="13313" width="133.140625" style="163" customWidth="1"/>
    <col min="13314" max="13568" width="9.140625" style="163"/>
    <col min="13569" max="13569" width="133.140625" style="163" customWidth="1"/>
    <col min="13570" max="13824" width="9.140625" style="163"/>
    <col min="13825" max="13825" width="133.140625" style="163" customWidth="1"/>
    <col min="13826" max="14080" width="9.140625" style="163"/>
    <col min="14081" max="14081" width="133.140625" style="163" customWidth="1"/>
    <col min="14082" max="14336" width="9.140625" style="163"/>
    <col min="14337" max="14337" width="133.140625" style="163" customWidth="1"/>
    <col min="14338" max="14592" width="9.140625" style="163"/>
    <col min="14593" max="14593" width="133.140625" style="163" customWidth="1"/>
    <col min="14594" max="14848" width="9.140625" style="163"/>
    <col min="14849" max="14849" width="133.140625" style="163" customWidth="1"/>
    <col min="14850" max="15104" width="9.140625" style="163"/>
    <col min="15105" max="15105" width="133.140625" style="163" customWidth="1"/>
    <col min="15106" max="15360" width="9.140625" style="163"/>
    <col min="15361" max="15361" width="133.140625" style="163" customWidth="1"/>
    <col min="15362" max="15616" width="9.140625" style="163"/>
    <col min="15617" max="15617" width="133.140625" style="163" customWidth="1"/>
    <col min="15618" max="15872" width="9.140625" style="163"/>
    <col min="15873" max="15873" width="133.140625" style="163" customWidth="1"/>
    <col min="15874" max="16128" width="9.140625" style="163"/>
    <col min="16129" max="16129" width="133.140625" style="163" customWidth="1"/>
    <col min="16130" max="16384" width="9.140625" style="163"/>
  </cols>
  <sheetData>
    <row r="1" spans="1:1" ht="21" x14ac:dyDescent="0.35">
      <c r="A1" s="162" t="s">
        <v>1632</v>
      </c>
    </row>
    <row r="2" spans="1:1" ht="47.25" x14ac:dyDescent="0.25">
      <c r="A2" s="164" t="s">
        <v>1633</v>
      </c>
    </row>
    <row r="4" spans="1:1" ht="21" x14ac:dyDescent="0.35">
      <c r="A4" s="165" t="s">
        <v>1634</v>
      </c>
    </row>
    <row r="6" spans="1:1" x14ac:dyDescent="0.25">
      <c r="A6" s="166" t="s">
        <v>1635</v>
      </c>
    </row>
    <row r="7" spans="1:1" ht="31.5" x14ac:dyDescent="0.25">
      <c r="A7" s="164" t="s">
        <v>1636</v>
      </c>
    </row>
    <row r="8" spans="1:1" x14ac:dyDescent="0.25">
      <c r="A8" s="164"/>
    </row>
    <row r="9" spans="1:1" x14ac:dyDescent="0.25">
      <c r="A9" s="166" t="s">
        <v>1637</v>
      </c>
    </row>
    <row r="10" spans="1:1" x14ac:dyDescent="0.25">
      <c r="A10" s="164" t="s">
        <v>1638</v>
      </c>
    </row>
    <row r="11" spans="1:1" x14ac:dyDescent="0.25">
      <c r="A11" s="164"/>
    </row>
    <row r="12" spans="1:1" x14ac:dyDescent="0.25">
      <c r="A12" s="166" t="s">
        <v>1639</v>
      </c>
    </row>
    <row r="13" spans="1:1" ht="31.5" x14ac:dyDescent="0.25">
      <c r="A13" s="164" t="s">
        <v>1640</v>
      </c>
    </row>
    <row r="14" spans="1:1" x14ac:dyDescent="0.25">
      <c r="A14" s="164"/>
    </row>
    <row r="15" spans="1:1" x14ac:dyDescent="0.25">
      <c r="A15" s="166" t="s">
        <v>1641</v>
      </c>
    </row>
    <row r="16" spans="1:1" ht="31.5" x14ac:dyDescent="0.25">
      <c r="A16" s="164" t="s">
        <v>1642</v>
      </c>
    </row>
    <row r="17" spans="1:1" x14ac:dyDescent="0.25">
      <c r="A17" s="164"/>
    </row>
    <row r="18" spans="1:1" x14ac:dyDescent="0.25">
      <c r="A18" s="166" t="s">
        <v>1643</v>
      </c>
    </row>
    <row r="19" spans="1:1" ht="63" x14ac:dyDescent="0.25">
      <c r="A19" s="164" t="s">
        <v>1644</v>
      </c>
    </row>
    <row r="20" spans="1:1" x14ac:dyDescent="0.25">
      <c r="A20" s="164"/>
    </row>
    <row r="21" spans="1:1" x14ac:dyDescent="0.25">
      <c r="A21" s="166" t="s">
        <v>1645</v>
      </c>
    </row>
    <row r="22" spans="1:1" ht="47.25" x14ac:dyDescent="0.25">
      <c r="A22" s="164" t="s">
        <v>1646</v>
      </c>
    </row>
    <row r="23" spans="1:1" x14ac:dyDescent="0.25">
      <c r="A23" s="164"/>
    </row>
    <row r="24" spans="1:1" x14ac:dyDescent="0.25">
      <c r="A24" s="166" t="s">
        <v>1647</v>
      </c>
    </row>
    <row r="25" spans="1:1" x14ac:dyDescent="0.25">
      <c r="A25" s="164" t="s">
        <v>1648</v>
      </c>
    </row>
    <row r="26" spans="1:1" x14ac:dyDescent="0.25">
      <c r="A26" s="164"/>
    </row>
    <row r="27" spans="1:1" x14ac:dyDescent="0.25">
      <c r="A27" s="166" t="s">
        <v>1649</v>
      </c>
    </row>
    <row r="28" spans="1:1" ht="31.5" x14ac:dyDescent="0.25">
      <c r="A28" s="164" t="s">
        <v>1650</v>
      </c>
    </row>
    <row r="29" spans="1:1" x14ac:dyDescent="0.25">
      <c r="A29" s="164"/>
    </row>
    <row r="30" spans="1:1" x14ac:dyDescent="0.25">
      <c r="A30" s="166" t="s">
        <v>1651</v>
      </c>
    </row>
    <row r="31" spans="1:1" ht="31.5" x14ac:dyDescent="0.25">
      <c r="A31" s="164" t="s">
        <v>1652</v>
      </c>
    </row>
    <row r="32" spans="1:1" x14ac:dyDescent="0.25">
      <c r="A32" s="164"/>
    </row>
    <row r="33" spans="1:1" x14ac:dyDescent="0.25">
      <c r="A33" s="166" t="s">
        <v>1653</v>
      </c>
    </row>
    <row r="34" spans="1:1" x14ac:dyDescent="0.25">
      <c r="A34" s="164" t="s">
        <v>1654</v>
      </c>
    </row>
    <row r="35" spans="1:1" x14ac:dyDescent="0.25">
      <c r="A35" s="164"/>
    </row>
    <row r="36" spans="1:1" x14ac:dyDescent="0.25">
      <c r="A36" s="166" t="s">
        <v>1655</v>
      </c>
    </row>
    <row r="37" spans="1:1" x14ac:dyDescent="0.25">
      <c r="A37" s="164" t="s">
        <v>1656</v>
      </c>
    </row>
    <row r="38" spans="1:1" x14ac:dyDescent="0.25">
      <c r="A38" s="164"/>
    </row>
    <row r="39" spans="1:1" x14ac:dyDescent="0.25">
      <c r="A39" s="166" t="s">
        <v>1657</v>
      </c>
    </row>
    <row r="40" spans="1:1" x14ac:dyDescent="0.25">
      <c r="A40" s="164" t="s">
        <v>1658</v>
      </c>
    </row>
    <row r="41" spans="1:1" x14ac:dyDescent="0.25">
      <c r="A41" s="164"/>
    </row>
    <row r="42" spans="1:1" x14ac:dyDescent="0.25">
      <c r="A42" s="166" t="s">
        <v>1659</v>
      </c>
    </row>
    <row r="43" spans="1:1" ht="31.5" x14ac:dyDescent="0.25">
      <c r="A43" s="164" t="s">
        <v>1660</v>
      </c>
    </row>
    <row r="44" spans="1:1" x14ac:dyDescent="0.25">
      <c r="A44" s="164"/>
    </row>
    <row r="45" spans="1:1" x14ac:dyDescent="0.25">
      <c r="A45" s="166" t="s">
        <v>1661</v>
      </c>
    </row>
    <row r="46" spans="1:1" x14ac:dyDescent="0.25">
      <c r="A46" s="164" t="s">
        <v>1662</v>
      </c>
    </row>
    <row r="47" spans="1:1" x14ac:dyDescent="0.25">
      <c r="A47" s="164"/>
    </row>
    <row r="48" spans="1:1" x14ac:dyDescent="0.25">
      <c r="A48" s="166" t="s">
        <v>1663</v>
      </c>
    </row>
    <row r="49" spans="1:1" ht="31.5" x14ac:dyDescent="0.25">
      <c r="A49" s="164" t="s">
        <v>1664</v>
      </c>
    </row>
    <row r="50" spans="1:1" x14ac:dyDescent="0.25">
      <c r="A50" s="164"/>
    </row>
    <row r="51" spans="1:1" x14ac:dyDescent="0.25">
      <c r="A51" s="166" t="s">
        <v>1665</v>
      </c>
    </row>
    <row r="52" spans="1:1" ht="31.5" x14ac:dyDescent="0.25">
      <c r="A52" s="164" t="s">
        <v>1666</v>
      </c>
    </row>
    <row r="53" spans="1:1" x14ac:dyDescent="0.25">
      <c r="A53" s="164"/>
    </row>
    <row r="54" spans="1:1" x14ac:dyDescent="0.25">
      <c r="A54" s="166" t="s">
        <v>1667</v>
      </c>
    </row>
    <row r="55" spans="1:1" x14ac:dyDescent="0.25">
      <c r="A55" s="164" t="s">
        <v>1668</v>
      </c>
    </row>
    <row r="56" spans="1:1" x14ac:dyDescent="0.25">
      <c r="A56" s="164"/>
    </row>
    <row r="57" spans="1:1" x14ac:dyDescent="0.25">
      <c r="A57" s="166" t="s">
        <v>1669</v>
      </c>
    </row>
    <row r="58" spans="1:1" ht="31.5" x14ac:dyDescent="0.25">
      <c r="A58" s="164" t="s">
        <v>1670</v>
      </c>
    </row>
    <row r="59" spans="1:1" x14ac:dyDescent="0.25">
      <c r="A59" s="164"/>
    </row>
    <row r="60" spans="1:1" x14ac:dyDescent="0.25">
      <c r="A60" s="166" t="s">
        <v>1671</v>
      </c>
    </row>
    <row r="61" spans="1:1" ht="47.25" x14ac:dyDescent="0.25">
      <c r="A61" s="164" t="s">
        <v>1672</v>
      </c>
    </row>
    <row r="62" spans="1:1" x14ac:dyDescent="0.25">
      <c r="A62" s="164"/>
    </row>
    <row r="63" spans="1:1" x14ac:dyDescent="0.25">
      <c r="A63" s="166" t="s">
        <v>1673</v>
      </c>
    </row>
    <row r="64" spans="1:1" x14ac:dyDescent="0.25">
      <c r="A64" s="164" t="s">
        <v>1674</v>
      </c>
    </row>
    <row r="65" spans="1:1" x14ac:dyDescent="0.25">
      <c r="A65" s="164"/>
    </row>
    <row r="66" spans="1:1" x14ac:dyDescent="0.25">
      <c r="A66" s="166" t="s">
        <v>1675</v>
      </c>
    </row>
    <row r="67" spans="1:1" ht="31.5" x14ac:dyDescent="0.25">
      <c r="A67" s="164" t="s">
        <v>1676</v>
      </c>
    </row>
    <row r="68" spans="1:1" x14ac:dyDescent="0.25">
      <c r="A68" s="164"/>
    </row>
    <row r="69" spans="1:1" x14ac:dyDescent="0.25">
      <c r="A69" s="166" t="s">
        <v>1677</v>
      </c>
    </row>
    <row r="70" spans="1:1" x14ac:dyDescent="0.25">
      <c r="A70" s="164" t="s">
        <v>1678</v>
      </c>
    </row>
    <row r="71" spans="1:1" x14ac:dyDescent="0.25">
      <c r="A71" s="164"/>
    </row>
    <row r="72" spans="1:1" x14ac:dyDescent="0.25">
      <c r="A72" s="166" t="s">
        <v>1679</v>
      </c>
    </row>
    <row r="73" spans="1:1" x14ac:dyDescent="0.25">
      <c r="A73" s="164" t="s">
        <v>1678</v>
      </c>
    </row>
    <row r="74" spans="1:1" x14ac:dyDescent="0.25">
      <c r="A74" s="164"/>
    </row>
    <row r="75" spans="1:1" x14ac:dyDescent="0.25">
      <c r="A75" s="166" t="s">
        <v>1680</v>
      </c>
    </row>
    <row r="76" spans="1:1" x14ac:dyDescent="0.25">
      <c r="A76" s="164" t="s">
        <v>1681</v>
      </c>
    </row>
    <row r="77" spans="1:1" x14ac:dyDescent="0.25">
      <c r="A77" s="164"/>
    </row>
    <row r="78" spans="1:1" x14ac:dyDescent="0.25">
      <c r="A78" s="166" t="s">
        <v>1682</v>
      </c>
    </row>
    <row r="79" spans="1:1" ht="31.5" x14ac:dyDescent="0.25">
      <c r="A79" s="164" t="s">
        <v>1683</v>
      </c>
    </row>
    <row r="80" spans="1:1" x14ac:dyDescent="0.25">
      <c r="A80" s="164"/>
    </row>
    <row r="81" spans="1:1" x14ac:dyDescent="0.25">
      <c r="A81" s="166" t="s">
        <v>1684</v>
      </c>
    </row>
    <row r="82" spans="1:1" x14ac:dyDescent="0.25">
      <c r="A82" s="164" t="s">
        <v>1685</v>
      </c>
    </row>
    <row r="83" spans="1:1" x14ac:dyDescent="0.25">
      <c r="A83" s="164"/>
    </row>
    <row r="84" spans="1:1" x14ac:dyDescent="0.25">
      <c r="A84" s="166" t="s">
        <v>1686</v>
      </c>
    </row>
    <row r="85" spans="1:1" x14ac:dyDescent="0.25">
      <c r="A85" s="164" t="s">
        <v>1687</v>
      </c>
    </row>
    <row r="87" spans="1:1" ht="21" x14ac:dyDescent="0.35">
      <c r="A87" s="162" t="s">
        <v>1688</v>
      </c>
    </row>
    <row r="89" spans="1:1" x14ac:dyDescent="0.25">
      <c r="A89" s="166" t="s">
        <v>1689</v>
      </c>
    </row>
    <row r="90" spans="1:1" x14ac:dyDescent="0.25">
      <c r="A90" s="164"/>
    </row>
    <row r="91" spans="1:1" ht="31.5" x14ac:dyDescent="0.25">
      <c r="A91" s="164" t="s">
        <v>1690</v>
      </c>
    </row>
    <row r="92" spans="1:1" x14ac:dyDescent="0.25">
      <c r="A92" s="164"/>
    </row>
    <row r="93" spans="1:1" x14ac:dyDescent="0.25">
      <c r="A93" s="164"/>
    </row>
    <row r="94" spans="1:1" x14ac:dyDescent="0.25">
      <c r="A94" s="164"/>
    </row>
    <row r="95" spans="1:1" x14ac:dyDescent="0.25">
      <c r="A95" s="164"/>
    </row>
    <row r="96" spans="1:1" x14ac:dyDescent="0.25">
      <c r="A96" s="164"/>
    </row>
    <row r="97" spans="1:1" x14ac:dyDescent="0.25">
      <c r="A97" s="164"/>
    </row>
    <row r="98" spans="1:1" x14ac:dyDescent="0.25">
      <c r="A98" s="164"/>
    </row>
    <row r="99" spans="1:1" x14ac:dyDescent="0.25">
      <c r="A99" s="164"/>
    </row>
    <row r="100" spans="1:1" x14ac:dyDescent="0.25">
      <c r="A100" s="164"/>
    </row>
    <row r="101" spans="1:1" x14ac:dyDescent="0.25">
      <c r="A101" s="164"/>
    </row>
    <row r="102" spans="1:1" x14ac:dyDescent="0.25">
      <c r="A102" s="164"/>
    </row>
    <row r="103" spans="1:1" x14ac:dyDescent="0.25">
      <c r="A103" s="164"/>
    </row>
    <row r="104" spans="1:1" x14ac:dyDescent="0.25">
      <c r="A104" s="164"/>
    </row>
    <row r="105" spans="1:1" x14ac:dyDescent="0.25">
      <c r="A105" s="164"/>
    </row>
    <row r="106" spans="1:1" x14ac:dyDescent="0.25">
      <c r="A106" s="164"/>
    </row>
    <row r="107" spans="1:1" x14ac:dyDescent="0.25">
      <c r="A107" s="164"/>
    </row>
    <row r="108" spans="1:1" x14ac:dyDescent="0.25">
      <c r="A108" s="164"/>
    </row>
    <row r="109" spans="1:1" x14ac:dyDescent="0.25">
      <c r="A109" s="164"/>
    </row>
    <row r="110" spans="1:1" x14ac:dyDescent="0.25">
      <c r="A110" s="164"/>
    </row>
    <row r="111" spans="1:1" x14ac:dyDescent="0.25">
      <c r="A111" s="164"/>
    </row>
    <row r="112" spans="1:1" x14ac:dyDescent="0.25">
      <c r="A112" s="164"/>
    </row>
    <row r="113" spans="1:1" x14ac:dyDescent="0.25">
      <c r="A113" s="164"/>
    </row>
    <row r="114" spans="1:1" x14ac:dyDescent="0.25">
      <c r="A114" s="164"/>
    </row>
    <row r="115" spans="1:1" x14ac:dyDescent="0.25">
      <c r="A115" s="164"/>
    </row>
    <row r="116" spans="1:1" x14ac:dyDescent="0.25">
      <c r="A116" s="164"/>
    </row>
    <row r="117" spans="1:1" x14ac:dyDescent="0.25">
      <c r="A117" s="164"/>
    </row>
    <row r="118" spans="1:1" x14ac:dyDescent="0.25">
      <c r="A118" s="164"/>
    </row>
    <row r="119" spans="1:1" x14ac:dyDescent="0.25">
      <c r="A119" s="164"/>
    </row>
    <row r="120" spans="1:1" x14ac:dyDescent="0.25">
      <c r="A120" s="164"/>
    </row>
    <row r="121" spans="1:1" x14ac:dyDescent="0.25">
      <c r="A121" s="164"/>
    </row>
    <row r="122" spans="1:1" x14ac:dyDescent="0.25">
      <c r="A122" s="164"/>
    </row>
    <row r="123" spans="1:1" x14ac:dyDescent="0.25">
      <c r="A123" s="164"/>
    </row>
    <row r="124" spans="1:1" x14ac:dyDescent="0.25">
      <c r="A124" s="164"/>
    </row>
    <row r="125" spans="1:1" x14ac:dyDescent="0.25">
      <c r="A125" s="164"/>
    </row>
    <row r="126" spans="1:1" x14ac:dyDescent="0.25">
      <c r="A126" s="164"/>
    </row>
    <row r="127" spans="1:1" x14ac:dyDescent="0.25">
      <c r="A127" s="164"/>
    </row>
    <row r="128" spans="1:1" x14ac:dyDescent="0.25">
      <c r="A128" s="164"/>
    </row>
    <row r="129" spans="1:1" x14ac:dyDescent="0.25">
      <c r="A129" s="164"/>
    </row>
    <row r="130" spans="1:1" x14ac:dyDescent="0.25">
      <c r="A130" s="164"/>
    </row>
    <row r="131" spans="1:1" x14ac:dyDescent="0.25">
      <c r="A131" s="164"/>
    </row>
    <row r="132" spans="1:1" x14ac:dyDescent="0.25">
      <c r="A132" s="166" t="s">
        <v>1691</v>
      </c>
    </row>
    <row r="133" spans="1:1" ht="31.5" x14ac:dyDescent="0.25">
      <c r="A133" s="164" t="s">
        <v>1692</v>
      </c>
    </row>
    <row r="134" spans="1:1" x14ac:dyDescent="0.25">
      <c r="A134" s="164"/>
    </row>
    <row r="135" spans="1:1" x14ac:dyDescent="0.25">
      <c r="A135" s="166" t="s">
        <v>1693</v>
      </c>
    </row>
    <row r="136" spans="1:1" ht="31.5" x14ac:dyDescent="0.25">
      <c r="A136" s="164" t="s">
        <v>1694</v>
      </c>
    </row>
    <row r="137" spans="1:1" x14ac:dyDescent="0.25">
      <c r="A137" s="167" t="s">
        <v>1695</v>
      </c>
    </row>
    <row r="138" spans="1:1" x14ac:dyDescent="0.25">
      <c r="A138" s="167" t="s">
        <v>1696</v>
      </c>
    </row>
    <row r="139" spans="1:1" x14ac:dyDescent="0.25">
      <c r="A139" s="164"/>
    </row>
    <row r="140" spans="1:1" x14ac:dyDescent="0.25">
      <c r="A140" s="166" t="s">
        <v>1697</v>
      </c>
    </row>
    <row r="141" spans="1:1" x14ac:dyDescent="0.25">
      <c r="A141" s="164" t="s">
        <v>1698</v>
      </c>
    </row>
    <row r="142" spans="1:1" x14ac:dyDescent="0.25">
      <c r="A142" s="164"/>
    </row>
    <row r="143" spans="1:1" x14ac:dyDescent="0.25">
      <c r="A143" s="166" t="s">
        <v>1699</v>
      </c>
    </row>
    <row r="144" spans="1:1" x14ac:dyDescent="0.25">
      <c r="A144" s="164" t="s">
        <v>1700</v>
      </c>
    </row>
    <row r="145" spans="1:1" x14ac:dyDescent="0.25">
      <c r="A145" s="168" t="s">
        <v>1701</v>
      </c>
    </row>
    <row r="146" spans="1:1" x14ac:dyDescent="0.25">
      <c r="A146" s="167" t="s">
        <v>1702</v>
      </c>
    </row>
    <row r="147" spans="1:1" x14ac:dyDescent="0.25">
      <c r="A147" s="167" t="s">
        <v>1703</v>
      </c>
    </row>
    <row r="148" spans="1:1" x14ac:dyDescent="0.25">
      <c r="A148" s="167" t="s">
        <v>1704</v>
      </c>
    </row>
    <row r="149" spans="1:1" x14ac:dyDescent="0.25">
      <c r="A149" s="167" t="s">
        <v>1705</v>
      </c>
    </row>
    <row r="150" spans="1:1" x14ac:dyDescent="0.25">
      <c r="A150" s="167" t="s">
        <v>1706</v>
      </c>
    </row>
    <row r="151" spans="1:1" x14ac:dyDescent="0.25">
      <c r="A151" s="167" t="s">
        <v>1707</v>
      </c>
    </row>
    <row r="152" spans="1:1" x14ac:dyDescent="0.25">
      <c r="A152" s="164"/>
    </row>
    <row r="153" spans="1:1" x14ac:dyDescent="0.25">
      <c r="A153" s="166" t="s">
        <v>1708</v>
      </c>
    </row>
    <row r="154" spans="1:1" x14ac:dyDescent="0.25">
      <c r="A154" s="164" t="s">
        <v>1709</v>
      </c>
    </row>
    <row r="155" spans="1:1" x14ac:dyDescent="0.25">
      <c r="A155" s="167" t="s">
        <v>1710</v>
      </c>
    </row>
    <row r="156" spans="1:1" x14ac:dyDescent="0.25">
      <c r="A156" s="164"/>
    </row>
    <row r="157" spans="1:1" x14ac:dyDescent="0.25">
      <c r="A157" s="166" t="s">
        <v>1711</v>
      </c>
    </row>
    <row r="158" spans="1:1" x14ac:dyDescent="0.25">
      <c r="A158" s="164" t="s">
        <v>1712</v>
      </c>
    </row>
    <row r="159" spans="1:1" x14ac:dyDescent="0.25">
      <c r="A159" s="167" t="s">
        <v>1713</v>
      </c>
    </row>
    <row r="160" spans="1:1" x14ac:dyDescent="0.25">
      <c r="A160" s="167" t="s">
        <v>1714</v>
      </c>
    </row>
    <row r="161" spans="1:1" x14ac:dyDescent="0.25">
      <c r="A161" s="167" t="s">
        <v>1715</v>
      </c>
    </row>
    <row r="162" spans="1:1" x14ac:dyDescent="0.25">
      <c r="A162" s="164"/>
    </row>
    <row r="163" spans="1:1" x14ac:dyDescent="0.25">
      <c r="A163" s="166" t="s">
        <v>1716</v>
      </c>
    </row>
    <row r="164" spans="1:1" x14ac:dyDescent="0.25">
      <c r="A164" s="164" t="s">
        <v>1717</v>
      </c>
    </row>
    <row r="165" spans="1:1" x14ac:dyDescent="0.25">
      <c r="A165" s="167" t="s">
        <v>1702</v>
      </c>
    </row>
    <row r="166" spans="1:1" x14ac:dyDescent="0.25">
      <c r="A166" s="167" t="s">
        <v>1718</v>
      </c>
    </row>
    <row r="167" spans="1:1" x14ac:dyDescent="0.25">
      <c r="A167" s="164"/>
    </row>
    <row r="168" spans="1:1" x14ac:dyDescent="0.25">
      <c r="A168" s="166" t="s">
        <v>1719</v>
      </c>
    </row>
    <row r="169" spans="1:1" x14ac:dyDescent="0.25">
      <c r="A169" s="164" t="s">
        <v>1720</v>
      </c>
    </row>
    <row r="170" spans="1:1" x14ac:dyDescent="0.25">
      <c r="A170" s="167" t="s">
        <v>1721</v>
      </c>
    </row>
    <row r="171" spans="1:1" x14ac:dyDescent="0.25">
      <c r="A171" s="164"/>
    </row>
    <row r="172" spans="1:1" x14ac:dyDescent="0.25">
      <c r="A172" s="166" t="s">
        <v>1722</v>
      </c>
    </row>
    <row r="173" spans="1:1" ht="31.5" x14ac:dyDescent="0.25">
      <c r="A173" s="164" t="s">
        <v>1723</v>
      </c>
    </row>
    <row r="174" spans="1:1" x14ac:dyDescent="0.25">
      <c r="A174" s="167" t="s">
        <v>1702</v>
      </c>
    </row>
    <row r="175" spans="1:1" x14ac:dyDescent="0.25">
      <c r="A175" s="167" t="s">
        <v>1724</v>
      </c>
    </row>
    <row r="176" spans="1:1" x14ac:dyDescent="0.25">
      <c r="A176" s="167" t="s">
        <v>1725</v>
      </c>
    </row>
  </sheetData>
  <sheetProtection selectLockedCells="1" selectUnlockedCells="1"/>
  <pageMargins left="0.7" right="0.7" top="0.75" bottom="0.75" header="0.51180555555555551" footer="0.51180555555555551"/>
  <pageSetup firstPageNumber="0"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3</vt:i4>
      </vt:variant>
    </vt:vector>
  </HeadingPairs>
  <TitlesOfParts>
    <vt:vector size="12" baseType="lpstr">
      <vt:lpstr>TM-A0001-AA</vt:lpstr>
      <vt:lpstr>TM-00001-AA</vt:lpstr>
      <vt:lpstr>tblMaterials2013</vt:lpstr>
      <vt:lpstr>tblProcesses2013</vt:lpstr>
      <vt:lpstr>tblProcessMultipliers2013</vt:lpstr>
      <vt:lpstr>tblFasteners2013</vt:lpstr>
      <vt:lpstr>tblToolings2013</vt:lpstr>
      <vt:lpstr>Cross Reference List</vt:lpstr>
      <vt:lpstr>EV</vt:lpstr>
      <vt:lpstr>'Cross Reference List'!Impression_des_titres</vt:lpstr>
      <vt:lpstr>tblMaterials2013!Impression_des_titres</vt:lpstr>
      <vt:lpstr>tblMaterials2013!Zone_d_impression</vt:lpstr>
    </vt:vector>
  </TitlesOfParts>
  <Company>GM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Riley</dc:creator>
  <cp:lastModifiedBy>Philippe Pinard</cp:lastModifiedBy>
  <cp:lastPrinted>2010-03-02T01:18:18Z</cp:lastPrinted>
  <dcterms:created xsi:type="dcterms:W3CDTF">2008-10-07T18:47:36Z</dcterms:created>
  <dcterms:modified xsi:type="dcterms:W3CDTF">2013-02-02T13:58:01Z</dcterms:modified>
</cp:coreProperties>
</file>