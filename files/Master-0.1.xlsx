
<file path=[Content_Types].xml><?xml version="1.0" encoding="utf-8"?>
<Types xmlns="http://schemas.openxmlformats.org/package/2006/content-types">
  <Default Extension="bin" ContentType="application/vnd.openxmlformats-officedocument.spreadsheetml.printerSettings"/>
  <Override PartName="/xl/tables/table3.xml" ContentType="application/vnd.openxmlformats-officedocument.spreadsheetml.table+xml"/>
  <Override PartName="/xl/tables/table4.xml" ContentType="application/vnd.openxmlformats-officedocument.spreadsheetml.table+xml"/>
  <Default Extension="png" ContentType="image/png"/>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105" windowWidth="18960" windowHeight="8250" tabRatio="791" activeTab="1"/>
  </bookViews>
  <sheets>
    <sheet name="TM-A0001-AA" sheetId="29" r:id="rId1"/>
    <sheet name="TM-00001-AA" sheetId="30" r:id="rId2"/>
    <sheet name="tblMaterials" sheetId="20" r:id="rId3"/>
    <sheet name="tblMaterialsCrossReference" sheetId="21" r:id="rId4"/>
    <sheet name="tblProcesses" sheetId="22" r:id="rId5"/>
    <sheet name="tblProcessMultipliers" sheetId="23" r:id="rId6"/>
    <sheet name="tblFasteners" sheetId="24" r:id="rId7"/>
    <sheet name="tblTooling" sheetId="25" r:id="rId8"/>
  </sheets>
  <definedNames>
    <definedName name="_xlnm._FilterDatabase" localSheetId="2" hidden="1">tblMaterials!$B$2:$K$756</definedName>
    <definedName name="_xlnm._FilterDatabase" localSheetId="3" hidden="1">tblMaterialsCrossReference!$A$2:$C$3</definedName>
    <definedName name="_xlnm._FilterDatabase" localSheetId="4" hidden="1">tblProcesses!$B$2:$J$58</definedName>
    <definedName name="Car">#REF!</definedName>
    <definedName name="CompCode">#REF!</definedName>
    <definedName name="_xlnm.Print_Area" localSheetId="6">tblFasteners!$A$1:$R$62</definedName>
    <definedName name="_xlnm.Print_Area" localSheetId="2">tblMaterials!$A$1:$K$634</definedName>
    <definedName name="_xlnm.Print_Area" localSheetId="4">tblProcesses!$A$1:$J$161</definedName>
    <definedName name="_xlnm.Print_Titles" localSheetId="6">tblFasteners!$2:$2</definedName>
    <definedName name="_xlnm.Print_Titles" localSheetId="2">tblMaterials!$2:$2</definedName>
    <definedName name="_xlnm.Print_Titles" localSheetId="4">tblProcesses!$2:$2</definedName>
    <definedName name="_xlnm.Print_Titles" localSheetId="5">tblProcessMultipliers!$2:$2</definedName>
    <definedName name="_xlnm.Print_Titles" localSheetId="7">tblTooling!$2:$2</definedName>
    <definedName name="University">#REF!</definedName>
  </definedNames>
  <calcPr calcId="125725"/>
</workbook>
</file>

<file path=xl/calcChain.xml><?xml version="1.0" encoding="utf-8"?>
<calcChain xmlns="http://schemas.openxmlformats.org/spreadsheetml/2006/main">
  <c r="E19" i="29"/>
  <c r="E18"/>
  <c r="E17"/>
  <c r="E16"/>
  <c r="E15"/>
  <c r="E14"/>
  <c r="E13"/>
  <c r="E12"/>
  <c r="E11"/>
  <c r="G22" i="30"/>
  <c r="D12"/>
  <c r="J17"/>
  <c r="J16"/>
  <c r="J15"/>
  <c r="J14"/>
  <c r="J29" i="29"/>
  <c r="J28"/>
  <c r="J27"/>
  <c r="J26"/>
  <c r="J25"/>
  <c r="D24"/>
  <c r="J24"/>
  <c r="E714" i="20"/>
  <c r="E713"/>
  <c r="L8"/>
  <c r="L7"/>
  <c r="L6"/>
  <c r="L5"/>
  <c r="L4"/>
  <c r="L3"/>
  <c r="I52" i="30"/>
  <c r="E51"/>
  <c r="D51"/>
  <c r="I51" s="1"/>
  <c r="I53" s="1"/>
  <c r="B51"/>
  <c r="J46"/>
  <c r="H46"/>
  <c r="F46"/>
  <c r="D46"/>
  <c r="B46"/>
  <c r="J45"/>
  <c r="H45"/>
  <c r="F45"/>
  <c r="D45"/>
  <c r="B45"/>
  <c r="J44"/>
  <c r="H44"/>
  <c r="F44"/>
  <c r="D44"/>
  <c r="B44"/>
  <c r="J43"/>
  <c r="H43"/>
  <c r="F43"/>
  <c r="D43"/>
  <c r="B43"/>
  <c r="J42"/>
  <c r="H42"/>
  <c r="F42"/>
  <c r="D42"/>
  <c r="B42"/>
  <c r="J41"/>
  <c r="H41"/>
  <c r="F41"/>
  <c r="D41"/>
  <c r="B41"/>
  <c r="J40"/>
  <c r="H40"/>
  <c r="F40"/>
  <c r="D40"/>
  <c r="B40"/>
  <c r="J39"/>
  <c r="J47" s="1"/>
  <c r="H39"/>
  <c r="F39"/>
  <c r="D39"/>
  <c r="B39"/>
  <c r="I34"/>
  <c r="G34"/>
  <c r="H34" s="1"/>
  <c r="E34"/>
  <c r="D34"/>
  <c r="B34"/>
  <c r="I33"/>
  <c r="G33"/>
  <c r="H33" s="1"/>
  <c r="E33"/>
  <c r="D33"/>
  <c r="B33"/>
  <c r="I32"/>
  <c r="G32"/>
  <c r="H32" s="1"/>
  <c r="E32"/>
  <c r="D32"/>
  <c r="B32"/>
  <c r="I31"/>
  <c r="G31"/>
  <c r="H31" s="1"/>
  <c r="E31"/>
  <c r="D31"/>
  <c r="B31"/>
  <c r="I30"/>
  <c r="G30"/>
  <c r="H30" s="1"/>
  <c r="E30"/>
  <c r="D30"/>
  <c r="B30"/>
  <c r="I29"/>
  <c r="G29"/>
  <c r="H29" s="1"/>
  <c r="E29"/>
  <c r="D29"/>
  <c r="B29"/>
  <c r="I28"/>
  <c r="G28"/>
  <c r="H28" s="1"/>
  <c r="E28"/>
  <c r="D28"/>
  <c r="B28"/>
  <c r="I27"/>
  <c r="G27"/>
  <c r="H27" s="1"/>
  <c r="E27"/>
  <c r="D27"/>
  <c r="B27"/>
  <c r="I26"/>
  <c r="G26"/>
  <c r="H26" s="1"/>
  <c r="E26"/>
  <c r="D26"/>
  <c r="B26"/>
  <c r="I25"/>
  <c r="G25"/>
  <c r="H25" s="1"/>
  <c r="E25"/>
  <c r="D25"/>
  <c r="B25"/>
  <c r="I24"/>
  <c r="G24"/>
  <c r="H24" s="1"/>
  <c r="E24"/>
  <c r="D24"/>
  <c r="B24"/>
  <c r="I23"/>
  <c r="G23"/>
  <c r="H23" s="1"/>
  <c r="E23"/>
  <c r="D23"/>
  <c r="B23"/>
  <c r="H22"/>
  <c r="E22"/>
  <c r="D22"/>
  <c r="B22"/>
  <c r="H17"/>
  <c r="F17"/>
  <c r="D17"/>
  <c r="B17"/>
  <c r="H16"/>
  <c r="F16"/>
  <c r="D16"/>
  <c r="B16"/>
  <c r="H15"/>
  <c r="F15"/>
  <c r="D15"/>
  <c r="B15"/>
  <c r="H14"/>
  <c r="F14"/>
  <c r="D14"/>
  <c r="B14"/>
  <c r="H13"/>
  <c r="F13"/>
  <c r="D13"/>
  <c r="J13" s="1"/>
  <c r="B13"/>
  <c r="H12"/>
  <c r="F12"/>
  <c r="J12"/>
  <c r="B12"/>
  <c r="I64" i="29"/>
  <c r="I63"/>
  <c r="E63"/>
  <c r="D63"/>
  <c r="B63"/>
  <c r="I65"/>
  <c r="J58"/>
  <c r="H58"/>
  <c r="F58"/>
  <c r="D58"/>
  <c r="B58"/>
  <c r="J57"/>
  <c r="H57"/>
  <c r="F57"/>
  <c r="D57"/>
  <c r="B57"/>
  <c r="J56"/>
  <c r="H56"/>
  <c r="F56"/>
  <c r="D56"/>
  <c r="B56"/>
  <c r="J55"/>
  <c r="H55"/>
  <c r="F55"/>
  <c r="D55"/>
  <c r="B55"/>
  <c r="J54"/>
  <c r="H54"/>
  <c r="F54"/>
  <c r="D54"/>
  <c r="B54"/>
  <c r="J53"/>
  <c r="H53"/>
  <c r="F53"/>
  <c r="D53"/>
  <c r="B53"/>
  <c r="J52"/>
  <c r="H52"/>
  <c r="F52"/>
  <c r="D52"/>
  <c r="B52"/>
  <c r="J51"/>
  <c r="H51"/>
  <c r="F51"/>
  <c r="D51"/>
  <c r="B51"/>
  <c r="J59"/>
  <c r="I46"/>
  <c r="G46"/>
  <c r="H46" s="1"/>
  <c r="E46"/>
  <c r="D46"/>
  <c r="B46"/>
  <c r="I45"/>
  <c r="G45"/>
  <c r="H45" s="1"/>
  <c r="E45"/>
  <c r="D45"/>
  <c r="B45"/>
  <c r="I44"/>
  <c r="G44"/>
  <c r="H44" s="1"/>
  <c r="E44"/>
  <c r="D44"/>
  <c r="B44"/>
  <c r="I43"/>
  <c r="G43"/>
  <c r="H43" s="1"/>
  <c r="E43"/>
  <c r="D43"/>
  <c r="B43"/>
  <c r="I42"/>
  <c r="G42"/>
  <c r="H42" s="1"/>
  <c r="E42"/>
  <c r="D42"/>
  <c r="B42"/>
  <c r="I41"/>
  <c r="G41"/>
  <c r="H41" s="1"/>
  <c r="E41"/>
  <c r="D41"/>
  <c r="B41"/>
  <c r="I40"/>
  <c r="G40"/>
  <c r="H40" s="1"/>
  <c r="E40"/>
  <c r="D40"/>
  <c r="B40"/>
  <c r="I39"/>
  <c r="G39"/>
  <c r="H39" s="1"/>
  <c r="E39"/>
  <c r="D39"/>
  <c r="B39"/>
  <c r="I38"/>
  <c r="G38"/>
  <c r="H38" s="1"/>
  <c r="E38"/>
  <c r="D38"/>
  <c r="B38"/>
  <c r="I37"/>
  <c r="G37"/>
  <c r="H37" s="1"/>
  <c r="E37"/>
  <c r="D37"/>
  <c r="B37"/>
  <c r="I36"/>
  <c r="G36"/>
  <c r="H36" s="1"/>
  <c r="E36"/>
  <c r="D36"/>
  <c r="B36"/>
  <c r="I35"/>
  <c r="G35"/>
  <c r="H35" s="1"/>
  <c r="E35"/>
  <c r="D35"/>
  <c r="B35"/>
  <c r="G34"/>
  <c r="H29"/>
  <c r="F29"/>
  <c r="D29"/>
  <c r="B29"/>
  <c r="H28"/>
  <c r="F28"/>
  <c r="D28"/>
  <c r="B28"/>
  <c r="H27"/>
  <c r="F27"/>
  <c r="D27"/>
  <c r="B27"/>
  <c r="H26"/>
  <c r="F26"/>
  <c r="D26"/>
  <c r="B26"/>
  <c r="H25"/>
  <c r="F25"/>
  <c r="D25"/>
  <c r="B25"/>
  <c r="H34"/>
  <c r="E34"/>
  <c r="D34"/>
  <c r="I34" s="1"/>
  <c r="I47" s="1"/>
  <c r="B34"/>
  <c r="H24"/>
  <c r="B24"/>
  <c r="F24"/>
  <c r="E20"/>
  <c r="N62" i="24"/>
  <c r="N61"/>
  <c r="N60"/>
  <c r="N52"/>
  <c r="N51"/>
  <c r="N50"/>
  <c r="N47"/>
  <c r="N46"/>
  <c r="N45"/>
  <c r="N41"/>
  <c r="N40"/>
  <c r="N38"/>
  <c r="N37"/>
  <c r="N36"/>
  <c r="N35"/>
  <c r="N34"/>
  <c r="N33"/>
  <c r="N32"/>
  <c r="N28"/>
  <c r="N25"/>
  <c r="N24"/>
  <c r="N23"/>
  <c r="N22"/>
  <c r="N21"/>
  <c r="N20"/>
  <c r="N19"/>
  <c r="N16"/>
  <c r="N15"/>
  <c r="N14"/>
  <c r="N13"/>
  <c r="N12"/>
  <c r="N11"/>
  <c r="N10"/>
  <c r="N9"/>
  <c r="N8"/>
  <c r="N7"/>
  <c r="N6"/>
  <c r="N5"/>
  <c r="N4"/>
  <c r="N3"/>
  <c r="I22" i="30" l="1"/>
  <c r="I35" s="1"/>
  <c r="J30" i="29"/>
  <c r="H1" s="1"/>
  <c r="H4" s="1"/>
  <c r="J18" i="30"/>
  <c r="H1" s="1"/>
  <c r="H5" s="1"/>
</calcChain>
</file>

<file path=xl/sharedStrings.xml><?xml version="1.0" encoding="utf-8"?>
<sst xmlns="http://schemas.openxmlformats.org/spreadsheetml/2006/main" count="4757" uniqueCount="1550">
  <si>
    <t>Unit Cost</t>
  </si>
  <si>
    <t>Quantity</t>
  </si>
  <si>
    <t>Suspension</t>
  </si>
  <si>
    <t>University</t>
  </si>
  <si>
    <t>Tooling</t>
  </si>
  <si>
    <t>Car #</t>
  </si>
  <si>
    <t>Brake System</t>
  </si>
  <si>
    <t>Brake Fluid</t>
  </si>
  <si>
    <t>Engine</t>
  </si>
  <si>
    <t>Air Filter</t>
  </si>
  <si>
    <t>Fuel Filter</t>
  </si>
  <si>
    <t>Pedals</t>
  </si>
  <si>
    <t>Shifter</t>
  </si>
  <si>
    <t>Springs</t>
  </si>
  <si>
    <t>AA</t>
  </si>
  <si>
    <t>Materials</t>
  </si>
  <si>
    <t>Fasteners</t>
  </si>
  <si>
    <t>Processes</t>
  </si>
  <si>
    <t>McGill University</t>
  </si>
  <si>
    <t>Materials Table.  Posted Version 9.7, 03-May-09</t>
  </si>
  <si>
    <t>Material ID</t>
  </si>
  <si>
    <t>Material</t>
  </si>
  <si>
    <t>Supplier</t>
  </si>
  <si>
    <t>Category</t>
  </si>
  <si>
    <t>Table Price</t>
  </si>
  <si>
    <t>Unit 1</t>
  </si>
  <si>
    <t>Unit 2</t>
  </si>
  <si>
    <t>C1</t>
  </si>
  <si>
    <t>C2</t>
  </si>
  <si>
    <t>Modified</t>
  </si>
  <si>
    <t>Comments</t>
  </si>
  <si>
    <t>Any</t>
  </si>
  <si>
    <t>Bearings</t>
  </si>
  <si>
    <t>AIR</t>
  </si>
  <si>
    <t>unit</t>
  </si>
  <si>
    <t>Bearing, Ball, Angular Contact</t>
  </si>
  <si>
    <t>[C1]*(([Size1]^2*[Size2]))^([C2])</t>
  </si>
  <si>
    <t>mm</t>
  </si>
  <si>
    <t>[Size1]=Outer diameter (mm), [Size2]=Thickness (mm).  Not to be used for wheel bearings.</t>
  </si>
  <si>
    <t>Bearing, Ball, Deep Groove</t>
  </si>
  <si>
    <t>Bearing, Ball, Radial</t>
  </si>
  <si>
    <t>Bearing, Cylindrical Roller</t>
  </si>
  <si>
    <t>[C1]*[Size1]*[Size2]+[C2]</t>
  </si>
  <si>
    <t>[Size1]=Outer Diameter (mm).  [Size2]=Length of bearing (mm).  Not for wheel bearing use.</t>
  </si>
  <si>
    <t>Bearing, Double Row, Ball, Angular Contact</t>
  </si>
  <si>
    <t>Bearing, Double Row, Ball, Deep Groove</t>
  </si>
  <si>
    <t>Bearing, Double Row, Ball, Radial</t>
  </si>
  <si>
    <t>Bearing, Linear, Closed</t>
  </si>
  <si>
    <t>[C1]*[Size1]^2*[Size2]+[C2]</t>
  </si>
  <si>
    <t>[Size1]=Outer diameter (mm), [Size2]=Length (mm).  Use with end-supported shafts.</t>
  </si>
  <si>
    <t>Bearing, Linear, Open</t>
  </si>
  <si>
    <t>[Size1]=Outer diameter (mm), [Size2]=Length (mm).  Use with continuously supported shafts or where access to shaft ends is not possible.</t>
  </si>
  <si>
    <t>Bearing, Needle</t>
  </si>
  <si>
    <t>[Size1]=Outer Diameter (mm).  [Size2]=Length of bearing (mm).  Any style of needle bearing.  Not for wheel bearing use.</t>
  </si>
  <si>
    <t>Bearing, Spherical</t>
  </si>
  <si>
    <t>[C1]*[Size1]^2+[C2]</t>
  </si>
  <si>
    <t>[Size1]=bore size (diameter of hole in spherical bearing).</t>
  </si>
  <si>
    <t>Bearing, Tapered Needle</t>
  </si>
  <si>
    <t>[Size1]=Outer diameter (mm), [Size2]=Thickness (mm).  Cost includes outer ring, inner ring and roller assembly.   Not to be used for wheel bearings.</t>
  </si>
  <si>
    <t>Bearing, Tapered Roller</t>
  </si>
  <si>
    <t>Bearing, Thrust Needle Roller, Cage Assembly</t>
  </si>
  <si>
    <t>[Size1]=Outer diameter (mm), [Size2]=Thickness (mm).  Cost includes cage assembly but no washers.   Not to be used for wheel bearings.</t>
  </si>
  <si>
    <t>Bearing, Thrust Needle Roller, Washers</t>
  </si>
  <si>
    <t>[Size1]=Outer diameter (mm), [Size2]=Thickness (mm).  For thrust bearings.   Not to be used for wheel bearings.</t>
  </si>
  <si>
    <t>Bushing, Student Built</t>
  </si>
  <si>
    <t>Student Built</t>
  </si>
  <si>
    <t>Solid material (metal, plastic, etc.).  No moving elements (ball, needle, etc.)</t>
  </si>
  <si>
    <t>Rod End, Aluminum</t>
  </si>
  <si>
    <t>[Size1]=bore size (diameter of hole in spherical bearing).  Includes male/female and left/right threads.</t>
  </si>
  <si>
    <t>Rod End, Industrial</t>
  </si>
  <si>
    <t>Rod End, Precison (Aircraft)</t>
  </si>
  <si>
    <t>Wheel Bearing, Ball, Angular Contact</t>
  </si>
  <si>
    <t>[Size1]=Outer diameter (mm), [Size2]=Thickness (mm).  Higher load capacity bearings intended for wheel/hub applications.</t>
  </si>
  <si>
    <t>Wheel Bearing, Ball, Deep Groove</t>
  </si>
  <si>
    <t>Wheel Bearing, Ball, Radial</t>
  </si>
  <si>
    <t>Wheel Bearing, Double Row, Ball, Angular Contact</t>
  </si>
  <si>
    <t>Wheel Bearing, Double Row, Ball, Deep Groove</t>
  </si>
  <si>
    <t>Wheel Bearing, Double Row, Ball, Radial</t>
  </si>
  <si>
    <t>Wheel Bearing, Tapered Needle</t>
  </si>
  <si>
    <t>Wheel Bearing, Tapered Roller</t>
  </si>
  <si>
    <t>90-Degree Coupler, Tilton 72-560</t>
  </si>
  <si>
    <t>Tilton</t>
  </si>
  <si>
    <t>90-Degree Coupler, Tilton 72-561</t>
  </si>
  <si>
    <t>90-Degree Coupler, Tilton 72-562</t>
  </si>
  <si>
    <t>Balance Bar, AP, CP5500-9</t>
  </si>
  <si>
    <t>AP</t>
  </si>
  <si>
    <t>Balance Bar, Brake, Student Built</t>
  </si>
  <si>
    <t>Balance Bar, Timms Autoteile, 013 901</t>
  </si>
  <si>
    <t>Timms Autoteile</t>
  </si>
  <si>
    <t xml:space="preserve">Balance Bar, Tilton, 72-250 </t>
  </si>
  <si>
    <t>Balance Bar, Tilton, 72-260</t>
  </si>
  <si>
    <t>Balance Bar, Tilton, 72-280</t>
  </si>
  <si>
    <t>Balance Bar, Tilton, 72-281</t>
  </si>
  <si>
    <t>Balance Bar, Tilton, 72-300</t>
  </si>
  <si>
    <t>Brake Caliper Piston, Student Built</t>
  </si>
  <si>
    <t>Brake Caliper, AP, CP2577</t>
  </si>
  <si>
    <t>Brake Caliper, AP, CP3696-6E0</t>
  </si>
  <si>
    <t>Brake Caliper, AP, CP4226</t>
  </si>
  <si>
    <t>Brake Caliper, AP, CP4227</t>
  </si>
  <si>
    <t>Brake Caliper, AP, CP4488</t>
  </si>
  <si>
    <t>Brake Caliper, AP, CP7003</t>
  </si>
  <si>
    <t>AVO</t>
  </si>
  <si>
    <t>Brake Caliper, Brembo, 20.5161.46/P32F</t>
  </si>
  <si>
    <t>Brembo</t>
  </si>
  <si>
    <t>Brake Caliper, Brembo, 20.6101/GP4-24</t>
  </si>
  <si>
    <t>Brake Caliper, Brembo, 20.6950.10</t>
  </si>
  <si>
    <t>Brake Caliper, Brembo, 20.6950.11/P32G</t>
  </si>
  <si>
    <t>Brake Caliper, Brembo, 20.6950.21/P32G</t>
  </si>
  <si>
    <t>Brake Caliper, Brembo, 20.6951.12/P34G</t>
  </si>
  <si>
    <t>Brake Caliper, Brembo, 20.6951.50/P34C</t>
  </si>
  <si>
    <t>Brake Caliper,  Harrison, 121019P</t>
  </si>
  <si>
    <t>Harrison</t>
  </si>
  <si>
    <t>Brake Caliper, Harrison, 222004P</t>
  </si>
  <si>
    <t>Brake Caliper, Harrison, 222005P</t>
  </si>
  <si>
    <t>Brake Caliper, Honda,  45150-HP1-006</t>
  </si>
  <si>
    <t>Honda/Nissin</t>
  </si>
  <si>
    <t>Brake Caliper, Honda, 45150-HN6-006</t>
  </si>
  <si>
    <t>Brake Caliper, ISR, 22-028</t>
  </si>
  <si>
    <t>ISR</t>
  </si>
  <si>
    <t>Brake Caliper, ISR, 22-048</t>
  </si>
  <si>
    <t>Brake Caliper, Motorcycle, OEM (Any)</t>
  </si>
  <si>
    <t>Brake Caliper, NISSIN, 08-1CP-32-15</t>
  </si>
  <si>
    <t>Nissin</t>
  </si>
  <si>
    <t>Brake Caliper, NISSIN, 08-2CP-25-08</t>
  </si>
  <si>
    <t>Brake Caliper, NISSIN, 08-2CT-25-06</t>
  </si>
  <si>
    <t>Brake Caliper, NISSIN, 08-2CT-38-07</t>
  </si>
  <si>
    <t>Brake Caliper, Polaris, 1910825/1910826</t>
  </si>
  <si>
    <t>Polaris</t>
  </si>
  <si>
    <t>Cost applies to either part number (similar part one left hand one right hand)</t>
  </si>
  <si>
    <t>Brake Caliper, PVM, 6-piston Monoblock Radial Mount</t>
  </si>
  <si>
    <t>PVM</t>
  </si>
  <si>
    <t>Brake Caliper, PVM, Front 4-Piston Monoblock Radial Mount</t>
  </si>
  <si>
    <t>Brake Caliper, PVM, Rear 4-Piston Monoblock Radial Mount</t>
  </si>
  <si>
    <t>Brake Caliper, PVM, 2-Piston Monoblock Radial Mount</t>
  </si>
  <si>
    <t>Brake Caliper, Student Built</t>
  </si>
  <si>
    <t>Brake Caliper, Tokico, 45150-MEL-023</t>
  </si>
  <si>
    <t>Tokico</t>
  </si>
  <si>
    <t>Brake Caliper, Wilwood, Billet Dynalite Single</t>
  </si>
  <si>
    <t>Wilwood</t>
  </si>
  <si>
    <t>Brake Caliper, Wilwood, Billet NDL</t>
  </si>
  <si>
    <t>Brake Caliper, Wilwood, Dynalite Single Floater</t>
  </si>
  <si>
    <t>Brake Caliper, Wilwood, DynaPro Radial</t>
  </si>
  <si>
    <t>Brake Caliper, Wilwood, Forged Dynalite</t>
  </si>
  <si>
    <t>Brake Caliper, Wilwood, GP310</t>
  </si>
  <si>
    <t>Brake Caliper, Wilwood, GP320</t>
  </si>
  <si>
    <t>Brake Caliper, Wilwood, Kart</t>
  </si>
  <si>
    <t>Brake Caliper, Wilwood, NDL</t>
  </si>
  <si>
    <t>Brake Caliper, Wilwood, PS-1</t>
  </si>
  <si>
    <t>Brake Hard Line, Any Material (All Cost as Made)</t>
  </si>
  <si>
    <t>Brake Light Pressure Switch Banjo Bolt</t>
  </si>
  <si>
    <t>Brake Pad, Aluminum or MMC Rotor</t>
  </si>
  <si>
    <t>mm^3</t>
  </si>
  <si>
    <t>Volume of pad and backing plate to be included in calculation</t>
  </si>
  <si>
    <t>Brake Pad, Carbon Rotor</t>
  </si>
  <si>
    <t>Please submit Add Item Request</t>
  </si>
  <si>
    <t>Brake Pad, Iron or Steel Rotor</t>
  </si>
  <si>
    <t>Volume of pad and backing plate to be included in calculation.</t>
  </si>
  <si>
    <t>Brake Rotor (All Cost as Made)</t>
  </si>
  <si>
    <t>This item should be cost as made whether the team made it or bought it.  Please see Rule C3.12 for more information.</t>
  </si>
  <si>
    <t>Brake Caliper, Comet 650, Front</t>
  </si>
  <si>
    <t>Master Cylinder, AP, CP2623</t>
  </si>
  <si>
    <t>Master Cylinder, AP, CP3756</t>
  </si>
  <si>
    <t>Master Cylinder, AP, CP4400</t>
  </si>
  <si>
    <t>Master Cylinder, AP, CP5854</t>
  </si>
  <si>
    <t>Master Cylinder, AP, CP5855</t>
  </si>
  <si>
    <t>Master Cylinder, AP, CP6465</t>
  </si>
  <si>
    <t>Master Cylinder, Brembo, 10.4776.10</t>
  </si>
  <si>
    <t>Unit</t>
  </si>
  <si>
    <t>Master Cylinder, Brembo, 10.4776.65</t>
  </si>
  <si>
    <t>Master Cylinder, Brembo, XA3.G1.A2/L2</t>
  </si>
  <si>
    <t>Front Pivot Fixing with Vertical Bearing</t>
  </si>
  <si>
    <t>Master Cylinder, Bremob, 10.9243.54/96</t>
  </si>
  <si>
    <t>Two Bolt Fixing</t>
  </si>
  <si>
    <t>Master Cylinder, Bremob, 10.6815.16/97</t>
  </si>
  <si>
    <t>Single Nut Fixing</t>
  </si>
  <si>
    <t>Master Cylinder, Centric Parts, CE130.51017</t>
  </si>
  <si>
    <t>Centric</t>
  </si>
  <si>
    <t>Master Cylinder, Girling</t>
  </si>
  <si>
    <t>Girling</t>
  </si>
  <si>
    <t>Master Cylinder, New Concept Products, G3</t>
  </si>
  <si>
    <t>New Concept Products</t>
  </si>
  <si>
    <t>Master Cylinder, NISSIN, 08-2RM-14-02</t>
  </si>
  <si>
    <t>Master Cylinder, NISSIN, 08-4RM-15-05</t>
  </si>
  <si>
    <t>Master cylinder, Nissin, 153-M00-125B</t>
  </si>
  <si>
    <t>Master Cylinder, Student Made</t>
  </si>
  <si>
    <t>Master Cylinder, Tilton, Model 73</t>
  </si>
  <si>
    <t>Master Cylinder, Tilton, Model 74</t>
  </si>
  <si>
    <t>Master Cylinder, Tilton, Model 75</t>
  </si>
  <si>
    <t>Master Cylinder, Tilton, Model 76</t>
  </si>
  <si>
    <t>Master Cylinder, Tilton, Model 77</t>
  </si>
  <si>
    <t>Master Cylinder, Wilwood, 260-2636</t>
  </si>
  <si>
    <t>Master Cylinder, Wilwood, 260-5520</t>
  </si>
  <si>
    <t>Proportioning Valve, Hydraulic</t>
  </si>
  <si>
    <t>Proportioning Valve, Tilton, 90-1000</t>
  </si>
  <si>
    <t>Proportioning Valve, Tilton, 90-1003</t>
  </si>
  <si>
    <t>Proportioning Valve, Tilton, 90-2000</t>
  </si>
  <si>
    <t>Proportioning Valve, Tilton, 90-2003</t>
  </si>
  <si>
    <t xml:space="preserve">Remote Brake Bias Adjuster, Tilton 72-408 </t>
  </si>
  <si>
    <t>Remote Brake Bias Adjuster, Tilton 72-501</t>
  </si>
  <si>
    <t>Slave Cylinder, CNC, SERIES 305</t>
  </si>
  <si>
    <t>CNC</t>
  </si>
  <si>
    <t>Hydraulic Fluid Reservoir, Remote (Plastic)</t>
  </si>
  <si>
    <t>Includes lid</t>
  </si>
  <si>
    <t>Adhesive Film</t>
  </si>
  <si>
    <t>Composite</t>
  </si>
  <si>
    <t>m^2</t>
  </si>
  <si>
    <t>Included in composite cost</t>
  </si>
  <si>
    <t>Aramid (Kevlar) Fiber, 1 Ply</t>
  </si>
  <si>
    <t>kg</t>
  </si>
  <si>
    <t>Dry or Pre-Preg.  Both include resin.  Hand trimming allowed.</t>
  </si>
  <si>
    <t>Carbon Fiber, 1 Ply</t>
  </si>
  <si>
    <t>Carbon Fiber Tubes, Purchased (All Cost as Made)</t>
  </si>
  <si>
    <t>Composites</t>
  </si>
  <si>
    <t>Composite Tubes, Purchased (All Cost as Made)</t>
  </si>
  <si>
    <t>Any Size</t>
  </si>
  <si>
    <t>Glass Fiber, 1 Ply</t>
  </si>
  <si>
    <t>e.g. S-Glass.  Dry or Pre-preg.  Both include resin.  Hand trimming allowed.</t>
  </si>
  <si>
    <t>Honeycomb, Aluminum</t>
  </si>
  <si>
    <t>Any cell size and density.  Hand trimming allowed.</t>
  </si>
  <si>
    <t>Honeycomb, Cardboard</t>
  </si>
  <si>
    <t>Honeycomb, Nomex</t>
  </si>
  <si>
    <t>Honeycomb, Plastic</t>
  </si>
  <si>
    <t>Structural Foam</t>
  </si>
  <si>
    <t>Chassis Cntrl Module, +Active Differential</t>
  </si>
  <si>
    <t>Control Module</t>
  </si>
  <si>
    <t>Includes circuit board and circuitry for processing necessary inputs (wheel speed, axle speed, etc) and differential control outputs.  Required Chassis Control Module, Baseline Enclosure.    Sensors and wiring harness not included.</t>
  </si>
  <si>
    <t>Chassis Control Module, +Active Suspension</t>
  </si>
  <si>
    <t>Includes circuit board and circuitry necessary inputs (damper position, velocity, etc) and damper control outputs.  Required Chassis Control Module, Baseline Enclosure.  Sensors and wiring harness not included.</t>
  </si>
  <si>
    <t>Chassis Control Module, +Automatic Shifter</t>
  </si>
  <si>
    <t>Includes circuit board and circuitry for processing sensor input from engine, output to shifter.  Required Chassis Control Module, Baseline Enclosure.  Sensors and wiring harness not included.</t>
  </si>
  <si>
    <t>Chassis Control Module, +Battery Charger</t>
  </si>
  <si>
    <t>Includes circuit board and circuitry for processing battery health input from pack and charging outputs.  Required Chassis Control Module, Baseline Enclosure.  Sensors and wiring harness not included.</t>
  </si>
  <si>
    <t>Chassis Control Module, +Dashboard</t>
  </si>
  <si>
    <t>Includes circuit board and circuitry for processing sensor inputs and dashbboard outputs.  Required Chassis Control Module, Baseline.  Sensors and wiring harness not included.</t>
  </si>
  <si>
    <t>Includes circuit board and circuitry for processing sensor input and output to one (1) engine actuator device.  Include once per actuator in the chassis control module.  Required Chassis Control Module, Baseline.  Sensors and wiring harness not included.</t>
  </si>
  <si>
    <t>Chassis Control Module, +Traction Control</t>
  </si>
  <si>
    <t>Chassis Control Module, Baseline Enclosure</t>
  </si>
  <si>
    <t>Includes enclosure.  This item must be included for all chassis control modules.  Add functionality by adding additional line items.</t>
  </si>
  <si>
    <t>Controller, Active Differential</t>
  </si>
  <si>
    <t>Controller, Active Suspension</t>
  </si>
  <si>
    <t>Datalogger, Motec, ADL</t>
  </si>
  <si>
    <t>MoTeC</t>
  </si>
  <si>
    <t>Datalogger, Motec, ADL2</t>
  </si>
  <si>
    <t>ECU, AEM Plug &amp; Play, AVM-30-1052U</t>
  </si>
  <si>
    <t>AEM</t>
  </si>
  <si>
    <t>ECU, AEM Wire &amp; Play</t>
  </si>
  <si>
    <t>ECU, Autronic, SM4</t>
  </si>
  <si>
    <t>Autronic</t>
  </si>
  <si>
    <t>ECU, Bosch Motorsport, MS4.0 Sport</t>
  </si>
  <si>
    <t>Bosch</t>
  </si>
  <si>
    <t>ECU, Bosch Motorsport, MS4.4 Sport, F01TA20068</t>
  </si>
  <si>
    <t>DTA</t>
  </si>
  <si>
    <t>ECU, DTA, S60 Pro</t>
  </si>
  <si>
    <t>ECU, Dynojet, Power Commender III USB</t>
  </si>
  <si>
    <t>Dynojet</t>
  </si>
  <si>
    <t>Requires OEM ECU to also be included in cost</t>
  </si>
  <si>
    <t>ECU, Electromotive, TEC-GT</t>
  </si>
  <si>
    <t>Electromotive</t>
  </si>
  <si>
    <t>ECU, Haltech, E11v2</t>
  </si>
  <si>
    <t>Haltech</t>
  </si>
  <si>
    <t>6,8 c seq</t>
  </si>
  <si>
    <t>ECU, Haltech, E6x</t>
  </si>
  <si>
    <t>4,6,8 c</t>
  </si>
  <si>
    <t>ECU, Haltech, E8</t>
  </si>
  <si>
    <t>4 c seq</t>
  </si>
  <si>
    <t>ECU, Haltech, Platinum Sport 2000 Long Flying Lead Kit</t>
  </si>
  <si>
    <t>ECU, Link, G4 Storm</t>
  </si>
  <si>
    <t>Link</t>
  </si>
  <si>
    <t>ECU, Megasquirt</t>
  </si>
  <si>
    <t>Megasquirt</t>
  </si>
  <si>
    <t>Assembled with case</t>
  </si>
  <si>
    <t>ECU, Microsquirt</t>
  </si>
  <si>
    <t>ECU, MoTeC, M4</t>
  </si>
  <si>
    <t>ECU, MoTeC, M400</t>
  </si>
  <si>
    <t>ECU, MoTeC, M48</t>
  </si>
  <si>
    <t>ECU, MoTeC, M800</t>
  </si>
  <si>
    <t>ECU, OEM Spark &amp; Fuel</t>
  </si>
  <si>
    <t>Any OEM</t>
  </si>
  <si>
    <t>ECU, OEM Spark Only</t>
  </si>
  <si>
    <t>ECU, OEM Spark, Fuel &amp; Traction Control</t>
  </si>
  <si>
    <t>ECU, Pectel, SQ-6 ECU</t>
  </si>
  <si>
    <t>ECU, Performance Electronics, PE-ECU-1</t>
  </si>
  <si>
    <t>Performance Electronics</t>
  </si>
  <si>
    <t xml:space="preserve">ECU, Simple Digital Systems, EM-4 D </t>
  </si>
  <si>
    <t>Simple Digital Systems</t>
  </si>
  <si>
    <t xml:space="preserve">ECU, Simple Digital Systems, EM-4 E/MSD </t>
  </si>
  <si>
    <t>e.g. 1010, 1025 etc.</t>
  </si>
  <si>
    <t xml:space="preserve">ECU, Simple Digital Systems, EM-4 F </t>
  </si>
  <si>
    <t>e.g. 4130, Chrome Moly, etc.</t>
  </si>
  <si>
    <t>ECU, Student Built, +Active Diff</t>
  </si>
  <si>
    <t>In addition to cost of base student built ECU</t>
  </si>
  <si>
    <t>ECU, Student Built, +Traction Control</t>
  </si>
  <si>
    <t>ECU, Student Built, Spark &amp; Fuel</t>
  </si>
  <si>
    <t>Housing, connector included</t>
  </si>
  <si>
    <t>ECU, Student Built, Spark Only</t>
  </si>
  <si>
    <t>Cable, Pull</t>
  </si>
  <si>
    <t>Controls</t>
  </si>
  <si>
    <t>m</t>
  </si>
  <si>
    <t>Includes cable and housing and integral moutnings at both ends.  Mounting hardware not included</t>
  </si>
  <si>
    <t>Cable, Push/Pull</t>
  </si>
  <si>
    <t>Damper, Cane Creek Double Barrel</t>
  </si>
  <si>
    <t>Cane Creek</t>
  </si>
  <si>
    <t>Damper</t>
  </si>
  <si>
    <t>Damper, Elka Stage-5 MTB</t>
  </si>
  <si>
    <t>Elka</t>
  </si>
  <si>
    <t>Damper, Fox DHX 5.0</t>
  </si>
  <si>
    <t>Fox</t>
  </si>
  <si>
    <t>Damper, Fox Van R</t>
  </si>
  <si>
    <t>Damper, Fox Vanilla R</t>
  </si>
  <si>
    <t>Damper, Koni 3012</t>
  </si>
  <si>
    <t>Koni</t>
  </si>
  <si>
    <t>Damper, Koni, Trax Spax DA, Single Adjustable</t>
  </si>
  <si>
    <t>Damper, Koni, Trax Spax DA, Double Adjustable</t>
  </si>
  <si>
    <t>Damper, Manitou, Swinger 4 Way</t>
  </si>
  <si>
    <t>Damper cost without spring</t>
  </si>
  <si>
    <t>Damper, Marzocchi, Roco TST R</t>
  </si>
  <si>
    <t>Marzocchi</t>
  </si>
  <si>
    <t>Ohlins</t>
  </si>
  <si>
    <t>Penske</t>
  </si>
  <si>
    <t>Damper, Penske 8100</t>
  </si>
  <si>
    <t>Damper, Penske 8300</t>
  </si>
  <si>
    <t>Damper, Penske 8760</t>
  </si>
  <si>
    <t>Damper, Risse Jupiter 5</t>
  </si>
  <si>
    <t>Risse Racing</t>
  </si>
  <si>
    <t>Damper, Risse Jupiter 5R</t>
  </si>
  <si>
    <t>Damper, Risse Jupiter 7R</t>
  </si>
  <si>
    <t>Damper, Tanner</t>
  </si>
  <si>
    <t>Tanner</t>
  </si>
  <si>
    <t>Damper, Team Built</t>
  </si>
  <si>
    <t>Team</t>
  </si>
  <si>
    <t>Damper, Team Built, Reservoir Bladder</t>
  </si>
  <si>
    <t>Damper, ZF Sachs, ETX36/15x</t>
  </si>
  <si>
    <t>ZF Sachs</t>
  </si>
  <si>
    <t>Axle Snubber</t>
  </si>
  <si>
    <t>Drivetrain</t>
  </si>
  <si>
    <t>For example Taylor Race Engineering  plastic snubber</t>
  </si>
  <si>
    <t>Belt</t>
  </si>
  <si>
    <t>Chain</t>
  </si>
  <si>
    <t>Master link included in price of chain.</t>
  </si>
  <si>
    <t>Constant Velocity Joint, Boot</t>
  </si>
  <si>
    <t>Constant Velocity Joint, Plug, Axial Locating</t>
  </si>
  <si>
    <t>Constant Velocity Joint, Rzepa Plunging</t>
  </si>
  <si>
    <t>6-Ball plunging, includes grease</t>
  </si>
  <si>
    <t>Constant Velocity Joint, Rzeppa Fixed</t>
  </si>
  <si>
    <t>6-Ball Non-plunging, includeas grease</t>
  </si>
  <si>
    <t>Constant Velocity Joint, Tripod</t>
  </si>
  <si>
    <t>3-Needle bearing plunging, includes grease</t>
  </si>
  <si>
    <t>Differential Housing (All Cost as Made)</t>
  </si>
  <si>
    <t>Differential Internals, Limited Slip, Cam &amp; Pawl</t>
  </si>
  <si>
    <t>Differential Internals, Limited Slip, Quaife</t>
  </si>
  <si>
    <t>Quaife</t>
  </si>
  <si>
    <t>Differential Internals, Limited Slip, Salisbury or Powerflow or Clutch Style</t>
  </si>
  <si>
    <t>Differential Internals, Limited Slip, Torsen T1</t>
  </si>
  <si>
    <t>Torsen</t>
  </si>
  <si>
    <t>Differential Internals, Limited Slip, Torsen T2</t>
  </si>
  <si>
    <t>Differential Internals, Open Gearset (Any)</t>
  </si>
  <si>
    <t>Pulley (All Cost as Made)</t>
  </si>
  <si>
    <t>Sprocket (All Cost as Made)</t>
  </si>
  <si>
    <t>Universal Joint</t>
  </si>
  <si>
    <t>Battery, Advanced Chemistry (NiMH, Li-Ion, etc.)</t>
  </si>
  <si>
    <t>Electronics</t>
  </si>
  <si>
    <t>Battery, Lead Acid</t>
  </si>
  <si>
    <t>Circuit Breaker, Thermal, Klixon 7277-2-20</t>
  </si>
  <si>
    <t>Klixon</t>
  </si>
  <si>
    <t>Connector, Aerospace Quality</t>
  </si>
  <si>
    <t>pin(s)</t>
  </si>
  <si>
    <t>Connector, Computer  Type</t>
  </si>
  <si>
    <t>Seriel, Parallel, USB, Firewire, etc.</t>
  </si>
  <si>
    <t>Connector, High Power, &gt; 2 Amps</t>
  </si>
  <si>
    <t>Vehicle power, starter, alternator, etc.</t>
  </si>
  <si>
    <t>Connector, OEM Quality</t>
  </si>
  <si>
    <t>Connector, Single Wire</t>
  </si>
  <si>
    <t>wire</t>
  </si>
  <si>
    <t>Any style, any size, per wire end.  Includes, ring, spade, bullet, etc.</t>
  </si>
  <si>
    <t>Display, 7 Segment</t>
  </si>
  <si>
    <t>digit</t>
  </si>
  <si>
    <t>Each digit can represent a single character alpha or numeric</t>
  </si>
  <si>
    <t>Display, LCD (for Student Built Elect. Only), Area</t>
  </si>
  <si>
    <t>[C1]*[Size1]+[C2]</t>
  </si>
  <si>
    <t>cm^2</t>
  </si>
  <si>
    <t>[Size1]=Display surface area (cm^2).  LCD Display when incorporated into or driven off student built electroincs.  Not to be used in place of purchased displays that are part of data acquisition systems, engine controllers, etc.</t>
  </si>
  <si>
    <t>Display, LCD (for Student Built Elect. Only), Rect</t>
  </si>
  <si>
    <t>cm</t>
  </si>
  <si>
    <t>LCD Display when incorporated into or driven off student built electroincs.  Not to be used in place of purchased displays that are part of data acquisition systems, engine controllers, etc.</t>
  </si>
  <si>
    <t>Display, Matrix</t>
  </si>
  <si>
    <t>Fuse Box</t>
  </si>
  <si>
    <t>Use 2 x Number of Fuses and relays to calculate number of pins</t>
  </si>
  <si>
    <t>Fuse, Control</t>
  </si>
  <si>
    <t>Fuse, Power</t>
  </si>
  <si>
    <t>Fuse, Signal</t>
  </si>
  <si>
    <t>Gauge, Analog</t>
  </si>
  <si>
    <t>Any use such as RPM, pressure, temperature, etc.  Includes driver (motor, etc) and needle.</t>
  </si>
  <si>
    <t>Gauge, Analog Housing</t>
  </si>
  <si>
    <t>Used with Gauge, Analog when mounted not integrated into the instrument panel.</t>
  </si>
  <si>
    <t>Gauge, Digital Pro Shifter System, 6187</t>
  </si>
  <si>
    <t>Autometer</t>
  </si>
  <si>
    <t>Heat Shrink Tubing</t>
  </si>
  <si>
    <t>Lamp, Brake with Housing</t>
  </si>
  <si>
    <t>Lamp, Incandescent</t>
  </si>
  <si>
    <t>Lamp, LED</t>
  </si>
  <si>
    <t>Motor, 12 Volt, DC Brush</t>
  </si>
  <si>
    <t>Used for general actuation.  For more specefic motors please submit an Add Item Request.</t>
  </si>
  <si>
    <t>Motor, 12 Volt, DC Brushless Servo</t>
  </si>
  <si>
    <t>Relay, Control</t>
  </si>
  <si>
    <t>Relay, Power</t>
  </si>
  <si>
    <t>Relay, Signal</t>
  </si>
  <si>
    <t>Sensor to CAN Converter</t>
  </si>
  <si>
    <t>Converts analog or digital sensor input to CAN output</t>
  </si>
  <si>
    <t>Servo, 12V</t>
  </si>
  <si>
    <t>Radio Controlled Hobby style servo with built in gear reduction.</t>
  </si>
  <si>
    <t>Solenoid, 12 Volt</t>
  </si>
  <si>
    <t>Switch, Kill</t>
  </si>
  <si>
    <t>Switch, Pushbutton</t>
  </si>
  <si>
    <t>Switch, Rotary Multi-position Selector</t>
  </si>
  <si>
    <t>Switch, Toggle</t>
  </si>
  <si>
    <t>Terminal Block, Wiring</t>
  </si>
  <si>
    <t>Wire Sleeving, Split</t>
  </si>
  <si>
    <t>Wire, Control</t>
  </si>
  <si>
    <t>Wire, Power</t>
  </si>
  <si>
    <t>Wire, Signal</t>
  </si>
  <si>
    <t>Paper,  foam and cotton (K&amp;N type) elements</t>
  </si>
  <si>
    <t>Carburetor</t>
  </si>
  <si>
    <t>Coolant Pump, External Electric</t>
  </si>
  <si>
    <t>Cooling System Air Bleed Valve</t>
  </si>
  <si>
    <t>Dry Sump Pump, Dailey Engineering, 04-00-2162</t>
  </si>
  <si>
    <t>Dailey Engineering</t>
  </si>
  <si>
    <t>Dry Sump Pump, Dailey Engineering, 04-99-2162</t>
  </si>
  <si>
    <t>Dry Sump Pump, Dailey Engineering, 04-99-2162-2</t>
  </si>
  <si>
    <t>Dry Sump Pump, Dailey Engineering, 04-99-2186</t>
  </si>
  <si>
    <t xml:space="preserve">Dry Sump Pump, Dailey Engineering, 04-99-2204 </t>
  </si>
  <si>
    <t>Dry Sump Pump, Dailey Engineering, 04-99-2204-2</t>
  </si>
  <si>
    <t>Dry Sump Pump, Dailey Engineering, 04-99-2264-2</t>
  </si>
  <si>
    <t>Dry Sump Pump, Pace, 2 Stage</t>
  </si>
  <si>
    <t>Pace</t>
  </si>
  <si>
    <t>Any 2 stage Pace pump</t>
  </si>
  <si>
    <t>Dry Sump Pump, Pace, 3 Stage</t>
  </si>
  <si>
    <t>Any 3 stage Pace pump</t>
  </si>
  <si>
    <t>Dry Sump Pump, Pace, Single Stage</t>
  </si>
  <si>
    <t>Any single stage Pace pump</t>
  </si>
  <si>
    <t>Dry Sump Pump, Student Made</t>
  </si>
  <si>
    <t>Engine and Transmission, High Performance (5-10 HP/100 cc)</t>
  </si>
  <si>
    <t>cc</t>
  </si>
  <si>
    <t>Normal motorcycle engines with 2 valves per cylinder,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t>
  </si>
  <si>
    <t>Engine and Transmission, Low Performance (&lt;5 HP/100 cc)</t>
  </si>
  <si>
    <t>Industrial engines,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t>
  </si>
  <si>
    <t>Engine and Transmission, Ultra High Performance (&gt;10 HP/100 cc)</t>
  </si>
  <si>
    <t>New high tech engines, 3-5 valves per cylinder, etc.  Engine cost includes tranmission (whether integral or not by design) and  all components necessary to run including spark plugs, coils, wires, oil filter, etc.  with the exception of the air induction and fuel system components.  Cost includes engine as received by manufacturer but not custom parts such as dry sump pans, PCV changes, etc.  Fully Internal engine changes are free.  If covers or other parts are removed disassembly labor must be included in labor cost.</t>
  </si>
  <si>
    <t>Fuel Check Valve</t>
  </si>
  <si>
    <t>Fuel Injector, E85</t>
  </si>
  <si>
    <t>Fuel Injector, Gasoline</t>
  </si>
  <si>
    <t>Fuel Pressure Regulator, E85</t>
  </si>
  <si>
    <t>Fuel Pressure Regulator, Gasoline</t>
  </si>
  <si>
    <t>Fuel Pump, Carburetor, Gasoline or E85</t>
  </si>
  <si>
    <t>Fuel Pump, Fuel Injected, E85</t>
  </si>
  <si>
    <t>Fuel Pump, Fuel Injected, Gasoline</t>
  </si>
  <si>
    <t>Fuel Rail (All Cost as Made)</t>
  </si>
  <si>
    <t>Heat Exchanger Fan</t>
  </si>
  <si>
    <t>Includes motor and blades</t>
  </si>
  <si>
    <t>Heat Exchanger Fan Shroud (All Cost as Made)</t>
  </si>
  <si>
    <t>Heat Exchanger, Air-to-Air</t>
  </si>
  <si>
    <t>cm^3</t>
  </si>
  <si>
    <t>Includes radiator, oil cooler and others.  Volume based on length * width * height of core.  Cost as made the end caps, filler knecks, etc.</t>
  </si>
  <si>
    <t>Heat Exchanger, Air-to-Liquid</t>
  </si>
  <si>
    <t>Heat Exchanger, Liquid-to-Liquid</t>
  </si>
  <si>
    <t>Muffler (All Cost as Made)</t>
  </si>
  <si>
    <t>Muffler Batting</t>
  </si>
  <si>
    <t>Cost based on total volume of muffler</t>
  </si>
  <si>
    <t>Oil Filter</t>
  </si>
  <si>
    <t>Included in engine cost - Shown only for reference</t>
  </si>
  <si>
    <t>Overflow Bottle, Aluminum Drinking Bottle</t>
  </si>
  <si>
    <t>Overflow Bottle, JAX 1 Qt. Oil Breather Tank</t>
  </si>
  <si>
    <t>Jax</t>
  </si>
  <si>
    <t>Overflow Bottle, JAX, 1 Qt. Recirc. Catch Can</t>
  </si>
  <si>
    <t>Overflow Bottle, Nalgene Bottle</t>
  </si>
  <si>
    <t>Overflow Bottle, Plastic Bottle</t>
  </si>
  <si>
    <t>Overflow Bottle, Plastic Drinking Bottle</t>
  </si>
  <si>
    <t>Overflow Bottle, Student Built</t>
  </si>
  <si>
    <t>Spark Plug Coil</t>
  </si>
  <si>
    <t>Spark Plug Wire</t>
  </si>
  <si>
    <t>Supercharger</t>
  </si>
  <si>
    <t>Includes pulley and bypass valve (if fitted) but no plumbing.</t>
  </si>
  <si>
    <t>Throttle Body (All Cost as Made)</t>
  </si>
  <si>
    <t>Turbocharger</t>
  </si>
  <si>
    <t>Includes waste gate but no plumbing</t>
  </si>
  <si>
    <t>Fluid, Coolant</t>
  </si>
  <si>
    <t>Fluid</t>
  </si>
  <si>
    <t>liter</t>
  </si>
  <si>
    <t>Water or water wetter mixture.  Free.</t>
  </si>
  <si>
    <t>Fluid, Oil</t>
  </si>
  <si>
    <t>Engine oil, differential, hydraulic (brake/clutch), etc.</t>
  </si>
  <si>
    <t>Foam, Fuel Anti-Surge</t>
  </si>
  <si>
    <t>Fuel System</t>
  </si>
  <si>
    <t>Fuel Check Valve, In-line, Aluminum Rollover</t>
  </si>
  <si>
    <t>Fuel Check Valve, In-line, Plastic Rollover</t>
  </si>
  <si>
    <t>Coupling, Shaft, Helical Beam</t>
  </si>
  <si>
    <t>Hardware</t>
  </si>
  <si>
    <t>[Size1]=Coupling Outer Diameter (mm).</t>
  </si>
  <si>
    <t>Grommet, Elastomer</t>
  </si>
  <si>
    <t>Any size, any material</t>
  </si>
  <si>
    <t>Locating Pin, Bullet-Nose Dowel, Steel</t>
  </si>
  <si>
    <t>[Size1]=Dowel diameter (mm)</t>
  </si>
  <si>
    <t>Locating Pin, Liner, Steel</t>
  </si>
  <si>
    <t>[Size1]=Hole diameter for dowel (mm)</t>
  </si>
  <si>
    <t>Piano Hinge, Aluminum</t>
  </si>
  <si>
    <t>[Size1]=Hing pin diameter (mm), [Size2]=Open width (mm).  Hinge cost does not include any holes.</t>
  </si>
  <si>
    <t xml:space="preserve">Mount, Vibration-Damping Sandwich
</t>
  </si>
  <si>
    <t>[Size1]=Mount Outer Diameter (mm).</t>
  </si>
  <si>
    <t>Woodruff Key</t>
  </si>
  <si>
    <t>Any size up to 6.35mm width</t>
  </si>
  <si>
    <t>Adhesive</t>
  </si>
  <si>
    <t>Misc.</t>
  </si>
  <si>
    <t>Included in process cost (brush apply, aerosol apply, etc.).  Includes glue, thread locker, etc.</t>
  </si>
  <si>
    <t>Cable Adjuster</t>
  </si>
  <si>
    <t>Optimum Balance Products</t>
  </si>
  <si>
    <t>Clevis</t>
  </si>
  <si>
    <t>[Size1]=bore size (diameter of hole).  Includes male/female and left/right threads.</t>
  </si>
  <si>
    <t>Filler Cap</t>
  </si>
  <si>
    <t>Fuel, cooling system, etc.</t>
  </si>
  <si>
    <t>Gearbox Oil Temp. Control Valve, GearZmo</t>
  </si>
  <si>
    <t>GearZmo</t>
  </si>
  <si>
    <t>Head Rest Padding</t>
  </si>
  <si>
    <t>Heat Barrier</t>
  </si>
  <si>
    <t>Adhesive film (foil) or matting for reflecting head.</t>
  </si>
  <si>
    <t>Mirror Lens</t>
  </si>
  <si>
    <t>Mirror, Rear View, Housing (All Cost as Made)</t>
  </si>
  <si>
    <t>in^2</t>
  </si>
  <si>
    <t>Paint</t>
  </si>
  <si>
    <t>Roll Hoop Padding</t>
  </si>
  <si>
    <t>Seat (All Cost as Made)</t>
  </si>
  <si>
    <t>Throttle Linkage, Tilton, 72-790</t>
  </si>
  <si>
    <t>Pedal Assembly, Tilton, 72-680</t>
  </si>
  <si>
    <t>Pedal Assembly, Optimum Balance Products OBP0181</t>
  </si>
  <si>
    <t>With bias bar adjustment</t>
  </si>
  <si>
    <t>Adapter, Hex Nipple, Brass</t>
  </si>
  <si>
    <t>Plumbing</t>
  </si>
  <si>
    <t>[Size1]=Pipe Size (mm)</t>
  </si>
  <si>
    <t>Adapter, Hex Nipple, Reducing, Brass</t>
  </si>
  <si>
    <t>[Size1]=Inlet Pipe Size (mm).  [Size2]=Outlet Pipe Size (mm)</t>
  </si>
  <si>
    <t>Adapter/L.P.///Al./Anod.</t>
  </si>
  <si>
    <t>[Size1]=Hose Size (mm), e.g. AN4 = 4/16 inch = 6.35mm.  Low Pressure.</t>
  </si>
  <si>
    <t>Adapter/L.P./Barb to Male Pipe/Elbow/Plastic</t>
  </si>
  <si>
    <t>Up to 25.4mm diameter inlet and outlet size.  Low Pressure.</t>
  </si>
  <si>
    <t>Adapter/L.P./Barb to Male Pipe/Straight/Al./Anod.</t>
  </si>
  <si>
    <t>[Size1]=Inlet Hose Size (mm), [Size2]=Outlet Pipe Size (mm).  Low Pressure.</t>
  </si>
  <si>
    <t>Adapter/L.P./Barb to Male Pipe/Straight/Plastic</t>
  </si>
  <si>
    <t>Adapter/L.P./Barb to Male Pipe/90 Deg./Al./Anod.</t>
  </si>
  <si>
    <t>Adapter/L.P./Bulkhead Male Connector//St./</t>
  </si>
  <si>
    <t>[Size1]=Inlet Hose Size (mm), [Size2]=Outlet Hose Size (mm), e.g. AN4 = 4/16 inch = 6.35mm.  Low Pressure.</t>
  </si>
  <si>
    <t>Adapter/L.P./Bulkhead Run Tee//Al./Anod.</t>
  </si>
  <si>
    <t>[Size1]=Largest Hose Size (mm), [Size2]=2nd Largest Hose Size (mm), e.g. AN4 = 4/16 inch = 6.35mm (use two largest sizes and ignore 3rd outlet).  Low Pressure.</t>
  </si>
  <si>
    <t>Adapter/L.P./Bulkhead Run Tee//St./</t>
  </si>
  <si>
    <t>Adapter/L.P./Bulkhead Tee//Al./Anod.</t>
  </si>
  <si>
    <t>Adapter/L.P./Bulkhead Tee//St./</t>
  </si>
  <si>
    <t>Adapter/L.P./Bulkhead Union//Al./Anod.</t>
  </si>
  <si>
    <t>Adapter/L.P./Bulkhead Union//St./</t>
  </si>
  <si>
    <t>Adapter/L.P./Bulkhead Union/45 deg./Al./Anod.</t>
  </si>
  <si>
    <t>Adapter/L.P./Bulkhead Union/45 deg./St./</t>
  </si>
  <si>
    <t>Adapter/L.P./Bulkhead Union/90 deg./Al./Anod.</t>
  </si>
  <si>
    <t>Adapter/L.P./Bulkhead Union/90 deg./St./</t>
  </si>
  <si>
    <t>Adapter/L.P./Elbow/FeMale to Male Pipe/90 deg./Al./Anod.</t>
  </si>
  <si>
    <t>Adapter/L.P./FeMale Flare Tee//Al./Anod.</t>
  </si>
  <si>
    <t>Adapter/L.P./FeMale Pipe Tee//Al./Anod.</t>
  </si>
  <si>
    <t>Adapter/L.P./FemAle Pipe to Male Flare//St./</t>
  </si>
  <si>
    <t>Adapter/L.P./Male Branch Tee//Al./Anod.</t>
  </si>
  <si>
    <t>Adapter/L.P./Male Flare to Pipe//Al./N.P.</t>
  </si>
  <si>
    <t>Adapter/L.P./Male Flare to Pipe//St./</t>
  </si>
  <si>
    <t>Adapter/L.P./Male Flare to Pipe/45 deg./Al./Anod.</t>
  </si>
  <si>
    <t>Adapter/L.P./Male Flare to Pipe/45 deg./Al./N.P.</t>
  </si>
  <si>
    <t>Adapter/L.P./Male Flare to Pipe/45 deg./St./</t>
  </si>
  <si>
    <t>Adapter/L.P./Male Flare to Pipe/90 deg./Al./Anod.</t>
  </si>
  <si>
    <t>Adapter/L.P./Male Flare to Pipe/90 deg./Al./N.P.</t>
  </si>
  <si>
    <t>Adapter/L.P./Male Flare to Pipe/90 deg./St./</t>
  </si>
  <si>
    <t>Adapter/L.P./Male Pip Nipple//Al./Anod.</t>
  </si>
  <si>
    <t>Adapter/L.P./Male Run Tee//Al./Anod.</t>
  </si>
  <si>
    <t>Adapter/L.P./Male Run Tee//St./</t>
  </si>
  <si>
    <t>Adapter/L.P./Pipe Coupling//Al./Anod.</t>
  </si>
  <si>
    <t>Adapter/L.P./Pipe to Pipe//Al./Anod.</t>
  </si>
  <si>
    <t>[Size1]=Inlet Pipe Size (mm), [Size2]=Outlet Pipe Size (mm), e.g. AN4 = 4/16 inch = 6.35mm.  Low Pressure</t>
  </si>
  <si>
    <t>Adapter/L.P./Union Reducer//Al./Anod.</t>
  </si>
  <si>
    <t>Adapter/L.P./Union Tee//Al./Anod.</t>
  </si>
  <si>
    <t>Adapter/L.P./Union//Al./Anod.</t>
  </si>
  <si>
    <t>Adapter/L.P./Union/90 deg./Al./Anod.</t>
  </si>
  <si>
    <t>Adapter/L.P./Union/FeMale Flare//Al./Anod.</t>
  </si>
  <si>
    <t>Banjo Bolt, Aluminum</t>
  </si>
  <si>
    <t>[Size1]=Thread Size (mm).</t>
  </si>
  <si>
    <t>Banjo Bolt, Steel</t>
  </si>
  <si>
    <t>Banjo Fitting, 45 Deg., Aluminum</t>
  </si>
  <si>
    <t>[Size1]=Inlet Fitting Size (mm).</t>
  </si>
  <si>
    <t>Banjo Fitting, 45 Deg., Steel</t>
  </si>
  <si>
    <t>Banjo Fitting, 90 Deg., Aluminum</t>
  </si>
  <si>
    <t>Banjo Fitting, 90 Deg., Steel</t>
  </si>
  <si>
    <t>Banjo Fitting, Aluminum</t>
  </si>
  <si>
    <t>Banjo Fitting, Double, Aluminum</t>
  </si>
  <si>
    <t>[Size1]=Largest Inlet Fitting Size (mm).</t>
  </si>
  <si>
    <t>Banjo Fitting, Double, Steel</t>
  </si>
  <si>
    <t>Banjo Fitting, Steel</t>
  </si>
  <si>
    <t>Bleedscrew, Hydraulic (Brake, clutch, etc.)</t>
  </si>
  <si>
    <t>unt</t>
  </si>
  <si>
    <t>Any size, material.</t>
  </si>
  <si>
    <t>Break Coupling, Dry, Female, Staubli</t>
  </si>
  <si>
    <t>Staubli</t>
  </si>
  <si>
    <t>Sizes up to 8mm</t>
  </si>
  <si>
    <t>Break Coupling, Dry, Male, Staubli</t>
  </si>
  <si>
    <t>Generant</t>
  </si>
  <si>
    <t>Crush Washer</t>
  </si>
  <si>
    <t>[Size1]=Inner Diameter (mm).  Any material (steel, aluminum, copper, etc.)</t>
  </si>
  <si>
    <t>Drain Plug, Hex Head, Magnetic</t>
  </si>
  <si>
    <t>[Size1]=Threaded Diameter (mm)</t>
  </si>
  <si>
    <t>Drain Plug, Square Head, Magnetic</t>
  </si>
  <si>
    <t>Fitting, Fuel Pressure Gauge</t>
  </si>
  <si>
    <t>12.7mm Barb End (x2), 3.175mm NPT Female</t>
  </si>
  <si>
    <t>Fitting, JT2000, Quick Con. Plug to Flare, 45 Deg.</t>
  </si>
  <si>
    <t>Jiffy-Tite</t>
  </si>
  <si>
    <t>Jiffy-Tite 2000 Series.  Sizes up to 12.7mm Flare</t>
  </si>
  <si>
    <t>Fitting, JT2000, Quick Con. Plug to Flare, 90 Deg.</t>
  </si>
  <si>
    <t>Fitting, JT2000, Quick Con. Plug to Flare, Str.</t>
  </si>
  <si>
    <t>Fitting, JT2000, Quick Con. Socket to Flare, 45 Deg.</t>
  </si>
  <si>
    <t>Fitting, JT2000, Quick Con. Socket to Flare, 90 Deg.</t>
  </si>
  <si>
    <t>Fitting, JT2000, Quick Con. Socket to Flare, Straight</t>
  </si>
  <si>
    <t>Fitting, Push-to-Connect, Plastic, Elbow 90°</t>
  </si>
  <si>
    <t>[Size1]=Tube Outer Diameter, Largest end (mm).</t>
  </si>
  <si>
    <t>Fitting, Push-to-Connect, Plastic, Straight</t>
  </si>
  <si>
    <t>Fitting, Push-to-Connect, Plastic, Tee</t>
  </si>
  <si>
    <t>[Size1]=Tube Outer Diameter (mm)</t>
  </si>
  <si>
    <t>Fitting, Push-to-Connect, Plastic, Wye</t>
  </si>
  <si>
    <t>Fitting, Weld-in, Male, Aluminum</t>
  </si>
  <si>
    <t>[C1]*EXP([C2]*[Size1])</t>
  </si>
  <si>
    <t>[Size1]=Flare Size (mm).  For cost as made oil reservoir tanks, etc.</t>
  </si>
  <si>
    <t>Fitting, Wiggins, Clamshell Assembly</t>
  </si>
  <si>
    <t>Fitting, Wiggins, Coupling Assembly</t>
  </si>
  <si>
    <t>Fitting, Wiggins, Weld Ferrule</t>
  </si>
  <si>
    <t>Fitting/H.P./Elbow/45 deg./St./</t>
  </si>
  <si>
    <t>[Size1]=Hose Size (mm), e.g. AN4 = 4/16 inch = 6.35mm.  High Pressure.</t>
  </si>
  <si>
    <t>Fitting/H.P./Elbow/90 deg./St./</t>
  </si>
  <si>
    <t>Fitting/H.P./MAl.e Flare//Brass/</t>
  </si>
  <si>
    <t>Fitting/H.P./MAl.e Inverted Flare//Brass/</t>
  </si>
  <si>
    <t>Fitting/H.P./MAl.e Inverted Flare//St./</t>
  </si>
  <si>
    <t>Fitting/H.P./MAl.e Inverted Flare/45 deg./St./</t>
  </si>
  <si>
    <t>Fitting/H.P./MAl.e Inverted Flare/90 deg./St./</t>
  </si>
  <si>
    <t>Fitting/H.P./MAl.e Pipe//Brass/</t>
  </si>
  <si>
    <t>Fitting/H.P./MAl.e Pipe//St./</t>
  </si>
  <si>
    <t>Fitting/H.P./Straight//Brass/</t>
  </si>
  <si>
    <t>Fitting/H.P./Straight//St./</t>
  </si>
  <si>
    <t>Fitting/L.P./Cap//Al./Anod.</t>
  </si>
  <si>
    <t>Fitting/L.P./Cap//St./</t>
  </si>
  <si>
    <t>Fitting/L.P./Elbow/120 deg./Al./Anod.</t>
  </si>
  <si>
    <t>Fitting/L.P./Elbow/120 deg./Al./Crimp</t>
  </si>
  <si>
    <t>Fitting/L.P./Elbow/150 deg./Al./Anod.</t>
  </si>
  <si>
    <t>Fitting/L.P./Elbow/150 deg./Al./Crimp</t>
  </si>
  <si>
    <t>Fitting/L.P./Elbow/180 deg./Al./Anod.</t>
  </si>
  <si>
    <t>Fitting/L.P./Elbow/180 deg./Al./Crimp</t>
  </si>
  <si>
    <t>Fitting/L.P./Elbow/30 deg./Al./Anod.</t>
  </si>
  <si>
    <t>Fitting/L.P./Elbow/30 deg./Al./Crimp</t>
  </si>
  <si>
    <t>Fitting/L.P./Elbow/45 deg./Al./Anod.</t>
  </si>
  <si>
    <t>Fitting/L.P./Elbow/45 deg./Al./Crimp</t>
  </si>
  <si>
    <t>Fitting/L.P./Elbow/45 deg./Al./N.P.</t>
  </si>
  <si>
    <t>Fitting/L.P./Elbow/45 deg./St./</t>
  </si>
  <si>
    <t>Fitting/L.P./Elbow/60 deg./Al./Anod.</t>
  </si>
  <si>
    <t>Fitting/L.P./Elbow/60 deg./Al./Crimp</t>
  </si>
  <si>
    <t>Fitting/L.P./Elbow/90 deg./Al./Anod.</t>
  </si>
  <si>
    <t>Fitting/L.P./Elbow/90 deg./Al./Crimp</t>
  </si>
  <si>
    <t>Fitting/L.P./Elbow/90 deg./Al./N.P.</t>
  </si>
  <si>
    <t>Fitting/L.P./Elbow/90 deg./St./</t>
  </si>
  <si>
    <t>Fitting/L.P./Male Flare to Pipe//Al./Anod.</t>
  </si>
  <si>
    <t>Fitting/L.P./Male Pipe//Al./</t>
  </si>
  <si>
    <t>Fitting/L.P./Orb/45 deg./Al./</t>
  </si>
  <si>
    <t>Fitting/L.P./Orb/90 deg./Al./</t>
  </si>
  <si>
    <t>Fitting/L.P./Straight//Al./Anod.</t>
  </si>
  <si>
    <t>Fitting/L.P./Straight//Al./Crimp</t>
  </si>
  <si>
    <t>Fitting/L.P./Straight//Al./N.P.</t>
  </si>
  <si>
    <t>Fitting/L.P./Straight//St./</t>
  </si>
  <si>
    <t>Fitting/L.P./Tee/Flare-Flare-Pipe/St./</t>
  </si>
  <si>
    <t>Fitting/L.P./Tube Nut//Al./Anod.</t>
  </si>
  <si>
    <t>Fitting/L.P./Tube Nut//St./</t>
  </si>
  <si>
    <t>Fitting/L.P./Tube Sleeve//Al./Anod.</t>
  </si>
  <si>
    <t>Fitting/L.P./Tube Sleeve//St./</t>
  </si>
  <si>
    <t>Grease Nipple, 45 Deg.</t>
  </si>
  <si>
    <t>Any size up to 6.35mm</t>
  </si>
  <si>
    <t>Grease Nipple, 90 Deg.</t>
  </si>
  <si>
    <t>Grease Nipple, Straight</t>
  </si>
  <si>
    <t>Hose, High Pressure, Stainless Steel Braided Outer</t>
  </si>
  <si>
    <t>[Size1]=Hose Size (mm).  Cost is per meter of hose.  Hydraulic, CO2, etc. up to 20.7 Mpa.</t>
  </si>
  <si>
    <t>Hose, Low Pressure, Fabric Outer</t>
  </si>
  <si>
    <t xml:space="preserve">[Size1]=Hose Size (mm).  Cost is per meter of hose.  Fuel, oil, coolant, air, etc. up to 7 Mpa.  </t>
  </si>
  <si>
    <t>Hose, Low Pressure, Stainless Steel Braided Outer</t>
  </si>
  <si>
    <t>Hose, Low Presure, Fabric Outer, Socketless</t>
  </si>
  <si>
    <t>[Size1]=Hose Size (mm).  Cost is per meter of hose.   Fuel, oil, coolant, air, etc. up to 1.7 Mpa.</t>
  </si>
  <si>
    <t>Hose, Polyurethane</t>
  </si>
  <si>
    <t>[C1]*[Size1]*[Size2]</t>
  </si>
  <si>
    <t>[Size1]=Outer Diameter (mm).  Price per meter of hose (m).   Same cost with and without fiber reinforcement.  For very low pressure applications such as pneumatic shfiters after regulator.</t>
  </si>
  <si>
    <t>Hose, Rubber</t>
  </si>
  <si>
    <t>[Size1]=Outer Diameter (mm).  Price per meter of hose (m).   Same cost with and without fiber reinforcement.  For very low pressure applications (cooling system, vacuum, carbereutered fuel systems, etc.)</t>
  </si>
  <si>
    <t>[Size1]=Outer Diameter (mm).  Price per meter of hose (m).  Same cost with and without fiber reinforcement.  For very low pressure applications (cooling system, vacuum, carbereutered fuel systems, etc.)</t>
  </si>
  <si>
    <t>Hose, Silicone</t>
  </si>
  <si>
    <t>Locknut/L.P.///St./</t>
  </si>
  <si>
    <t>Locknut/L.P./Flare//Al./Anod.</t>
  </si>
  <si>
    <t>Plug/L.P./Flare//St./</t>
  </si>
  <si>
    <t>Plug/L.P./O-Ring Boss//Al./Anod.</t>
  </si>
  <si>
    <t>Plug/L.P./Pipe/Allen Head/Al./Anod.</t>
  </si>
  <si>
    <t>Rotating Union, GAT, Rotodisk</t>
  </si>
  <si>
    <t>GAT</t>
  </si>
  <si>
    <t>Tubing, Steel</t>
  </si>
  <si>
    <t>Cost using area, length and density and include process cost for flaring of tube ends, etc.  Can also cost off steel or stainless steel raw material (same cost).</t>
  </si>
  <si>
    <t>Aluminum Metal Matrix Composite</t>
  </si>
  <si>
    <t>Raw Material</t>
  </si>
  <si>
    <t>Aluminum, Normal</t>
  </si>
  <si>
    <t>e.g. 2024, 6061, A356, A380</t>
  </si>
  <si>
    <t>Aluminum, Premium</t>
  </si>
  <si>
    <t>e.g. 7075</t>
  </si>
  <si>
    <t>Brass</t>
  </si>
  <si>
    <t>Bronze</t>
  </si>
  <si>
    <t>Copper</t>
  </si>
  <si>
    <t>Foam, Expanding, Non-Structural</t>
  </si>
  <si>
    <t>Expanding foam such as is used for seats.  Not to be used as core in a composite sandwhich panel.</t>
  </si>
  <si>
    <t>Inconel</t>
  </si>
  <si>
    <t>Please submit an Add Item Request</t>
  </si>
  <si>
    <t>Iron</t>
  </si>
  <si>
    <t>Magnesium</t>
  </si>
  <si>
    <t>Nickel</t>
  </si>
  <si>
    <t>Plastic, ABS</t>
  </si>
  <si>
    <t>PVC, Thermoplastic</t>
  </si>
  <si>
    <t>Plastic, Acetal</t>
  </si>
  <si>
    <t>Delrin, Turcite, Acetal Copolymer</t>
  </si>
  <si>
    <t>Plastic, Acrylic</t>
  </si>
  <si>
    <t>Extruded, Cast</t>
  </si>
  <si>
    <t>Plastic, Flouropolymers</t>
  </si>
  <si>
    <t>Teflon® PTFE, PTFE (polytetrafluoroethylene), ETFE (ethylene tetrafluoroethylene), PFA (perfluoroalkoxy fluorocarbon), CTFE (chlorotrifluoroethylene), PVDF (Kynar), ECTFE (Halar), FEP (fluorinated ethylene-propylene), Rulon®</t>
  </si>
  <si>
    <t>Plastic, Garolite</t>
  </si>
  <si>
    <t>Industrial Laminates, Phenolics, Thermosets</t>
  </si>
  <si>
    <t>Plastic, Nylon</t>
  </si>
  <si>
    <t>Nylon 6/6, Nylon 6/12</t>
  </si>
  <si>
    <t>Plastic, PEEK</t>
  </si>
  <si>
    <t>Plastic, Polycarbonate</t>
  </si>
  <si>
    <t>Plastic, Polyethelene</t>
  </si>
  <si>
    <t>LDPE (low density polyethylene), UHMW (ultra high molecular weight), HDPE (high density polyethylene), VHMW (very high molecular weight)</t>
  </si>
  <si>
    <t>Plastic, Polypropolene</t>
  </si>
  <si>
    <t>Plastic, PVC</t>
  </si>
  <si>
    <t>Type I, Type II, CPVC, Expanded Rigid PVC</t>
  </si>
  <si>
    <t>Rubber</t>
  </si>
  <si>
    <t>Silicon Carbide (or any ceramic)</t>
  </si>
  <si>
    <t>Steel, Alloy</t>
  </si>
  <si>
    <t>Steel, Mild</t>
  </si>
  <si>
    <t>Steel, Stainless</t>
  </si>
  <si>
    <t>Titanium</t>
  </si>
  <si>
    <t>e.g. Ti6Al4V</t>
  </si>
  <si>
    <t>Wood, Hard</t>
  </si>
  <si>
    <t>Oak, Maple, Birch</t>
  </si>
  <si>
    <t>Wood, Soft</t>
  </si>
  <si>
    <t>Balsa, Bass</t>
  </si>
  <si>
    <t>Harness, Driver</t>
  </si>
  <si>
    <t>Safety</t>
  </si>
  <si>
    <t>Any harness, any latch style, any number of belts.  Includes harness with built in attachment points but no hardware.</t>
  </si>
  <si>
    <t>Seal, O-Ring, Elastomer</t>
  </si>
  <si>
    <t>Seals</t>
  </si>
  <si>
    <t>Seal, Radial Lip Seal</t>
  </si>
  <si>
    <t>Any Size, any style</t>
  </si>
  <si>
    <t>Sensor, Accelerometer, 1 Axis</t>
  </si>
  <si>
    <t>Sensors</t>
  </si>
  <si>
    <t>Sensor, Accelerometer, 3 Axis</t>
  </si>
  <si>
    <t>Sensor, Air Temperature</t>
  </si>
  <si>
    <t>OEM quality sensor</t>
  </si>
  <si>
    <t>Sensor, Angular Position</t>
  </si>
  <si>
    <t>e.g. Throttle Position Sensor (TPS)</t>
  </si>
  <si>
    <t>Sensor, Fluid Pressure</t>
  </si>
  <si>
    <t>e.g. Wheel Speed Sensor</t>
  </si>
  <si>
    <t>Sensor, LVDT</t>
  </si>
  <si>
    <t>Sensor, Manifold Absolute Pressure (MAP)</t>
  </si>
  <si>
    <t>Sensor, Mass Air Flow (MAF)</t>
  </si>
  <si>
    <t>Sensor, Switching Air Fuel Ratio</t>
  </si>
  <si>
    <t>Switches output (high/low) when transition from rich to lean detected</t>
  </si>
  <si>
    <t>Sensor, Thermocouple</t>
  </si>
  <si>
    <t>Sensor, Two State Position</t>
  </si>
  <si>
    <t>Sensor, Wide Band Air Fuel Raito</t>
  </si>
  <si>
    <t>Output proportional to air fuel ratio</t>
  </si>
  <si>
    <t>Fabric</t>
  </si>
  <si>
    <t>Sheet Material</t>
  </si>
  <si>
    <t>Any fabric including dacron for body covering, seats, etc.</t>
  </si>
  <si>
    <t>Glass</t>
  </si>
  <si>
    <t>Leather</t>
  </si>
  <si>
    <t>Suede</t>
  </si>
  <si>
    <t>CO2 Regulator</t>
  </si>
  <si>
    <t>CO2 Tank, Composite</t>
  </si>
  <si>
    <t>CO2 Tank, Metallic</t>
  </si>
  <si>
    <t>N2 Regulator</t>
  </si>
  <si>
    <t>N2 Tank, Composite</t>
  </si>
  <si>
    <t>N2 Tank, Metallic</t>
  </si>
  <si>
    <t>Pneumatic Cylinder, Double Acting</t>
  </si>
  <si>
    <t>Pneumatic Cylinder, Single Acting</t>
  </si>
  <si>
    <t>Pneumatic Valve, Two Position</t>
  </si>
  <si>
    <t>Two position valve (open/closed).</t>
  </si>
  <si>
    <t>Shifter, Automatic, Kartech, Me-Shifter F1</t>
  </si>
  <si>
    <t>Kartech</t>
  </si>
  <si>
    <t>Shifter, Automatic, Kliktronics</t>
  </si>
  <si>
    <t>Kliktronics</t>
  </si>
  <si>
    <t>Shifter, Automatic, Pingel Easy Shift Kit</t>
  </si>
  <si>
    <t>Pingel</t>
  </si>
  <si>
    <t>Shifter, Automatic, TransLogic TLS-PS1</t>
  </si>
  <si>
    <t>TransLogic</t>
  </si>
  <si>
    <t>units</t>
  </si>
  <si>
    <t>Includes actuator, wiring and 2 buttons.</t>
  </si>
  <si>
    <t>Spring, Compression (General)</t>
  </si>
  <si>
    <t>For all uses requiring forces &lt; 100 N.  Not for suspensions.</t>
  </si>
  <si>
    <t>Spring, Tension (General)</t>
  </si>
  <si>
    <t>Spring, Torsion (General)</t>
  </si>
  <si>
    <t>Suspension Springs, Coil Spring, Steel</t>
  </si>
  <si>
    <t>Any Steel coil compression spring</t>
  </si>
  <si>
    <t>Suspension Springs, Coil Spring, Titanium</t>
  </si>
  <si>
    <t>Titanium Spring</t>
  </si>
  <si>
    <t>Steering Column Universal Joint</t>
  </si>
  <si>
    <t>Steering</t>
  </si>
  <si>
    <t>Steering Pinion (All Cost as Made)</t>
  </si>
  <si>
    <t>Steering Rack (All Cost as Made)</t>
  </si>
  <si>
    <t>Steering Rack Housing (All Cost as Made)</t>
  </si>
  <si>
    <t>Steering Wheel (All Cost as Made)</t>
  </si>
  <si>
    <t>Steering Wheel, Quick Release (All Cost as Made)</t>
  </si>
  <si>
    <t>Tire, Avon, A45, 13"-20.0 x 6.2</t>
  </si>
  <si>
    <t>Avon</t>
  </si>
  <si>
    <t>Tire</t>
  </si>
  <si>
    <t>Tire, Avon, A45, 13"-20.0 x 7.2</t>
  </si>
  <si>
    <t>Tire, Avon, A45, 13"-20.0 x 8.2</t>
  </si>
  <si>
    <t>Tire, Bridgestone, 13"-180mm/510mm</t>
  </si>
  <si>
    <t>Bridgestone</t>
  </si>
  <si>
    <t>Tire, Goodyear, D2692, 13"-20.0 x 7.0</t>
  </si>
  <si>
    <t>Goodyear</t>
  </si>
  <si>
    <t>Tire, Goodyear, R065, 13"-20.0 x 7.0</t>
  </si>
  <si>
    <t>Tire, Goodyear, R075, 13"-20.0 x 7.0</t>
  </si>
  <si>
    <t>Tire, Hoosier, LC0, 10"-18.0 x 6.0</t>
  </si>
  <si>
    <t>Hoosier</t>
  </si>
  <si>
    <t>Tire, Hoosier, LC0, 10"-18.0 x 7.0</t>
  </si>
  <si>
    <t>Tire, Hoosier, R25B, 10"-18.0 x 6.0</t>
  </si>
  <si>
    <t>Tire, Hoosier, R25B, 10"-18.0 x 7.5</t>
  </si>
  <si>
    <t>Tire, Hoosier, R25B, 10"-19.5 x 6.5</t>
  </si>
  <si>
    <t>Tire, Hoosier, R25B, 10"-19.5 x 7.5</t>
  </si>
  <si>
    <t>Tire, Hoosier, R25B, 13"-20.0 x 7.5</t>
  </si>
  <si>
    <t>Tire, Hoosier, R25B, 13"-20.0 x 8.0</t>
  </si>
  <si>
    <t>Tire, Hoosier, R25B, 13"-20.0 x 9.0</t>
  </si>
  <si>
    <t>Tire, Hoosier, R25B, 13"-20.5 x 6.0</t>
  </si>
  <si>
    <t>Tire, Hoosier, R25B, 13"-20.5 x 7.0</t>
  </si>
  <si>
    <t>Tire, Hoosier, Wet, 10"-19.5 x 6.5</t>
  </si>
  <si>
    <t>Tire, Hoosier, Wet, 13"-20.0 x 7.5</t>
  </si>
  <si>
    <t>Tire, Hoosier, Wet, 13"-21.0 x 6.5</t>
  </si>
  <si>
    <t>Tire, Kumho, ECSTA, 13"-170mm/515mm</t>
  </si>
  <si>
    <t>Kumoh</t>
  </si>
  <si>
    <t>Tire, Michelin, P220, 13"-20.9 x 6.3</t>
  </si>
  <si>
    <t>Michelin</t>
  </si>
  <si>
    <t>Tire, Michelin, S6B, 13"-20.9 x 6.3</t>
  </si>
  <si>
    <t>Tire, Treaded Production Car Not Listed Above</t>
  </si>
  <si>
    <t>Valve Stem (and Tire Inflation)</t>
  </si>
  <si>
    <t>Includes tire inflation</t>
  </si>
  <si>
    <t>Wheel Shells, 10", 3 Piece, Keizer, Aluminum</t>
  </si>
  <si>
    <t>Keizer</t>
  </si>
  <si>
    <t>Wheel</t>
  </si>
  <si>
    <t>Wheel shells include outer rim but no center</t>
  </si>
  <si>
    <t>Wheel Shells, 13" Inner, 4" Wide, Kodiak, Aluminum</t>
  </si>
  <si>
    <t>Kodiak</t>
  </si>
  <si>
    <t>Kodiak Part Number I13406</t>
  </si>
  <si>
    <t>Wheel Shells, 13" Inner, 4.5" Wide, Kodiak, Alum.</t>
  </si>
  <si>
    <t>Aluminum.  Kodiak Part Number I134506</t>
  </si>
  <si>
    <t>Wheel Shells, 13" Inner, 5" Wide, Kodiak, Alum.</t>
  </si>
  <si>
    <t>Aluminum.  Kodiak Part Number I113506</t>
  </si>
  <si>
    <t>Wheel Shells, 13" Inner, 6" Wide, Kodiak, Alum.</t>
  </si>
  <si>
    <t>Aluminum.  Kodiak Part Number I13606</t>
  </si>
  <si>
    <t>Wheel Shells, 13" Outer, 1" Wide, Kodiak, Alum.</t>
  </si>
  <si>
    <t>Aluminum.  Kodiak Part Number O13106</t>
  </si>
  <si>
    <t>Wheel Shells, 13" Outer, 1.5" Wide, Kodiak, Alum.</t>
  </si>
  <si>
    <t>Aluminum.  Kodiak Part Number O131506</t>
  </si>
  <si>
    <t>Wheel Shells, 13" Outer, 2" Wide, Kodiak, Alum.</t>
  </si>
  <si>
    <t>Aluminum.  Kodiak Part Number O13206</t>
  </si>
  <si>
    <t>Wheel Shells, 13", 3 Piece, Jongbloed, Alum.</t>
  </si>
  <si>
    <t>Jongbloed</t>
  </si>
  <si>
    <t>Wheel comes with solid center,  no machining for hub attachment</t>
  </si>
  <si>
    <t>Wheel Shells, 13", 3 Piece, Jongbloed, Magnesium</t>
  </si>
  <si>
    <t>Wheel Shells, 13", 3 Piece, Keizer, Aluminum</t>
  </si>
  <si>
    <t>Wheel shells include inner &amp; outer rim but no center</t>
  </si>
  <si>
    <t>Wheel Shells, 13", 3 Piece, Weld, Aluminum</t>
  </si>
  <si>
    <t>Weld</t>
  </si>
  <si>
    <t>Includes  Inner (P850-3478) and Outer (P851-3318)</t>
  </si>
  <si>
    <t>Wheel Weights (and Balancing)</t>
  </si>
  <si>
    <t>Includes weights, balancing and installation labor for wheel weight</t>
  </si>
  <si>
    <t>Wheel, 10", 1 Piece OEM, Aluminum</t>
  </si>
  <si>
    <t>Wheel, 10", 1 Piece OEM, Magnesium</t>
  </si>
  <si>
    <t>Wheel, 10", 1 Piece OEM, Steel</t>
  </si>
  <si>
    <t>Wheel, 10", 1 Piece, Carbon Fiber, Purchased</t>
  </si>
  <si>
    <t>Wheel, 10", 1 Piece, Carbon Fiber, Student Made</t>
  </si>
  <si>
    <t>Wheel, 10", 3 Piece, Keizer, Aluminum</t>
  </si>
  <si>
    <t>Wheel, 13", 1 Piece OEM, Aluminum</t>
  </si>
  <si>
    <t>Wheel, 13", 1 Piece OEM, Magnesium</t>
  </si>
  <si>
    <t>Wheel, 13", 1 Piece OEM, Steel</t>
  </si>
  <si>
    <t>Wheel, 13", 1 Piece, Carbon Fiber, Purchased</t>
  </si>
  <si>
    <t>Wheel, 13", 1 Piece, Carbon Fiber, Student Made</t>
  </si>
  <si>
    <t>Wheel, 13", 1 Piece, Volk  TE37, Aluminum</t>
  </si>
  <si>
    <t>Volk</t>
  </si>
  <si>
    <t>Wheel, 13", 3 Piece, Bogar RT-4, Aluminum</t>
  </si>
  <si>
    <t>Bogar</t>
  </si>
  <si>
    <t>Wheel, 13", 3 Piece, Jongbloed, Aluminum</t>
  </si>
  <si>
    <t>Wheel, 13", 3 Piece, Jongbloed, Magnesium</t>
  </si>
  <si>
    <t>Wheel, 13", 3 Piece, Keizer, Aluminum</t>
  </si>
  <si>
    <t>Wheel, 13", 3 Piece, Keizer, Magnesium</t>
  </si>
  <si>
    <t>Wheel, 13", 3 Piece, Weld, Aluminum</t>
  </si>
  <si>
    <t>Includes center (P613-7096), Inner (P850-3478) and Outer (P851-3318)</t>
  </si>
  <si>
    <t>Wheel, 13", BBS, Magnesium, Cast, R-RE-325</t>
  </si>
  <si>
    <t>BBS</t>
  </si>
  <si>
    <t>Wheel, 13", Magnesium, BBS, Forged</t>
  </si>
  <si>
    <t>Wheel, 15", 1 Piece OEM, Aluminum</t>
  </si>
  <si>
    <t>Wheel, 15", 1 Piece OEM, Magnesium</t>
  </si>
  <si>
    <t>Wheel, 15", 1 Piece OEM, Steel</t>
  </si>
  <si>
    <t>Wheel, 15", 1 Piece, Carbon Fiber, Purchased</t>
  </si>
  <si>
    <t>Wheel, 15", 1 Piece, Carbon Fiber, Student Made</t>
  </si>
  <si>
    <t>Cost As:</t>
  </si>
  <si>
    <t>Differential Oil</t>
  </si>
  <si>
    <t>Radiator Filler Knecks</t>
  </si>
  <si>
    <t>Cost as made</t>
  </si>
  <si>
    <t>Radiator end caps</t>
  </si>
  <si>
    <t>Electrical components (resistors, capacitors, etc.)</t>
  </si>
  <si>
    <t>Chassis Control Module (by function)</t>
  </si>
  <si>
    <t>Brake Hard Lines</t>
  </si>
  <si>
    <t>Cost from raw material (steel, aluminum, etc.) and include process operations to tubing ends</t>
  </si>
  <si>
    <t>Coolant Hose</t>
  </si>
  <si>
    <t>Cost from raw material (rubber, silicone, etc.)</t>
  </si>
  <si>
    <t>Radiator Hose</t>
  </si>
  <si>
    <t>Process Table.  Posted Version 5.1, 03-May-09</t>
  </si>
  <si>
    <t>Process ID</t>
  </si>
  <si>
    <t>Process</t>
  </si>
  <si>
    <t>Tooling Required</t>
  </si>
  <si>
    <t>Near Net Shape</t>
  </si>
  <si>
    <t>Multiplier Type Used</t>
  </si>
  <si>
    <t>None</t>
  </si>
  <si>
    <t/>
  </si>
  <si>
    <t>Die Casting</t>
  </si>
  <si>
    <t>Basic Forming</t>
  </si>
  <si>
    <t>Yes</t>
  </si>
  <si>
    <t>Investment Casting</t>
  </si>
  <si>
    <t>Plastic injection molding</t>
  </si>
  <si>
    <t>Powder Metal Forming</t>
  </si>
  <si>
    <t>Rapid Prototype - Stereo Lith.</t>
  </si>
  <si>
    <t>Sand Casting</t>
  </si>
  <si>
    <t>Exhaust System Ceramic Coating</t>
  </si>
  <si>
    <t>Coating</t>
  </si>
  <si>
    <t>Cure, Autoclave</t>
  </si>
  <si>
    <t>Includes all consumable materials and labor.</t>
  </si>
  <si>
    <t>Cure, Oven</t>
  </si>
  <si>
    <t>Cure, Room Temperature</t>
  </si>
  <si>
    <t>Lamination, Fillament Winding</t>
  </si>
  <si>
    <t>Cost based on finished part mass of composite fibers and resin.</t>
  </si>
  <si>
    <t>Lamination, Manual</t>
  </si>
  <si>
    <t>Potting</t>
  </si>
  <si>
    <t>Cost based on perimeter of insert.  Includes potting compund material cost</t>
  </si>
  <si>
    <t>Resin application, Infusion Molding</t>
  </si>
  <si>
    <t>Resin application, Manual</t>
  </si>
  <si>
    <t>If prepreg composites are used do not included the resin application step.</t>
  </si>
  <si>
    <t>Attach Wire, Fork</t>
  </si>
  <si>
    <t>Electrical - Attach Wires</t>
  </si>
  <si>
    <t>Attach Wire, Quick connect terminal</t>
  </si>
  <si>
    <t>Attach Wire, Ring</t>
  </si>
  <si>
    <t>Attach Wire, Solder wire, bent</t>
  </si>
  <si>
    <t>Attach Wire, Solder wire, not bent</t>
  </si>
  <si>
    <t>Attach Wire, Terminated wire with screw</t>
  </si>
  <si>
    <t>Attach Wire, Terminated wire with screw and nut</t>
  </si>
  <si>
    <t>Attach Wire, Wire to screw</t>
  </si>
  <si>
    <t>Attach Wire, Wire to screw with nut</t>
  </si>
  <si>
    <t>Attach Wire, Wire to terminal block</t>
  </si>
  <si>
    <t>Attach Wire, Wire wrap around terminal post</t>
  </si>
  <si>
    <t>Install Tie Wrap (Zip Tie, Cable Clamp)</t>
  </si>
  <si>
    <t>Electrical - Bundle Install</t>
  </si>
  <si>
    <t>Wire Dressing (Install and route)</t>
  </si>
  <si>
    <t>Insert Bundle Into Tube or Sleeve</t>
  </si>
  <si>
    <t>Electrical - Bundle Processing</t>
  </si>
  <si>
    <t>Install Adhesive Cable Clamp</t>
  </si>
  <si>
    <t>Lace</t>
  </si>
  <si>
    <t>Shrink Tube</t>
  </si>
  <si>
    <t>Taping Wire Bundle</t>
  </si>
  <si>
    <t>Connector Install, Circular, Bayonet</t>
  </si>
  <si>
    <t>Electrical - Connections</t>
  </si>
  <si>
    <t>Connector Install, Circular, Friction</t>
  </si>
  <si>
    <t>Connector Install, Circular, Screw Thread</t>
  </si>
  <si>
    <t>Connector Install, Square, Friction</t>
  </si>
  <si>
    <t>Connector Install, Square, Latch/Snap-on Type</t>
  </si>
  <si>
    <t>Connector Install, Square, Screw (x2)</t>
  </si>
  <si>
    <t>Connector Install, Square, Spring Clip</t>
  </si>
  <si>
    <t>Lay Wire - Control</t>
  </si>
  <si>
    <t>Electrical - Layout</t>
  </si>
  <si>
    <t>Lay Wire - Power</t>
  </si>
  <si>
    <t>Lay Wire - Signal</t>
  </si>
  <si>
    <t>Crimp Wire</t>
  </si>
  <si>
    <t>Electrical - Prep</t>
  </si>
  <si>
    <t>Cut wire</t>
  </si>
  <si>
    <t>Strip Multi-Conductor</t>
  </si>
  <si>
    <t>wire(s)</t>
  </si>
  <si>
    <t>Strip Wire</t>
  </si>
  <si>
    <t>Tin Wire</t>
  </si>
  <si>
    <t>Connector Assembley, Crimp</t>
  </si>
  <si>
    <t>contacts</t>
  </si>
  <si>
    <t>Electrical - Wire in Connector</t>
  </si>
  <si>
    <t>Connector Assembley, Solder</t>
  </si>
  <si>
    <t>Hand - Start Only</t>
  </si>
  <si>
    <t>Hand, Loose &lt;= 25.4 mm</t>
  </si>
  <si>
    <t>Hand, Loose &lt;= 6.35 mm</t>
  </si>
  <si>
    <t>Hand, Loose &gt; 25.4 mm</t>
  </si>
  <si>
    <t>Hand, Tight &lt;= 6.35 mm</t>
  </si>
  <si>
    <t>Power Tool &lt;= 25.4 mm</t>
  </si>
  <si>
    <t>Fastener Installation</t>
  </si>
  <si>
    <t>Power Tool &lt;= 6.35 mm</t>
  </si>
  <si>
    <t>Power Tool &gt; 25.4 mm</t>
  </si>
  <si>
    <t>Ratchet &lt;= 25.4 mm</t>
  </si>
  <si>
    <t>Ratchet &lt;= 6.35 mm</t>
  </si>
  <si>
    <t>Ratchet &gt; 25.4 mm</t>
  </si>
  <si>
    <t>Reaction Tool &lt;= 25.4 mm</t>
  </si>
  <si>
    <t>Reaction Tool &lt;= 6.35 mm</t>
  </si>
  <si>
    <t>Reaction Tool &gt; 25.4 mm</t>
  </si>
  <si>
    <t>Screwdriver &lt; 1 Turn</t>
  </si>
  <si>
    <t>Screwdriver &gt; 1 Turn</t>
  </si>
  <si>
    <t>Wrench &lt;= 25.4 mm</t>
  </si>
  <si>
    <t>Wrench &lt;= 6.35 mm</t>
  </si>
  <si>
    <t>Wrench &gt; 25.4 mm</t>
  </si>
  <si>
    <t>Braze</t>
  </si>
  <si>
    <t>Joining</t>
  </si>
  <si>
    <t>Sewing</t>
  </si>
  <si>
    <t>Adjustment - Misc.</t>
  </si>
  <si>
    <t>Labor</t>
  </si>
  <si>
    <t>Chain tension, etc.</t>
  </si>
  <si>
    <t>Aerosol Apply</t>
  </si>
  <si>
    <t>Annodize</t>
  </si>
  <si>
    <t>It is not necessary to include any cost for annodizing.  Included for reference only.</t>
  </si>
  <si>
    <t>Assemble, &gt;20 kg, Interference</t>
  </si>
  <si>
    <t>Assembly</t>
  </si>
  <si>
    <t>Assemble, &gt;20 kg, Line-on-Line</t>
  </si>
  <si>
    <t>Assemble, &gt;20 kg, Loose</t>
  </si>
  <si>
    <t>Assemble, 1 kg, Interference</t>
  </si>
  <si>
    <t>Assemble, 1 kg, Line-on-Line</t>
  </si>
  <si>
    <t>Assemble, 1 kg, Loose</t>
  </si>
  <si>
    <t>Assemble, 10 kg, Interference</t>
  </si>
  <si>
    <t>Assemble, 10 kg, Line-on-Line</t>
  </si>
  <si>
    <t>Assemble, 10 kg, Loose</t>
  </si>
  <si>
    <t>Assemble, 15 kg, Interference</t>
  </si>
  <si>
    <t>Assemble, 15 kg, Line-on-Line</t>
  </si>
  <si>
    <t>Assemble, 15 kg, Loose</t>
  </si>
  <si>
    <t>Assemble, 20 kg, Interference</t>
  </si>
  <si>
    <t>Assemble, 20 kg, Line-on-Line</t>
  </si>
  <si>
    <t>Assemble, 20 kg, Loose</t>
  </si>
  <si>
    <t>Assemble, 3 kg, Interference</t>
  </si>
  <si>
    <t>Assemble, 3 kg, Line-on-Line</t>
  </si>
  <si>
    <t>Assemble, 3 kg, Loose</t>
  </si>
  <si>
    <t>Assemble, 5 kg, Interference</t>
  </si>
  <si>
    <t>Assemble, 5 kg, Line-on-Line</t>
  </si>
  <si>
    <t>Assemble, 5 kg, Loose</t>
  </si>
  <si>
    <t>Brake Bleed - Per Bleeder Valve</t>
  </si>
  <si>
    <t>Brush Apply</t>
  </si>
  <si>
    <t>For use with glue, adhesives, paint, resin, etc.</t>
  </si>
  <si>
    <t>Cut (scissors, knife)</t>
  </si>
  <si>
    <t>Heat Treatment</t>
  </si>
  <si>
    <t>It is not necessary to include any cost for heat treatment.  Included for reference only.</t>
  </si>
  <si>
    <t>Liquid Applicator Gun</t>
  </si>
  <si>
    <t>Liquid Apply - Pour Expanding Foam</t>
  </si>
  <si>
    <t>m^3</t>
  </si>
  <si>
    <t>Cost based on volume of fully expanded final part before trimming</t>
  </si>
  <si>
    <t>Liquid Apply - Spot</t>
  </si>
  <si>
    <t>Machining Setup, Change</t>
  </si>
  <si>
    <t>The quantity for this process may be used to scale the cost to the number of parts yielded from each setup.  For example if 4 parts can be machined from a single plate then the quantity per part may be set to 0.25 to spread the cost out over each part.</t>
  </si>
  <si>
    <t>Machining Setup, Install and remove</t>
  </si>
  <si>
    <t>The quantity for this process may be used to scale the cost to the number of parts yielded from each setup.  For example if 4 parts can be machined from a single plate then the quantity per part may be 0.25 to spread the cost out over each part.</t>
  </si>
  <si>
    <t>Riveting</t>
  </si>
  <si>
    <t>Safety Wire, Install</t>
  </si>
  <si>
    <t>Unit includes each item or hole included in safety wire path.  One item could include bolt, nut, hole in an axle, hub, etc.</t>
  </si>
  <si>
    <t>Suspension Setup - Solid Axle (per corner)</t>
  </si>
  <si>
    <t>Suspension Setup-Independent Susp. (per corner)</t>
  </si>
  <si>
    <t>Tape</t>
  </si>
  <si>
    <t>Broach, External</t>
  </si>
  <si>
    <t>Material Removal</t>
  </si>
  <si>
    <t>Linear distance of broach</t>
  </si>
  <si>
    <t>Broach, Internal</t>
  </si>
  <si>
    <t>Drilled hole &lt; 50.8 mm dia.</t>
  </si>
  <si>
    <t>hole</t>
  </si>
  <si>
    <t>Drill &amp; Tap</t>
  </si>
  <si>
    <t>Holes &gt;= 50.8 mm must be machined</t>
  </si>
  <si>
    <t>Drilled holes &lt; 25.4 mm dia.</t>
  </si>
  <si>
    <t>EDM - Plunge</t>
  </si>
  <si>
    <t>Machining</t>
  </si>
  <si>
    <t>EDM - Wire</t>
  </si>
  <si>
    <t>Grind, Cylindrical</t>
  </si>
  <si>
    <t>0.25mm machine stock</t>
  </si>
  <si>
    <t>Grind, Flat</t>
  </si>
  <si>
    <t>Grind, Profile</t>
  </si>
  <si>
    <t>Hand Finish - Material Removal</t>
  </si>
  <si>
    <t>Hand sanding, grinding, shaping.  Any manual material removal process.</t>
  </si>
  <si>
    <t>Hand Finish - Surface Preperation</t>
  </si>
  <si>
    <t>Hand sanding, cleaning or other operations used to prepare the surface, such as for bonding.</t>
  </si>
  <si>
    <t>Knurling</t>
  </si>
  <si>
    <t>Linear distance of knurl on part (length of knurl, not diameter)</t>
  </si>
  <si>
    <t>Laser Cut</t>
  </si>
  <si>
    <t>Mill - Form Cutter</t>
  </si>
  <si>
    <t>0.5mm machine stock min.  Linear distance of cutter motion.</t>
  </si>
  <si>
    <t>Non-metallic cutting &lt;= 25.4 mm</t>
  </si>
  <si>
    <t>cut</t>
  </si>
  <si>
    <t>Non-metallic cutting &lt;= 50.8 mm</t>
  </si>
  <si>
    <t>Non-metallic cutting &lt;= 76.2 mm</t>
  </si>
  <si>
    <t>Non-metallic cutting &gt; 76.2 mm</t>
  </si>
  <si>
    <t>Plasma Cutting</t>
  </si>
  <si>
    <t>Reemed hole</t>
  </si>
  <si>
    <t>Reemed holes must first be drilled or machined</t>
  </si>
  <si>
    <t>Saw or tubing cuts</t>
  </si>
  <si>
    <t>Tapping holes</t>
  </si>
  <si>
    <t>Threading, External (machining)</t>
  </si>
  <si>
    <t>Linear distance of thread (length of bolt thread, not diameter)</t>
  </si>
  <si>
    <t>Threading, Internal (machining)</t>
  </si>
  <si>
    <t>Waterjet Cut</t>
  </si>
  <si>
    <t>Spinning, Metal</t>
  </si>
  <si>
    <t>Shaping</t>
  </si>
  <si>
    <t>Cost based on the total volume created between the metal starting position and final position.</t>
  </si>
  <si>
    <t>Sheet metal bends</t>
  </si>
  <si>
    <t>bend</t>
  </si>
  <si>
    <t>Sheet Materials</t>
  </si>
  <si>
    <t>Sheet metal punching</t>
  </si>
  <si>
    <t>Sheet Metal Saw Cut</t>
  </si>
  <si>
    <t>Includes linear saw cuts and hole saw cuts.  Linear cuts by linear distance and hole saw cuts by hole circumference.</t>
  </si>
  <si>
    <t>Sheet metal shearing</t>
  </si>
  <si>
    <t>Sheet metal stamping</t>
  </si>
  <si>
    <t>Tube bends</t>
  </si>
  <si>
    <t>Tubing</t>
  </si>
  <si>
    <t>Tube cut</t>
  </si>
  <si>
    <t>Use diameter of tube</t>
  </si>
  <si>
    <t>Tube end preperation for welding</t>
  </si>
  <si>
    <t>end</t>
  </si>
  <si>
    <t>Includes mitering, nothing, sanding, wire wheeling and surface prep.  All steps necessary for welding of one tube end except cutting and welding.</t>
  </si>
  <si>
    <t>Tube Flare/Bead</t>
  </si>
  <si>
    <t>Form flare or bead for brake lines, cooling lines, etc. in hard lines</t>
  </si>
  <si>
    <t>Weld - Round Tubing</t>
  </si>
  <si>
    <t>Use diameter for dimension.  Ratio of pi included.</t>
  </si>
  <si>
    <t>Process Multipliers Table.  Posted Version 1.2, 26-Mar-09</t>
  </si>
  <si>
    <t>ProcessMultiplierID</t>
  </si>
  <si>
    <t>Process Multiplier</t>
  </si>
  <si>
    <t>Multiplier</t>
  </si>
  <si>
    <t>Use</t>
  </si>
  <si>
    <t>Assemble - Length &gt; 0.5m</t>
  </si>
  <si>
    <t>Disassemble</t>
  </si>
  <si>
    <t>To be used when removing parts or fasteners</t>
  </si>
  <si>
    <t>Fastener Engagement Length &gt; 2D</t>
  </si>
  <si>
    <t>Fastener Engagement Length &gt; 4D</t>
  </si>
  <si>
    <t>Machine - Hole Length &gt;= 4D</t>
  </si>
  <si>
    <t>Drill, Tap</t>
  </si>
  <si>
    <t>Machine - Hole Length &gt;= 8D</t>
  </si>
  <si>
    <t>Material  - Composite</t>
  </si>
  <si>
    <t>Material - Aluminum</t>
  </si>
  <si>
    <t>Material - Brass</t>
  </si>
  <si>
    <t>Material - Bronze</t>
  </si>
  <si>
    <t>Material - Cast Iron</t>
  </si>
  <si>
    <t>Material - Foam</t>
  </si>
  <si>
    <t>Material - Inconel</t>
  </si>
  <si>
    <t>Material - Magnesium</t>
  </si>
  <si>
    <t>Material - MMC</t>
  </si>
  <si>
    <t>Material - Nickel</t>
  </si>
  <si>
    <t>Material - Plastic</t>
  </si>
  <si>
    <t>Material - Stainless Steel</t>
  </si>
  <si>
    <t>Material - Steel</t>
  </si>
  <si>
    <t>Material - Titanium</t>
  </si>
  <si>
    <t>Material - Wood (Hard or soft)</t>
  </si>
  <si>
    <t>Repeat 2</t>
  </si>
  <si>
    <t>Optional, to show repetition of processes.</t>
  </si>
  <si>
    <t>Repeat 3</t>
  </si>
  <si>
    <t>Repeat 4</t>
  </si>
  <si>
    <t>Repeat 5</t>
  </si>
  <si>
    <t>Repeat 6</t>
  </si>
  <si>
    <t>Repeat 7</t>
  </si>
  <si>
    <t>Repeat 8</t>
  </si>
  <si>
    <t>Repeat 9</t>
  </si>
  <si>
    <t>Repeat 10</t>
  </si>
  <si>
    <t>Fastener ID</t>
  </si>
  <si>
    <t>Fastener</t>
  </si>
  <si>
    <t>Size 1</t>
  </si>
  <si>
    <t>Size 2</t>
  </si>
  <si>
    <t>c1</t>
  </si>
  <si>
    <t>c2</t>
  </si>
  <si>
    <t>System</t>
  </si>
  <si>
    <t>Calc Price</t>
  </si>
  <si>
    <t>Attachment</t>
  </si>
  <si>
    <t>DateAdded/Modified</t>
  </si>
  <si>
    <t>Mass</t>
  </si>
  <si>
    <t>Steel Loop Straps, Rubber-Cushioned</t>
  </si>
  <si>
    <t>Clamp</t>
  </si>
  <si>
    <t>[Size1]=final clamped diameter [mm]</t>
  </si>
  <si>
    <t>Galvanized Steel Loop Straps</t>
  </si>
  <si>
    <t>Galvanized Steel Loop Straps, Rubber coated</t>
  </si>
  <si>
    <t>Hose Clamp, Spring Steel</t>
  </si>
  <si>
    <t>[C1]*[Size1]</t>
  </si>
  <si>
    <t>Hose Clamp, Constant Tension</t>
  </si>
  <si>
    <t>Hose Clamp, Miniature Bolt</t>
  </si>
  <si>
    <t>Hose Clamp, Single Wire</t>
  </si>
  <si>
    <t>Hose Clamp, V-Band Quick Release</t>
  </si>
  <si>
    <t xml:space="preserve"> </t>
  </si>
  <si>
    <t>Hose Clamp, Worm Drive</t>
  </si>
  <si>
    <t>Retaining Ring, R-ring</t>
  </si>
  <si>
    <t>Retaining Ring</t>
  </si>
  <si>
    <t>[C1]*([Size1]^2)+[C2]</t>
  </si>
  <si>
    <t>[Size1]=shaft diameter [mm]</t>
  </si>
  <si>
    <t>Retaining Ring, Internal</t>
  </si>
  <si>
    <t>Retaining Ring, External</t>
  </si>
  <si>
    <t>Retaining Ring, Spiral</t>
  </si>
  <si>
    <t>Bolt, Aluminum</t>
  </si>
  <si>
    <t>Bolt</t>
  </si>
  <si>
    <t>[C1]/105154*[Size1]^2*[Size2]*SQRT([Size2])+([C2]*EXP(0.319*[Size1]))</t>
  </si>
  <si>
    <t>[Size1]=diameter (mm).  [Size2]=length (mm).    Strength 255 Mpa.  Special varities included (drilled head, locking, etc.).</t>
  </si>
  <si>
    <t>Bolt, Banjo</t>
  </si>
  <si>
    <t>This item is in the materials table under plumbing</t>
  </si>
  <si>
    <t>Bolt, Custom Design, Student Made</t>
  </si>
  <si>
    <t>To be used for designs that do not match standard bolt configurations, such as threaded rocker arm posts</t>
  </si>
  <si>
    <t>Bolt, Grade 10.9 (SAE 8)</t>
  </si>
  <si>
    <t>[Size1]=diameter (mm).  [Size2]=length (mm).    Strength 1030 Mpa.   Special varities included (drilled head, locking, etc.).</t>
  </si>
  <si>
    <t>Bolt, Grade 12.9</t>
  </si>
  <si>
    <t>[Size1]=diameter (mm).  [Size2]=length (mm).    Strength 1170 Mpa.   Special varities included (drilled head, locking, etc.).</t>
  </si>
  <si>
    <t>Bolt, Grade 6.8 (SAE 3) and All Grades less than Metric 8.8</t>
  </si>
  <si>
    <t>[C1]/105154*[Size1]1^2*[Size1]2*SQRT([Size1]2)+([C2]*E[Size1]P(0.319*[Size1]1))</t>
  </si>
  <si>
    <t>[Size1]=diameter (mm).  [Size2]=length (mm).    Strength 670 Mpa.   Special varities included (drilled head, locking, etc.)</t>
  </si>
  <si>
    <t>Bolt, Grade 8.8 (SAE 5)</t>
  </si>
  <si>
    <t>[Size1]=diameter (mm).  [Size2]=length (mm).    Strength 830 Mpa.   Special varities included (drilled head, locking, etc.).</t>
  </si>
  <si>
    <t>Bolt, Grade AN</t>
  </si>
  <si>
    <t>Bolt, Grade NAS 12-Point</t>
  </si>
  <si>
    <t>[Size1]=diameter (mm).  [Size2]=length (mm).    Strength 1240 Mpa.   Special varities included (drilled head, locking, etc.).</t>
  </si>
  <si>
    <t>Bolt, Grade NAS 6-Point</t>
  </si>
  <si>
    <t>[Size1]=diameter (mm).  [Size2]=length (mm).    Strength 1100 Mpa.   Special varities included (drilled head, locking, etc.).</t>
  </si>
  <si>
    <t>Dzus Fastener, 1/4 Turn, Slotted Head</t>
  </si>
  <si>
    <t>Includes 1/4 Turn stud, plate, spring and spring receptacle</t>
  </si>
  <si>
    <t>Dzus Fastener, 1/4 Turn, Wing Head</t>
  </si>
  <si>
    <t>Eyebolt, Threaded, Steel</t>
  </si>
  <si>
    <t>([C1]*EXP([C2]*[Size1]))</t>
  </si>
  <si>
    <t>[Size1]=Inner Diameter of Eye</t>
  </si>
  <si>
    <t>Hook and Loop, Hook Side (Velcro)</t>
  </si>
  <si>
    <t>Same cost for adhesive backed or non-adhesive backed.  Only includes one side of joint (hook side)</t>
  </si>
  <si>
    <t>Hook and Loop, Loop Side (Velcro)</t>
  </si>
  <si>
    <t>Same cost for adhesive backed or non-adhesive backed.  Only includes one side of joint (loop side)</t>
  </si>
  <si>
    <t>Nut, Custom Design, Student Made</t>
  </si>
  <si>
    <t>Nut</t>
  </si>
  <si>
    <t>To be used for designs that do not match standard nut configurations, such as wheel nuts</t>
  </si>
  <si>
    <t>Nut, Grade 10.9 (SAE 8)</t>
  </si>
  <si>
    <t>[Size1]=diameter (mm).  Special varities included (drilled head, locking, etc.).</t>
  </si>
  <si>
    <t>Nut, Grade 12.9</t>
  </si>
  <si>
    <t>Nut, Grade 6.8 (SAE 3) and All Grades less than Metric 8.8</t>
  </si>
  <si>
    <t>Nut, Grade 8.8 (SAE 5)</t>
  </si>
  <si>
    <t>Nut, Grade AN</t>
  </si>
  <si>
    <t>Nut, Grade NAS 12-Point</t>
  </si>
  <si>
    <t>[Size1]=diameter (mm). Special varities included (drilled head, locking, etc.).</t>
  </si>
  <si>
    <t>Nut, Grade NAS 6-Point</t>
  </si>
  <si>
    <t>Nut, Lug</t>
  </si>
  <si>
    <t>Any size</t>
  </si>
  <si>
    <t>Nut, Panel Retained</t>
  </si>
  <si>
    <t>Any type of nut with a retaining or anti-rotation feature for a panel (weldnut, etc.)</t>
  </si>
  <si>
    <t>Nutsert (J-Nut)</t>
  </si>
  <si>
    <t>Pin, Cotter, Straight</t>
  </si>
  <si>
    <t>All sizes up to 5mm diameter.</t>
  </si>
  <si>
    <t>Pin, Cotter, Hairpin</t>
  </si>
  <si>
    <t>All sizes up to 5mm wire diameter.</t>
  </si>
  <si>
    <t>Pin, Plastic Push</t>
  </si>
  <si>
    <t>Pin, Safety, Coiled Wire</t>
  </si>
  <si>
    <t>[Size1]=Usable length (mm).</t>
  </si>
  <si>
    <t>Pin, Safety, Square Retainer Snap</t>
  </si>
  <si>
    <t>[Size1]=Pin Diameter (mm), [Size2]=Usable length (mm).</t>
  </si>
  <si>
    <t>Pin, Quick Release</t>
  </si>
  <si>
    <t>[Size1]=Diameter (mm).  [Size2]=Usable Length.  Any style pin (T-handle, Ring Grip, etc.).</t>
  </si>
  <si>
    <t>Rivet, Pop</t>
  </si>
  <si>
    <t>Rivet</t>
  </si>
  <si>
    <t>Any diameter and length</t>
  </si>
  <si>
    <t>Safety Wire</t>
  </si>
  <si>
    <t>Included in labor cost.</t>
  </si>
  <si>
    <t>Stud, Grade 10.9 (SAE 8)</t>
  </si>
  <si>
    <t>Stud</t>
  </si>
  <si>
    <t>Stud, Grade 12.9</t>
  </si>
  <si>
    <t>Stud, Grade 8.8 (SAE 5)</t>
  </si>
  <si>
    <t>Tie Wrap</t>
  </si>
  <si>
    <t>Includes all styles and sizes of plastic cable ties including Cable Clamp, Zip Tie, etc.</t>
  </si>
  <si>
    <t>Thread Insert</t>
  </si>
  <si>
    <t>[Size1]=nominal hole diameter (mm).</t>
  </si>
  <si>
    <t>Washer, Crush</t>
  </si>
  <si>
    <t>Washer, Grade 10.9 (SAE 8)</t>
  </si>
  <si>
    <t>Washer</t>
  </si>
  <si>
    <t>[Size1]=diameter (mm).  Any thickness.  Special varities included (drilled head, locking, etc.).</t>
  </si>
  <si>
    <t>Washer, Grade 12.9</t>
  </si>
  <si>
    <t>Washer, Grade 6.8 (SAE 3) and All Grades less than Metric 8.8</t>
  </si>
  <si>
    <t>Washer, Grade 8.8 (SAE 5)</t>
  </si>
  <si>
    <t>Washer, Grade AN</t>
  </si>
  <si>
    <t>Washer, Grade NAS 12-Point</t>
  </si>
  <si>
    <t>Washer, Grade NAS 6-Point</t>
  </si>
  <si>
    <t>Fitting, AN</t>
  </si>
  <si>
    <t>Tooling Table.  Posted Version 1.1, 16Nov08</t>
  </si>
  <si>
    <t>ID</t>
  </si>
  <si>
    <t>Tool</t>
  </si>
  <si>
    <t>Cost</t>
  </si>
  <si>
    <t>All</t>
  </si>
  <si>
    <t>die</t>
  </si>
  <si>
    <t>Per die not die set.  Minimum number of dies is 2 per die set.</t>
  </si>
  <si>
    <t>Lamination</t>
  </si>
  <si>
    <t>Use surface area of tool that is used to form part geometry.</t>
  </si>
  <si>
    <t xml:space="preserve">Per die not die set. </t>
  </si>
  <si>
    <t>core</t>
  </si>
  <si>
    <t>Per core not core package.</t>
  </si>
  <si>
    <t>Welds</t>
  </si>
  <si>
    <t>point</t>
  </si>
  <si>
    <t>Each point is a pickup or support point.</t>
  </si>
  <si>
    <t>Version 2.8
5/3/2009</t>
  </si>
  <si>
    <t>Warning!  Calc Price displays a value when Size 1 and Size 2 (if applicable) are entered.  Make sure to read what Size1 and Size2 refer to in the comments field, fill out the appropriate size values before using calc price.
Warning! Check Added/Modified Date to make sure you have the current costs.  Some errors were found in the hose clamp equations in the calc price cell.</t>
  </si>
  <si>
    <t>Asm Cost</t>
  </si>
  <si>
    <t>Qty</t>
  </si>
  <si>
    <t>P/N Base</t>
  </si>
  <si>
    <t>Extended Cost</t>
  </si>
  <si>
    <t>Suffix</t>
  </si>
  <si>
    <t>Details</t>
  </si>
  <si>
    <t>Parts</t>
  </si>
  <si>
    <t>Part</t>
  </si>
  <si>
    <t>Part Cost</t>
  </si>
  <si>
    <t>Sub Total</t>
  </si>
  <si>
    <t>UnitCost</t>
  </si>
  <si>
    <t>Size1</t>
  </si>
  <si>
    <t>Unit1</t>
  </si>
  <si>
    <t>Size2</t>
  </si>
  <si>
    <t>Unit2</t>
  </si>
  <si>
    <t>Multiplier ID</t>
  </si>
  <si>
    <t>Mult. Val.</t>
  </si>
  <si>
    <t>PVF</t>
  </si>
  <si>
    <t>FracIncld</t>
  </si>
  <si>
    <t>Push bar</t>
  </si>
  <si>
    <t>Cup holder</t>
  </si>
  <si>
    <t>Random Stuff</t>
  </si>
  <si>
    <t>Category2</t>
  </si>
  <si>
    <t>Application last updated Mar 26</t>
  </si>
  <si>
    <t>Bearing Ball, Steel</t>
  </si>
  <si>
    <t>[Size1]=Ball diameter (mm).  Any steel material.  This material is for a single steel sphere ball, not a complete bearing.</t>
  </si>
  <si>
    <t>ABS Kit, Bosch, M4 Kit 1</t>
  </si>
  <si>
    <t>ABS Kit, Bosch, M4 Kit 2</t>
  </si>
  <si>
    <t>Balance Bar, AP, CP5520-4</t>
  </si>
  <si>
    <t>Balance Bar, Sandtler, 128153</t>
  </si>
  <si>
    <t>Sandtler</t>
  </si>
  <si>
    <t>Balance Bar, Sandtler, 128154</t>
  </si>
  <si>
    <t>Balance Bar Cable Adjuster, AP CP2905-8</t>
  </si>
  <si>
    <t>Balance Bar Cable Adjuster, Optimum Balance Prod</t>
  </si>
  <si>
    <t>Balance Bar Cable Adjuster, Right Angle Drive, AP CP5500-10</t>
  </si>
  <si>
    <t>Balance Bar Cable Adjuster, Sandtler, 128154</t>
  </si>
  <si>
    <t>Brake Caliper, AP, CP7853</t>
  </si>
  <si>
    <t>Brake Caliper, ISR, 22-034</t>
  </si>
  <si>
    <t>Same cost left and right calipers</t>
  </si>
  <si>
    <t>Brake Caliper, ISR, 22-036</t>
  </si>
  <si>
    <t>Brake Caliper, ISR, 22-049</t>
  </si>
  <si>
    <t>Brake Caliper, Magura, 908.1</t>
  </si>
  <si>
    <t>Magura</t>
  </si>
  <si>
    <t>Brake Caliper, Spiegler, S070</t>
  </si>
  <si>
    <t>Spiegler</t>
  </si>
  <si>
    <t>Same price for left and righ calipers.</t>
  </si>
  <si>
    <t>Brake Caliper, Spiegler, S108</t>
  </si>
  <si>
    <t>Brake Caliper, Wilwood, DynaPro Single</t>
  </si>
  <si>
    <t>Brake Caliper, Yamaha (YZF 450), 5TG-2580T-00-00</t>
  </si>
  <si>
    <t>Yamaha</t>
  </si>
  <si>
    <t>Master Cylinder, AP, CP4623</t>
  </si>
  <si>
    <t>Master Cylinder, AP, CP7855</t>
  </si>
  <si>
    <t>Master Cylinder, Beck Arnley, 072-9455</t>
  </si>
  <si>
    <t>Beck Arnley</t>
  </si>
  <si>
    <t>Master Cylinder, Brembo, 10.4776.20</t>
  </si>
  <si>
    <t xml:space="preserve">Master Cylinder, Brembo, XA6.C2.3
</t>
  </si>
  <si>
    <t>Master Cylinder, Honda CBR600F4i, 43510MBW006</t>
  </si>
  <si>
    <t>Honda</t>
  </si>
  <si>
    <t>Master Cylinder, Hyundai Mobis, 41610-2D100</t>
  </si>
  <si>
    <t>Hyundai Mobis</t>
  </si>
  <si>
    <t>Master Cyilnder, ISR, 21-010-OE</t>
  </si>
  <si>
    <t>Master Cylinder, Magura, 10.5mm</t>
  </si>
  <si>
    <t>Master Cylinder, Magura, 770.50</t>
  </si>
  <si>
    <t>Master Cylinder, Magura, 770.1</t>
  </si>
  <si>
    <t>Master Cylinder, Suzuki OEM 69600-16G00</t>
  </si>
  <si>
    <t>Suzuki</t>
  </si>
  <si>
    <t>Master Cylinder, Tripmatic &amp; Speed 18771</t>
  </si>
  <si>
    <t>Tripmatic</t>
  </si>
  <si>
    <t>Master Cylinder, Wilwood, 260-1304</t>
  </si>
  <si>
    <t>Master Cylinder, Wilwood, 260-6087</t>
  </si>
  <si>
    <t>Master Cylinder, Wilwood, 260-10371</t>
  </si>
  <si>
    <t>Chassis (All Cost as Made)</t>
  </si>
  <si>
    <t>Chassis</t>
  </si>
  <si>
    <t>Hubs (All Cost as Made)</t>
  </si>
  <si>
    <t>Monocoque (All Cost as Made)</t>
  </si>
  <si>
    <t>Rockers (All Cost as Made)</t>
  </si>
  <si>
    <t>Upright (All Cost as Made)</t>
  </si>
  <si>
    <t>Carbon Fiber Reinf Silicon Carbide, Brake Rotors</t>
  </si>
  <si>
    <t>Note: actual cost is $0.0092 even though display shows $0.01 actual value is used in math.</t>
  </si>
  <si>
    <t>Carbon Fiber Reinf Silicon Carbide, Brake Pads</t>
  </si>
  <si>
    <t>Note: actual cost is $0.0012 even though display shows $0.01 actual value is used in math.</t>
  </si>
  <si>
    <t>Carbon Fiber Reinf Carbon</t>
  </si>
  <si>
    <t>Composite Panel Insert, Press Fit, Torlon</t>
  </si>
  <si>
    <t>Torlon</t>
  </si>
  <si>
    <t>Composite Panel Insert, Potted-in (NAS) Style, Torlon</t>
  </si>
  <si>
    <t>Polypropylene, High Modulus</t>
  </si>
  <si>
    <t>Includes 'Tegris' and 'Innegra' fibers</t>
  </si>
  <si>
    <t>Datalogger, Aim EVO4</t>
  </si>
  <si>
    <t>AIM</t>
  </si>
  <si>
    <t>No screen data logger</t>
  </si>
  <si>
    <t>ECU, Bosch Motorsport, HPI Box 1.1</t>
  </si>
  <si>
    <t>ECU, Bosch Motorsport, MS3 Sport</t>
  </si>
  <si>
    <t>ECU, DTA, S40 Pro</t>
  </si>
  <si>
    <t>ECU, DTA, S80 Pro</t>
  </si>
  <si>
    <t>ECU, DTA, S100 Pro</t>
  </si>
  <si>
    <t>ECU, EngineLab, EL1140L</t>
  </si>
  <si>
    <t>EngineLab</t>
  </si>
  <si>
    <t>ECU, Haltech, PS1000</t>
  </si>
  <si>
    <t>ECU, McLaren MESL TAG-400</t>
  </si>
  <si>
    <t>McLaren Electronic Systems</t>
  </si>
  <si>
    <t>ECU, Magneti Marelli, SRA-E</t>
  </si>
  <si>
    <t>Magneti Marelli</t>
  </si>
  <si>
    <t>ECU, Magneti Marelli, SRA-EDL 4</t>
  </si>
  <si>
    <t>ECU, Magneti Marelli, SRA-EDL 8</t>
  </si>
  <si>
    <t>ECU, Magneti Marelli, SRT-E</t>
  </si>
  <si>
    <t>ECU, Magneti Marelli, SRT-EDL 16</t>
  </si>
  <si>
    <t>ECU, Magneti Marelli, SRT-EDL 32</t>
  </si>
  <si>
    <t>ECU, MoTeC, IEX - Ignition Expander</t>
  </si>
  <si>
    <t>ECU, MoTeC, M600</t>
  </si>
  <si>
    <t>ECU, MoTeC, TCMUX - Traction Control Multiplexer</t>
  </si>
  <si>
    <t>ECU, Nira, i3+</t>
  </si>
  <si>
    <t>Nira</t>
  </si>
  <si>
    <t>ECU, Sodemo Moteurs, EV11/4</t>
  </si>
  <si>
    <t>Sodemo Moteurs</t>
  </si>
  <si>
    <t>ECU, Trecs, Model II</t>
  </si>
  <si>
    <t>Trecs</t>
  </si>
  <si>
    <t>ECU, Trikejt Plus</t>
  </si>
  <si>
    <t>Trijekt</t>
  </si>
  <si>
    <t>ECU, VEMS, v3</t>
  </si>
  <si>
    <t>Versatile Engine Management System</t>
  </si>
  <si>
    <t>Damper, AVO, 1.9" Alum Dbl Adj (DAAWA100/75)</t>
  </si>
  <si>
    <t>Damper, Kind Shock, KS-504</t>
  </si>
  <si>
    <t>Kind Shock</t>
  </si>
  <si>
    <t>Damper, KW GFw 3-Way Adjustable</t>
  </si>
  <si>
    <t>KW</t>
  </si>
  <si>
    <t>Manitou</t>
  </si>
  <si>
    <t>Damper, Ohlins SD115</t>
  </si>
  <si>
    <t>Damper, Ohlins ST44</t>
  </si>
  <si>
    <t>Damper, Ohlins TTX 25</t>
  </si>
  <si>
    <t>Damper, Ohlins TTX 36</t>
  </si>
  <si>
    <t>Damper, Penske 7800-NA</t>
  </si>
  <si>
    <t>Non-adjustable</t>
  </si>
  <si>
    <t>Damper, Penske 7800-PBDA (Kaz Technologies)</t>
  </si>
  <si>
    <t>Penske/Kaz Tech</t>
  </si>
  <si>
    <t>Piggyback, Double Adjustable</t>
  </si>
  <si>
    <t>Damper, X-Fusion Vektor DH 1.0</t>
  </si>
  <si>
    <t>X-Fusion</t>
  </si>
  <si>
    <t>Damper, ZF Sachs, RD 36-2</t>
  </si>
  <si>
    <t>Axle (All Cost as Made)</t>
  </si>
  <si>
    <t>Chain Guard (All Cost as Made)</t>
  </si>
  <si>
    <t>Half Shaft (All Cost as Made)</t>
  </si>
  <si>
    <t>Dashpanel, Haltech, Racepak IQ3 Display</t>
  </si>
  <si>
    <t>Wire Sleeving, Expandable</t>
  </si>
  <si>
    <t>Accusump</t>
  </si>
  <si>
    <t>Canton Racing Products</t>
  </si>
  <si>
    <t>([C1]*[Size1]+[C2])</t>
  </si>
  <si>
    <t>L</t>
  </si>
  <si>
    <t>Gage not included, include as separate material line item if used on vehicle.</t>
  </si>
  <si>
    <t>Boost Control Solenoid Valve, MR561312</t>
  </si>
  <si>
    <t>Mitsubishi Motors</t>
  </si>
  <si>
    <t>Exhaust Manifold (All Cost as Made)</t>
  </si>
  <si>
    <t>Exhaust Pipe, Flexible</t>
  </si>
  <si>
    <t>([C1]*[Size1]*[Size2]+[C2])</t>
  </si>
  <si>
    <t>Flexible tubing used for exhaust systems.  Also called convoluted or flex piping.</t>
  </si>
  <si>
    <t>Fuel Injector, Direct Injection</t>
  </si>
  <si>
    <t>Either fuel, gasoline or E85</t>
  </si>
  <si>
    <t>Fuel Pump, Direct Injection</t>
  </si>
  <si>
    <t>Port fuel injection, not for direct injection use</t>
  </si>
  <si>
    <t>Fuel Tank (All Cost as Made)</t>
  </si>
  <si>
    <t>Header Wrap</t>
  </si>
  <si>
    <t>Intake (All Cost as Made)</t>
  </si>
  <si>
    <t>Overflow Bottle, Steel Oil Can</t>
  </si>
  <si>
    <t>Pump, Transmission Oil, Hope Technik, 006</t>
  </si>
  <si>
    <t>Hope Technik</t>
  </si>
  <si>
    <t>Cable Tie Mount, Adhesive Backed</t>
  </si>
  <si>
    <t>Adhesive mount for connecting cable ties, zip ties, etc.  Normally is injection molded with a single loop for tie wrap connection.</t>
  </si>
  <si>
    <t>Drawbolt Catch &amp; Hook</t>
  </si>
  <si>
    <t>Included in process cost</t>
  </si>
  <si>
    <t>Pedal, Wilwood, 340-1285</t>
  </si>
  <si>
    <t>Break Coupling, Dry, Female, KC Engineering</t>
  </si>
  <si>
    <t>KC Engineering</t>
  </si>
  <si>
    <t>Break Coupling, Dry, Male, KC Engineering</t>
  </si>
  <si>
    <t>Check Valve, High Press, Adj, In-Line, Generant</t>
  </si>
  <si>
    <t>Cork</t>
  </si>
  <si>
    <t>Plastic, Polyoxymethylene (POM)</t>
  </si>
  <si>
    <t>Delrin</t>
  </si>
  <si>
    <t>Wood, Medium Density Fiberboard</t>
  </si>
  <si>
    <t>MDF</t>
  </si>
  <si>
    <t>Sensor, Fluid Pressure &amp; Temperature</t>
  </si>
  <si>
    <t>Sensor, Hall Effect</t>
  </si>
  <si>
    <t>Sensor, Temperature</t>
  </si>
  <si>
    <t>Air Pressure Regulator</t>
  </si>
  <si>
    <t>Shift Lever, Bicycle OEM</t>
  </si>
  <si>
    <t>Any make/model of bicycle (push bike) handle bar lever.  Includes lever only.</t>
  </si>
  <si>
    <t>Shift Lever, Honda, 0143719</t>
  </si>
  <si>
    <t>Shifter, Automatic, Flat Shifter Expert</t>
  </si>
  <si>
    <t>Flat Shifter</t>
  </si>
  <si>
    <t>Shifter, Automatic, Flat Shifter Max</t>
  </si>
  <si>
    <t>A-Arms (All Cost as Made)</t>
  </si>
  <si>
    <t>Wishbones (All Cost as Made)</t>
  </si>
  <si>
    <t>Tire, Dunlop Motorsport, 13", 175mm/505mm</t>
  </si>
  <si>
    <t>Dunlop</t>
  </si>
  <si>
    <t>Wheel, 10", 2 Piece, HiPer Racing, Carbon-plastic, Tec 3, Inner Half</t>
  </si>
  <si>
    <t>HiPer Racing</t>
  </si>
  <si>
    <t>Wheel, 10", 2 Piece, HiPer Racing, Carbon-plastic, CF1, Inner Half</t>
  </si>
  <si>
    <t>Wheel, 13", 1 Piece, Compomotive XR1380</t>
  </si>
  <si>
    <t>Compomotive</t>
  </si>
  <si>
    <t>Wheel, 13", 1 Piece, Braid, Formrace, Aluminum, Model 16, 7" Wide</t>
  </si>
  <si>
    <t>Braid</t>
  </si>
  <si>
    <t>s</t>
  </si>
  <si>
    <t>Wheel, 13", 1 Piece, Watanabe, Magnesium, 6-Spoke, Widths 8-9.5</t>
  </si>
  <si>
    <t>Watanabe</t>
  </si>
  <si>
    <t>Wheel, 13", 1 Piece, Watanabe, Magnesium, 6-Spoke, Widths 10-12</t>
  </si>
  <si>
    <t>Wheel, 13", 2 Piece, Braid, Formrace, Aluminum, Model 16, 6" Wide</t>
  </si>
  <si>
    <t>Aluminum Metal Matrix Composite (per kg)</t>
  </si>
  <si>
    <t>Raw Material (per kg)</t>
  </si>
  <si>
    <t>Aluminum, Normal (per kg)</t>
  </si>
  <si>
    <t>Aluminum, Premium (per kg)</t>
  </si>
  <si>
    <t>Brass (per kg)</t>
  </si>
  <si>
    <t>Bronze (per kg)</t>
  </si>
  <si>
    <t>Copper (per kg)</t>
  </si>
  <si>
    <t>Foam, Expanding, Non-Structural (per kg)</t>
  </si>
  <si>
    <t>Iron (per kg)</t>
  </si>
  <si>
    <t>Magnesium (per kg)</t>
  </si>
  <si>
    <t>Nickel (per kg)</t>
  </si>
  <si>
    <t>Plastic, ABS (per kg)</t>
  </si>
  <si>
    <t>Plastic, Acetal (per kg)</t>
  </si>
  <si>
    <t>Plastic, Acrylic (per kg)</t>
  </si>
  <si>
    <t>Plastic, Flouropolymers (per kg)</t>
  </si>
  <si>
    <t>Plastic, Garolite (per kg)</t>
  </si>
  <si>
    <t>Plastic, Nylon (per kg)</t>
  </si>
  <si>
    <t>Plastic, PEEK (per kg)</t>
  </si>
  <si>
    <t>Plastic, Polycarbonate (per kg)</t>
  </si>
  <si>
    <t>Plastic, Polyethelene (per kg)</t>
  </si>
  <si>
    <t>Plastic, Polyoxymethylene (POM) (per kg)</t>
  </si>
  <si>
    <t>Plastic, Polypropolene (per kg)</t>
  </si>
  <si>
    <t>Plastic, PVC (per kg)</t>
  </si>
  <si>
    <t>Rubber (per kg)</t>
  </si>
  <si>
    <t>Steel, Alloy (per kg)</t>
  </si>
  <si>
    <t>Steel, Mild (per kg)</t>
  </si>
  <si>
    <t>Steel, Stainless (per kg)</t>
  </si>
  <si>
    <t>Titanium (per kg)</t>
  </si>
  <si>
    <t>Laser Powder Deposition</t>
  </si>
  <si>
    <t>Linear distance of coating on exhaust header and tubing including all runners, etc.  Material included.</t>
  </si>
  <si>
    <t>Gear Shaping (hobbing)</t>
  </si>
  <si>
    <t>Linear travel of gear shaping.  A half-shaft end 5cm long would cost $2.50</t>
  </si>
  <si>
    <t>Revised cost for 2011 Competition Years</t>
  </si>
  <si>
    <t>Machining can include roughing (1.5mm machine stock min., Tol +/- 0.5mm) and/or finishing (0.5mm machine stock min.).  All parts should include the minimum 1.5mm material stock except parts produced by "near net shaped" basic forming processes.  It is not necessary to break down rough and finish cuts, only use the correct minimum stock in the calculation of material removed.</t>
  </si>
  <si>
    <t>Die Casting - Die</t>
  </si>
  <si>
    <t>Lamination - Aluminum Tool</t>
  </si>
  <si>
    <t>Lamination - Composite Tool</t>
  </si>
  <si>
    <t>Lamination - Flat Panel Tool</t>
  </si>
  <si>
    <t>Use surface area of tool that is used to form part geometry.  To use this tooling type composite part must have geometry that is possible to obtain from sheet metal tool with no complex curvature or shape.  For example flat panel parts are allowed or parts with curvature in only one axis.</t>
  </si>
  <si>
    <t>Lamination - Steel Tool</t>
  </si>
  <si>
    <t>Plastic injection molding - Die</t>
  </si>
  <si>
    <t>Powder Metal Forming - Die</t>
  </si>
  <si>
    <t>Sand Casting - Die</t>
  </si>
  <si>
    <t>Sand Casting - Sand Core Package</t>
  </si>
  <si>
    <t>Welds - Welding Fixture</t>
  </si>
  <si>
    <t>Brazing Fixture</t>
  </si>
  <si>
    <t>P/N</t>
  </si>
  <si>
    <t>00001</t>
  </si>
  <si>
    <t>A0001</t>
  </si>
</sst>
</file>

<file path=xl/styles.xml><?xml version="1.0" encoding="utf-8"?>
<styleSheet xmlns="http://schemas.openxmlformats.org/spreadsheetml/2006/main">
  <numFmts count="16">
    <numFmt numFmtId="8" formatCode="&quot;$&quot;#,##0.00_);[Red]\(&quot;$&quot;#,##0.00\)"/>
    <numFmt numFmtId="44" formatCode="_(&quot;$&quot;* #,##0.00_);_(&quot;$&quot;* \(#,##0.00\);_(&quot;$&quot;* &quot;-&quot;??_);_(@_)"/>
    <numFmt numFmtId="43" formatCode="_(* #,##0.00_);_(* \(#,##0.00\);_(* &quot;-&quot;??_);_(@_)"/>
    <numFmt numFmtId="164" formatCode="0.000"/>
    <numFmt numFmtId="165" formatCode="_(&quot;$&quot;* #,##0.000_);_(&quot;$&quot;* \(#,##0.000\);_(&quot;$&quot;* &quot;-&quot;??_);_(@_)"/>
    <numFmt numFmtId="166" formatCode="[$-409]d\-mmm\-yy;@"/>
    <numFmt numFmtId="167" formatCode="&quot;$&quot;#,##0.00"/>
    <numFmt numFmtId="168" formatCode="0.00000"/>
    <numFmt numFmtId="169" formatCode="_(&quot;$&quot;* #,##0.0000_);_(&quot;$&quot;* \(#,##0.0000\);_(&quot;$&quot;* &quot;-&quot;??_);_(@_)"/>
    <numFmt numFmtId="170" formatCode="0.0000"/>
    <numFmt numFmtId="171" formatCode="&quot;$&quot;#,##0.00;\(&quot;$&quot;#,##0.00\)"/>
    <numFmt numFmtId="172" formatCode="dd\-mmm\-yy"/>
    <numFmt numFmtId="173" formatCode="#,##0.0000_);\(#,##0.0000\)"/>
    <numFmt numFmtId="174" formatCode="_(* #,##0.000_);_(* \(#,##0.000\);_(* &quot;-&quot;??_);_(@_)"/>
    <numFmt numFmtId="175" formatCode="#,##0.000_);\(#,##0.000\)"/>
    <numFmt numFmtId="176" formatCode="_(&quot;$&quot;* #,##0_);_(&quot;$&quot;* \(#,##0\);_(&quot;$&quot;* &quot;-&quot;??_);_(@_)"/>
  </numFmts>
  <fonts count="25">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sz val="11"/>
      <color indexed="17"/>
      <name val="Calibri"/>
      <family val="2"/>
    </font>
    <font>
      <b/>
      <sz val="11"/>
      <color indexed="8"/>
      <name val="Calibri"/>
      <family val="2"/>
    </font>
    <font>
      <sz val="11"/>
      <color theme="1"/>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rgb="FF006100"/>
      <name val="Calibri"/>
      <family val="2"/>
      <scheme val="minor"/>
    </font>
    <font>
      <sz val="11"/>
      <color rgb="FF9C6500"/>
      <name val="Calibri"/>
      <family val="2"/>
      <scheme val="minor"/>
    </font>
    <font>
      <sz val="10"/>
      <name val="MS Sans Serif"/>
    </font>
    <font>
      <sz val="11"/>
      <name val="Calibri"/>
      <family val="2"/>
    </font>
    <font>
      <sz val="11"/>
      <color rgb="FF000000"/>
      <name val="Calibri"/>
      <family val="2"/>
    </font>
    <font>
      <sz val="8"/>
      <name val="Arial"/>
      <family val="2"/>
    </font>
    <font>
      <sz val="10"/>
      <color indexed="8"/>
      <name val="Arial"/>
      <family val="2"/>
    </font>
    <font>
      <sz val="10"/>
      <name val="Verdana"/>
      <family val="2"/>
    </font>
    <font>
      <b/>
      <sz val="11"/>
      <name val="Calibri"/>
      <family val="2"/>
    </font>
    <font>
      <sz val="10"/>
      <name val="MS Sans Serif"/>
      <family val="2"/>
    </font>
    <font>
      <u/>
      <sz val="10"/>
      <color theme="10"/>
      <name val="MS Sans Serif"/>
      <family val="2"/>
    </font>
    <font>
      <u/>
      <sz val="11"/>
      <name val="Calibri"/>
      <family val="2"/>
    </font>
    <font>
      <u/>
      <sz val="11"/>
      <color theme="10"/>
      <name val="Calibri"/>
      <family val="2"/>
    </font>
    <font>
      <sz val="11"/>
      <name val="Calibri"/>
      <family val="2"/>
      <scheme val="minor"/>
    </font>
  </fonts>
  <fills count="16">
    <fill>
      <patternFill patternType="none"/>
    </fill>
    <fill>
      <patternFill patternType="gray125"/>
    </fill>
    <fill>
      <patternFill patternType="solid">
        <fgColor indexed="42"/>
      </patternFill>
    </fill>
    <fill>
      <patternFill patternType="solid">
        <fgColor indexed="13"/>
        <bgColor indexed="64"/>
      </patternFill>
    </fill>
    <fill>
      <patternFill patternType="solid">
        <fgColor indexed="8"/>
        <bgColor indexed="64"/>
      </patternFill>
    </fill>
    <fill>
      <patternFill patternType="solid">
        <fgColor rgb="FFFFC7CE"/>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22"/>
        <bgColor indexed="22"/>
      </patternFill>
    </fill>
    <fill>
      <patternFill patternType="solid">
        <fgColor theme="0"/>
        <bgColor indexed="64"/>
      </patternFill>
    </fill>
    <fill>
      <patternFill patternType="solid">
        <fgColor rgb="FFF2F2F2"/>
      </patternFill>
    </fill>
    <fill>
      <patternFill patternType="solid">
        <fgColor indexed="22"/>
        <bgColor indexed="0"/>
      </patternFill>
    </fill>
    <fill>
      <patternFill patternType="solid">
        <fgColor indexed="22"/>
        <bgColor indexed="64"/>
      </patternFill>
    </fill>
    <fill>
      <patternFill patternType="solid">
        <fgColor theme="0" tint="-0.249977111117893"/>
        <bgColor indexed="64"/>
      </patternFill>
    </fill>
    <fill>
      <patternFill patternType="solid">
        <fgColor rgb="FFC00000"/>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style="thin">
        <color indexed="22"/>
      </right>
      <top/>
      <bottom/>
      <diagonal/>
    </border>
    <border>
      <left style="thin">
        <color indexed="22"/>
      </left>
      <right/>
      <top/>
      <bottom/>
      <diagonal/>
    </border>
    <border>
      <left/>
      <right/>
      <top/>
      <bottom style="thin">
        <color indexed="64"/>
      </bottom>
      <diagonal/>
    </border>
    <border>
      <left/>
      <right/>
      <top style="thin">
        <color indexed="9"/>
      </top>
      <bottom style="thin">
        <color indexed="9"/>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s>
  <cellStyleXfs count="37">
    <xf numFmtId="0" fontId="0" fillId="0" borderId="0"/>
    <xf numFmtId="0" fontId="8" fillId="5" borderId="0" applyNumberFormat="0" applyBorder="0" applyAlignment="0" applyProtection="0"/>
    <xf numFmtId="0" fontId="10" fillId="6" borderId="4" applyNumberFormat="0" applyAlignment="0" applyProtection="0"/>
    <xf numFmtId="43" fontId="2" fillId="0" borderId="0" applyFont="0" applyFill="0" applyBorder="0" applyAlignment="0" applyProtection="0"/>
    <xf numFmtId="44" fontId="11" fillId="7" borderId="1">
      <alignment vertical="center" wrapText="1"/>
    </xf>
    <xf numFmtId="44" fontId="3" fillId="0" borderId="0" applyFont="0" applyFill="0" applyBorder="0" applyAlignment="0" applyProtection="0"/>
    <xf numFmtId="44" fontId="2" fillId="0" borderId="0" applyFont="0" applyFill="0" applyBorder="0" applyAlignment="0" applyProtection="0"/>
    <xf numFmtId="0" fontId="11" fillId="7" borderId="0" applyNumberFormat="0" applyBorder="0" applyAlignment="0" applyProtection="0"/>
    <xf numFmtId="0" fontId="12" fillId="8" borderId="0" applyNumberFormat="0" applyBorder="0" applyAlignment="0" applyProtection="0"/>
    <xf numFmtId="0" fontId="2" fillId="0" borderId="0"/>
    <xf numFmtId="0" fontId="13" fillId="0" borderId="0"/>
    <xf numFmtId="44" fontId="12" fillId="8" borderId="1">
      <alignment vertical="center" wrapText="1"/>
    </xf>
    <xf numFmtId="44" fontId="15" fillId="10" borderId="5">
      <alignment vertical="center" wrapText="1"/>
    </xf>
    <xf numFmtId="0" fontId="9" fillId="11" borderId="3" applyNumberFormat="0" applyAlignment="0" applyProtection="0"/>
    <xf numFmtId="0" fontId="7" fillId="0" borderId="0"/>
    <xf numFmtId="44" fontId="8" fillId="5" borderId="1">
      <alignment vertical="center" wrapText="1"/>
    </xf>
    <xf numFmtId="0" fontId="5" fillId="2" borderId="0" applyNumberFormat="0" applyBorder="0" applyAlignment="0" applyProtection="0"/>
    <xf numFmtId="0" fontId="7" fillId="0" borderId="0"/>
    <xf numFmtId="0" fontId="17" fillId="0" borderId="0"/>
    <xf numFmtId="0" fontId="2" fillId="0" borderId="0"/>
    <xf numFmtId="0" fontId="18" fillId="0" borderId="0"/>
    <xf numFmtId="0" fontId="2" fillId="0" borderId="0"/>
    <xf numFmtId="0" fontId="2" fillId="0" borderId="0"/>
    <xf numFmtId="0" fontId="2" fillId="0" borderId="0"/>
    <xf numFmtId="0" fontId="7" fillId="0" borderId="0"/>
    <xf numFmtId="0" fontId="18" fillId="0" borderId="0"/>
    <xf numFmtId="0" fontId="18" fillId="0" borderId="0"/>
    <xf numFmtId="0" fontId="7" fillId="0" borderId="0"/>
    <xf numFmtId="167" fontId="15" fillId="0" borderId="5">
      <alignment vertical="center" wrapText="1"/>
    </xf>
    <xf numFmtId="44" fontId="1" fillId="0" borderId="0" applyFont="0" applyFill="0" applyBorder="0" applyAlignment="0" applyProtection="0"/>
    <xf numFmtId="44" fontId="20" fillId="0" borderId="0" applyFont="0" applyFill="0" applyBorder="0" applyAlignment="0" applyProtection="0"/>
    <xf numFmtId="0" fontId="21" fillId="0" borderId="0" applyNumberFormat="0" applyFill="0" applyBorder="0" applyAlignment="0" applyProtection="0">
      <alignment vertical="top"/>
      <protection locked="0"/>
    </xf>
    <xf numFmtId="43" fontId="20" fillId="0" borderId="0" applyFont="0" applyFill="0" applyBorder="0" applyAlignment="0" applyProtection="0"/>
    <xf numFmtId="43" fontId="1" fillId="0" borderId="0" applyFont="0" applyFill="0" applyBorder="0" applyAlignment="0" applyProtection="0"/>
    <xf numFmtId="164" fontId="15" fillId="0" borderId="5">
      <alignment vertical="center" wrapText="1"/>
    </xf>
    <xf numFmtId="44" fontId="1" fillId="0" borderId="0" applyFont="0" applyFill="0" applyBorder="0" applyAlignment="0" applyProtection="0"/>
    <xf numFmtId="0" fontId="23" fillId="0" borderId="0" applyNumberFormat="0" applyFill="0" applyBorder="0" applyAlignment="0" applyProtection="0">
      <alignment vertical="top"/>
      <protection locked="0"/>
    </xf>
  </cellStyleXfs>
  <cellXfs count="170">
    <xf numFmtId="0" fontId="0" fillId="0" borderId="0" xfId="0"/>
    <xf numFmtId="0" fontId="0" fillId="0" borderId="0" xfId="0" applyBorder="1"/>
    <xf numFmtId="0" fontId="14" fillId="0" borderId="0" xfId="10" applyFont="1"/>
    <xf numFmtId="0" fontId="13" fillId="0" borderId="0" xfId="10"/>
    <xf numFmtId="166" fontId="13" fillId="0" borderId="0" xfId="10" applyNumberFormat="1"/>
    <xf numFmtId="0" fontId="6" fillId="9" borderId="2" xfId="10" applyFont="1" applyFill="1" applyBorder="1" applyAlignment="1" applyProtection="1">
      <alignment horizontal="center" vertical="center"/>
    </xf>
    <xf numFmtId="166" fontId="6" fillId="9" borderId="2" xfId="10" applyNumberFormat="1" applyFont="1" applyFill="1" applyBorder="1" applyAlignment="1" applyProtection="1">
      <alignment horizontal="center" vertical="center"/>
    </xf>
    <xf numFmtId="0" fontId="14" fillId="0" borderId="0" xfId="10" applyFont="1" applyFill="1" applyBorder="1"/>
    <xf numFmtId="0" fontId="14" fillId="0" borderId="0" xfId="10" applyFont="1" applyFill="1" applyBorder="1" applyAlignment="1" applyProtection="1">
      <alignment vertical="center" wrapText="1"/>
    </xf>
    <xf numFmtId="166" fontId="14" fillId="0" borderId="0" xfId="10" applyNumberFormat="1" applyFont="1" applyFill="1" applyBorder="1" applyAlignment="1" applyProtection="1">
      <alignment vertical="center" wrapText="1"/>
    </xf>
    <xf numFmtId="44" fontId="14" fillId="0" borderId="0" xfId="12" applyFont="1" applyFill="1" applyBorder="1">
      <alignment vertical="center" wrapText="1"/>
    </xf>
    <xf numFmtId="167" fontId="14" fillId="0" borderId="0" xfId="10" applyNumberFormat="1" applyFont="1" applyFill="1" applyBorder="1" applyAlignment="1" applyProtection="1">
      <alignment vertical="center" wrapText="1"/>
    </xf>
    <xf numFmtId="4" fontId="14" fillId="0" borderId="0" xfId="10" applyNumberFormat="1" applyFont="1" applyFill="1" applyBorder="1" applyAlignment="1" applyProtection="1">
      <alignment vertical="center" wrapText="1"/>
    </xf>
    <xf numFmtId="44" fontId="14" fillId="0" borderId="0" xfId="7" applyNumberFormat="1" applyFont="1" applyFill="1" applyBorder="1"/>
    <xf numFmtId="166" fontId="14" fillId="0" borderId="0" xfId="10" applyNumberFormat="1" applyFont="1" applyFill="1" applyBorder="1"/>
    <xf numFmtId="44" fontId="14" fillId="0" borderId="0" xfId="10" applyNumberFormat="1" applyFont="1" applyFill="1" applyBorder="1" applyAlignment="1" applyProtection="1">
      <alignment vertical="center" wrapText="1"/>
    </xf>
    <xf numFmtId="0" fontId="14" fillId="0" borderId="0" xfId="10" applyFont="1" applyFill="1" applyBorder="1" applyAlignment="1"/>
    <xf numFmtId="0" fontId="14" fillId="0" borderId="0" xfId="2" applyFont="1" applyFill="1" applyBorder="1" applyAlignment="1"/>
    <xf numFmtId="44" fontId="14" fillId="0" borderId="0" xfId="16" applyNumberFormat="1" applyFont="1" applyFill="1" applyBorder="1" applyAlignment="1">
      <alignment vertical="center" wrapText="1"/>
    </xf>
    <xf numFmtId="167" fontId="14" fillId="0" borderId="0" xfId="2" applyNumberFormat="1" applyFont="1" applyFill="1" applyBorder="1" applyAlignment="1">
      <alignment vertical="center" wrapText="1"/>
    </xf>
    <xf numFmtId="0" fontId="16" fillId="0" borderId="0" xfId="10" quotePrefix="1" applyNumberFormat="1" applyFont="1" applyFill="1" applyBorder="1" applyAlignment="1">
      <alignment horizontal="left"/>
    </xf>
    <xf numFmtId="2" fontId="13" fillId="0" borderId="0" xfId="10" applyNumberFormat="1" applyFont="1" applyFill="1" applyBorder="1" applyAlignment="1">
      <alignment horizontal="center"/>
    </xf>
    <xf numFmtId="0" fontId="13" fillId="0" borderId="0" xfId="10" applyFont="1" applyFill="1" applyBorder="1" applyAlignment="1">
      <alignment horizontal="center"/>
    </xf>
    <xf numFmtId="170" fontId="13" fillId="0" borderId="0" xfId="10" applyNumberFormat="1" applyFont="1" applyFill="1" applyBorder="1" applyAlignment="1">
      <alignment horizontal="center"/>
    </xf>
    <xf numFmtId="166" fontId="14" fillId="0" borderId="0" xfId="10" applyNumberFormat="1" applyFont="1"/>
    <xf numFmtId="0" fontId="1" fillId="12" borderId="6" xfId="18" applyFont="1" applyFill="1" applyBorder="1" applyAlignment="1">
      <alignment horizontal="center"/>
    </xf>
    <xf numFmtId="0" fontId="1" fillId="0" borderId="0" xfId="18" applyFont="1" applyFill="1" applyBorder="1" applyAlignment="1">
      <alignment wrapText="1"/>
    </xf>
    <xf numFmtId="0" fontId="14" fillId="0" borderId="0" xfId="0" applyFont="1" applyFill="1" applyBorder="1"/>
    <xf numFmtId="0" fontId="14" fillId="0" borderId="0" xfId="18" applyFont="1" applyFill="1" applyBorder="1" applyAlignment="1">
      <alignment horizontal="right" wrapText="1"/>
    </xf>
    <xf numFmtId="0" fontId="14" fillId="0" borderId="7" xfId="10" applyFont="1" applyFill="1" applyBorder="1" applyAlignment="1" applyProtection="1">
      <alignment vertical="center" wrapText="1"/>
    </xf>
    <xf numFmtId="39" fontId="14" fillId="0" borderId="7" xfId="30" applyNumberFormat="1" applyFont="1" applyFill="1" applyBorder="1" applyAlignment="1" applyProtection="1">
      <alignment vertical="center" wrapText="1"/>
    </xf>
    <xf numFmtId="170" fontId="14" fillId="0" borderId="0" xfId="10" applyNumberFormat="1" applyFont="1" applyAlignment="1">
      <alignment vertical="center"/>
    </xf>
    <xf numFmtId="44" fontId="14" fillId="0" borderId="7" xfId="30" applyFont="1" applyFill="1" applyBorder="1" applyAlignment="1" applyProtection="1">
      <alignment horizontal="left" vertical="center" wrapText="1"/>
    </xf>
    <xf numFmtId="44" fontId="14" fillId="0" borderId="7" xfId="30" quotePrefix="1" applyFont="1" applyFill="1" applyBorder="1" applyAlignment="1" applyProtection="1">
      <alignment horizontal="left" vertical="center" wrapText="1"/>
    </xf>
    <xf numFmtId="44" fontId="14" fillId="0" borderId="7" xfId="7" applyNumberFormat="1" applyFont="1" applyFill="1" applyBorder="1"/>
    <xf numFmtId="0" fontId="22" fillId="0" borderId="7" xfId="31" applyFont="1" applyFill="1" applyBorder="1" applyAlignment="1" applyProtection="1">
      <alignment vertical="center" wrapText="1"/>
    </xf>
    <xf numFmtId="172" fontId="14" fillId="0" borderId="7" xfId="10" applyNumberFormat="1" applyFont="1" applyFill="1" applyBorder="1" applyAlignment="1" applyProtection="1">
      <alignment horizontal="right" vertical="center" wrapText="1"/>
    </xf>
    <xf numFmtId="2" fontId="14" fillId="0" borderId="7" xfId="10" applyNumberFormat="1" applyFont="1" applyFill="1" applyBorder="1" applyAlignment="1" applyProtection="1">
      <alignment horizontal="right" vertical="center" wrapText="1"/>
    </xf>
    <xf numFmtId="172" fontId="14" fillId="0" borderId="7" xfId="10" applyNumberFormat="1" applyFont="1" applyFill="1" applyBorder="1" applyAlignment="1" applyProtection="1">
      <alignment horizontal="left" vertical="center" wrapText="1"/>
    </xf>
    <xf numFmtId="39" fontId="14" fillId="0" borderId="0" xfId="30" applyNumberFormat="1" applyFont="1" applyFill="1" applyBorder="1" applyAlignment="1" applyProtection="1">
      <alignment vertical="center" wrapText="1"/>
    </xf>
    <xf numFmtId="170" fontId="14" fillId="0" borderId="0" xfId="10" applyNumberFormat="1" applyFont="1" applyFill="1" applyBorder="1" applyAlignment="1">
      <alignment vertical="center"/>
    </xf>
    <xf numFmtId="44" fontId="14" fillId="0" borderId="0" xfId="30" applyFont="1" applyFill="1" applyBorder="1" applyAlignment="1" applyProtection="1">
      <alignment horizontal="left" vertical="center" wrapText="1"/>
    </xf>
    <xf numFmtId="0" fontId="14" fillId="0" borderId="0" xfId="10" quotePrefix="1" applyFont="1" applyFill="1" applyBorder="1" applyAlignment="1">
      <alignment horizontal="left"/>
    </xf>
    <xf numFmtId="172" fontId="14" fillId="0" borderId="0" xfId="10" applyNumberFormat="1" applyFont="1" applyFill="1" applyBorder="1" applyAlignment="1" applyProtection="1">
      <alignment horizontal="right" vertical="center" wrapText="1"/>
    </xf>
    <xf numFmtId="2" fontId="14" fillId="0" borderId="0" xfId="10" applyNumberFormat="1" applyFont="1" applyFill="1" applyBorder="1" applyAlignment="1" applyProtection="1">
      <alignment horizontal="right" vertical="center" wrapText="1"/>
    </xf>
    <xf numFmtId="172" fontId="14" fillId="0" borderId="0" xfId="10" applyNumberFormat="1" applyFont="1" applyFill="1" applyBorder="1" applyAlignment="1" applyProtection="1">
      <alignment horizontal="left" vertical="center" wrapText="1"/>
    </xf>
    <xf numFmtId="2" fontId="14" fillId="0" borderId="0" xfId="10" applyNumberFormat="1" applyFont="1" applyFill="1" applyBorder="1"/>
    <xf numFmtId="0" fontId="14" fillId="0" borderId="0" xfId="10" quotePrefix="1" applyFont="1" applyFill="1" applyBorder="1"/>
    <xf numFmtId="167" fontId="14" fillId="0" borderId="0" xfId="10" quotePrefix="1" applyNumberFormat="1" applyFont="1" applyFill="1" applyBorder="1" applyAlignment="1" applyProtection="1">
      <alignment vertical="center" wrapText="1"/>
    </xf>
    <xf numFmtId="167" fontId="14" fillId="0" borderId="0" xfId="28" applyFont="1" applyFill="1" applyBorder="1">
      <alignment vertical="center" wrapText="1"/>
    </xf>
    <xf numFmtId="165" fontId="14" fillId="0" borderId="0" xfId="7" applyNumberFormat="1" applyFont="1" applyFill="1" applyBorder="1"/>
    <xf numFmtId="43" fontId="14" fillId="0" borderId="0" xfId="32" applyFont="1" applyFill="1" applyBorder="1" applyAlignment="1" applyProtection="1">
      <alignment vertical="center" wrapText="1"/>
    </xf>
    <xf numFmtId="44" fontId="14" fillId="0" borderId="0" xfId="30" applyFont="1" applyFill="1" applyBorder="1" applyAlignment="1" applyProtection="1">
      <alignment vertical="center" wrapText="1"/>
    </xf>
    <xf numFmtId="167" fontId="14" fillId="0" borderId="0" xfId="28" applyFont="1" applyFill="1" applyBorder="1" applyAlignment="1">
      <alignment vertical="center" wrapText="1"/>
    </xf>
    <xf numFmtId="0" fontId="20" fillId="0" borderId="0" xfId="10" applyFont="1" applyFill="1" applyBorder="1" applyAlignment="1">
      <alignment vertical="center"/>
    </xf>
    <xf numFmtId="39" fontId="14" fillId="0" borderId="0" xfId="30" applyNumberFormat="1" applyFont="1" applyFill="1" applyBorder="1" applyAlignment="1">
      <alignment vertical="center" wrapText="1"/>
    </xf>
    <xf numFmtId="173" fontId="14" fillId="0" borderId="0" xfId="30" applyNumberFormat="1" applyFont="1" applyFill="1" applyBorder="1" applyAlignment="1">
      <alignment vertical="center" wrapText="1"/>
    </xf>
    <xf numFmtId="0" fontId="20" fillId="0" borderId="0" xfId="10" applyFont="1" applyFill="1" applyBorder="1"/>
    <xf numFmtId="43" fontId="20" fillId="0" borderId="0" xfId="32" applyFont="1" applyFill="1" applyBorder="1"/>
    <xf numFmtId="44" fontId="14" fillId="0" borderId="0" xfId="30" applyFont="1" applyFill="1" applyBorder="1" applyAlignment="1" applyProtection="1">
      <alignment horizontal="right" vertical="center" wrapText="1"/>
    </xf>
    <xf numFmtId="44" fontId="14" fillId="0" borderId="0" xfId="30" applyFont="1" applyFill="1" applyBorder="1"/>
    <xf numFmtId="174" fontId="14" fillId="0" borderId="0" xfId="32" applyNumberFormat="1" applyFont="1" applyFill="1" applyBorder="1" applyAlignment="1" applyProtection="1">
      <alignment horizontal="right" vertical="center" wrapText="1"/>
    </xf>
    <xf numFmtId="167" fontId="14" fillId="0" borderId="0" xfId="1" applyNumberFormat="1" applyFont="1" applyFill="1" applyBorder="1" applyAlignment="1">
      <alignment vertical="center" wrapText="1"/>
    </xf>
    <xf numFmtId="165" fontId="14" fillId="0" borderId="0" xfId="30" applyNumberFormat="1" applyFont="1" applyFill="1" applyBorder="1" applyAlignment="1" applyProtection="1">
      <alignment vertical="center" wrapText="1"/>
    </xf>
    <xf numFmtId="175" fontId="14" fillId="0" borderId="0" xfId="30" applyNumberFormat="1" applyFont="1" applyFill="1" applyBorder="1" applyAlignment="1">
      <alignment vertical="center" wrapText="1"/>
    </xf>
    <xf numFmtId="172" fontId="14" fillId="0" borderId="0" xfId="2" applyNumberFormat="1" applyFont="1" applyFill="1" applyBorder="1" applyAlignment="1" applyProtection="1">
      <alignment horizontal="right" vertical="center" wrapText="1"/>
    </xf>
    <xf numFmtId="44" fontId="14" fillId="0" borderId="0" xfId="10" applyNumberFormat="1" applyFont="1" applyFill="1" applyBorder="1"/>
    <xf numFmtId="43" fontId="14" fillId="0" borderId="0" xfId="32" applyFont="1" applyFill="1" applyBorder="1" applyAlignment="1" applyProtection="1">
      <alignment horizontal="right" vertical="center" wrapText="1"/>
    </xf>
    <xf numFmtId="167" fontId="14" fillId="0" borderId="0" xfId="28" quotePrefix="1" applyFont="1" applyFill="1" applyBorder="1" applyAlignment="1">
      <alignment vertical="center" wrapText="1"/>
    </xf>
    <xf numFmtId="171" fontId="14" fillId="0" borderId="0" xfId="10" applyNumberFormat="1" applyFont="1" applyFill="1" applyBorder="1" applyAlignment="1" applyProtection="1">
      <alignment horizontal="right" vertical="center" wrapText="1"/>
    </xf>
    <xf numFmtId="0" fontId="14" fillId="0" borderId="8" xfId="10" applyFont="1" applyFill="1" applyBorder="1" applyAlignment="1" applyProtection="1">
      <alignment vertical="center" wrapText="1"/>
    </xf>
    <xf numFmtId="44" fontId="14" fillId="0" borderId="8" xfId="30" applyFont="1" applyFill="1" applyBorder="1" applyAlignment="1" applyProtection="1">
      <alignment vertical="center" wrapText="1"/>
    </xf>
    <xf numFmtId="167" fontId="14" fillId="0" borderId="8" xfId="10" applyNumberFormat="1" applyFont="1" applyFill="1" applyBorder="1" applyAlignment="1" applyProtection="1">
      <alignment vertical="center" wrapText="1"/>
    </xf>
    <xf numFmtId="172" fontId="14" fillId="0" borderId="8" xfId="10" applyNumberFormat="1" applyFont="1" applyFill="1" applyBorder="1" applyAlignment="1" applyProtection="1">
      <alignment horizontal="right" vertical="center" wrapText="1"/>
    </xf>
    <xf numFmtId="0" fontId="14" fillId="0" borderId="1" xfId="10" applyFont="1" applyFill="1" applyBorder="1" applyAlignment="1" applyProtection="1">
      <alignment vertical="center" wrapText="1"/>
    </xf>
    <xf numFmtId="44" fontId="14" fillId="0" borderId="1" xfId="30" applyFont="1" applyFill="1" applyBorder="1" applyAlignment="1" applyProtection="1">
      <alignment vertical="center" wrapText="1"/>
    </xf>
    <xf numFmtId="167" fontId="14" fillId="0" borderId="1" xfId="10" applyNumberFormat="1" applyFont="1" applyFill="1" applyBorder="1" applyAlignment="1" applyProtection="1">
      <alignment vertical="center" wrapText="1"/>
    </xf>
    <xf numFmtId="172" fontId="14" fillId="0" borderId="1" xfId="10" applyNumberFormat="1" applyFont="1" applyFill="1" applyBorder="1" applyAlignment="1" applyProtection="1">
      <alignment horizontal="right" vertical="center" wrapText="1"/>
    </xf>
    <xf numFmtId="171" fontId="14" fillId="0" borderId="1" xfId="10" applyNumberFormat="1" applyFont="1" applyFill="1" applyBorder="1" applyAlignment="1" applyProtection="1">
      <alignment horizontal="right" vertical="center" wrapText="1"/>
    </xf>
    <xf numFmtId="0" fontId="1" fillId="0" borderId="1" xfId="18" applyFont="1" applyFill="1" applyBorder="1" applyAlignment="1">
      <alignment horizontal="right" wrapText="1"/>
    </xf>
    <xf numFmtId="0" fontId="1" fillId="0" borderId="1" xfId="18" applyFont="1" applyFill="1" applyBorder="1" applyAlignment="1">
      <alignment wrapText="1"/>
    </xf>
    <xf numFmtId="0" fontId="1" fillId="0" borderId="9" xfId="18" applyFont="1" applyFill="1" applyBorder="1" applyAlignment="1">
      <alignment wrapText="1"/>
    </xf>
    <xf numFmtId="0" fontId="1" fillId="0" borderId="10" xfId="18" applyFont="1" applyFill="1" applyBorder="1" applyAlignment="1">
      <alignment wrapText="1"/>
    </xf>
    <xf numFmtId="0" fontId="4" fillId="4" borderId="0" xfId="10" applyFont="1" applyFill="1" applyAlignment="1">
      <alignment wrapText="1"/>
    </xf>
    <xf numFmtId="0" fontId="19" fillId="13" borderId="12" xfId="0" applyNumberFormat="1" applyFont="1" applyFill="1" applyBorder="1"/>
    <xf numFmtId="0" fontId="14" fillId="0" borderId="0" xfId="0" applyNumberFormat="1" applyFont="1" applyFill="1" applyBorder="1"/>
    <xf numFmtId="0" fontId="14" fillId="0" borderId="0" xfId="0" quotePrefix="1" applyNumberFormat="1" applyFont="1" applyFill="1" applyBorder="1" applyAlignment="1">
      <alignment horizontal="right"/>
    </xf>
    <xf numFmtId="0" fontId="14" fillId="0" borderId="0" xfId="29" applyNumberFormat="1" applyFont="1" applyFill="1" applyBorder="1"/>
    <xf numFmtId="0" fontId="14" fillId="0" borderId="0" xfId="33" applyNumberFormat="1" applyFont="1" applyFill="1" applyBorder="1"/>
    <xf numFmtId="0" fontId="14" fillId="0" borderId="0" xfId="0" applyNumberFormat="1" applyFont="1" applyFill="1" applyBorder="1" applyAlignment="1">
      <alignment horizontal="left"/>
    </xf>
    <xf numFmtId="0" fontId="19" fillId="0" borderId="0" xfId="0" applyNumberFormat="1" applyFont="1" applyFill="1" applyBorder="1"/>
    <xf numFmtId="0" fontId="19" fillId="13" borderId="2" xfId="0" applyNumberFormat="1" applyFont="1" applyFill="1" applyBorder="1"/>
    <xf numFmtId="0" fontId="14" fillId="0" borderId="2" xfId="0" applyNumberFormat="1" applyFont="1" applyFill="1" applyBorder="1"/>
    <xf numFmtId="0" fontId="14" fillId="0" borderId="2" xfId="29" applyNumberFormat="1" applyFont="1" applyFill="1" applyBorder="1"/>
    <xf numFmtId="0" fontId="14" fillId="0" borderId="2" xfId="33" applyNumberFormat="1" applyFont="1" applyFill="1" applyBorder="1"/>
    <xf numFmtId="0" fontId="19" fillId="13" borderId="2" xfId="0" applyNumberFormat="1" applyFont="1" applyFill="1" applyBorder="1" applyAlignment="1">
      <alignment horizontal="right"/>
    </xf>
    <xf numFmtId="0" fontId="14" fillId="0" borderId="0" xfId="0" applyNumberFormat="1" applyFont="1" applyFill="1" applyBorder="1" applyAlignment="1">
      <alignment horizontal="right"/>
    </xf>
    <xf numFmtId="0" fontId="19" fillId="14" borderId="2" xfId="0" applyNumberFormat="1" applyFont="1" applyFill="1" applyBorder="1"/>
    <xf numFmtId="0" fontId="19" fillId="15" borderId="2" xfId="0" applyNumberFormat="1" applyFont="1" applyFill="1" applyBorder="1"/>
    <xf numFmtId="0" fontId="14" fillId="0" borderId="0" xfId="10" applyFont="1" applyFill="1" applyBorder="1" applyAlignment="1">
      <alignment wrapText="1"/>
    </xf>
    <xf numFmtId="0" fontId="14" fillId="0" borderId="0" xfId="10" applyFont="1" applyAlignment="1">
      <alignment wrapText="1"/>
    </xf>
    <xf numFmtId="0" fontId="6" fillId="9" borderId="13" xfId="10" applyFont="1" applyFill="1" applyBorder="1" applyAlignment="1" applyProtection="1">
      <alignment horizontal="center" vertical="center"/>
    </xf>
    <xf numFmtId="0" fontId="1" fillId="12" borderId="14" xfId="18" applyFont="1" applyFill="1" applyBorder="1" applyAlignment="1">
      <alignment horizontal="center"/>
    </xf>
    <xf numFmtId="0" fontId="0" fillId="0" borderId="0" xfId="0" applyAlignment="1">
      <alignment wrapText="1"/>
    </xf>
    <xf numFmtId="0" fontId="1" fillId="12" borderId="15" xfId="18" applyFont="1" applyFill="1" applyBorder="1" applyAlignment="1">
      <alignment horizontal="center"/>
    </xf>
    <xf numFmtId="0" fontId="1" fillId="12" borderId="15" xfId="18" applyFont="1" applyFill="1" applyBorder="1" applyAlignment="1">
      <alignment horizontal="center" wrapText="1"/>
    </xf>
    <xf numFmtId="0" fontId="19" fillId="9" borderId="13" xfId="10" applyFont="1" applyFill="1" applyBorder="1" applyAlignment="1" applyProtection="1">
      <alignment horizontal="center" vertical="center"/>
    </xf>
    <xf numFmtId="0" fontId="19" fillId="9" borderId="13" xfId="10" applyFont="1" applyFill="1" applyBorder="1" applyAlignment="1" applyProtection="1">
      <alignment horizontal="center" vertical="center" wrapText="1"/>
    </xf>
    <xf numFmtId="0" fontId="14" fillId="0" borderId="0" xfId="0" applyFont="1"/>
    <xf numFmtId="0" fontId="20" fillId="0" borderId="0" xfId="0" applyFont="1"/>
    <xf numFmtId="166" fontId="0" fillId="0" borderId="0" xfId="0" applyNumberFormat="1"/>
    <xf numFmtId="0" fontId="6" fillId="9" borderId="2" xfId="0" applyFont="1" applyFill="1" applyBorder="1" applyAlignment="1" applyProtection="1">
      <alignment horizontal="center" vertical="center"/>
    </xf>
    <xf numFmtId="166" fontId="6" fillId="9" borderId="2" xfId="0" applyNumberFormat="1" applyFont="1" applyFill="1" applyBorder="1" applyAlignment="1" applyProtection="1">
      <alignment horizontal="center" vertical="center"/>
    </xf>
    <xf numFmtId="0" fontId="14" fillId="0" borderId="7" xfId="0" applyFont="1" applyFill="1" applyBorder="1" applyAlignment="1" applyProtection="1">
      <alignment vertical="center" wrapText="1"/>
    </xf>
    <xf numFmtId="167" fontId="14" fillId="0" borderId="7" xfId="0" applyNumberFormat="1" applyFont="1" applyFill="1" applyBorder="1" applyAlignment="1" applyProtection="1">
      <alignment vertical="center" wrapText="1"/>
    </xf>
    <xf numFmtId="166" fontId="14" fillId="0" borderId="7" xfId="0" applyNumberFormat="1" applyFont="1" applyFill="1" applyBorder="1" applyAlignment="1" applyProtection="1">
      <alignment vertical="center" wrapText="1"/>
    </xf>
    <xf numFmtId="0" fontId="14" fillId="0" borderId="7" xfId="0" applyFont="1" applyFill="1" applyBorder="1"/>
    <xf numFmtId="0" fontId="14" fillId="0" borderId="0" xfId="0" applyFont="1" applyBorder="1"/>
    <xf numFmtId="0" fontId="14" fillId="0" borderId="0" xfId="0" applyFont="1" applyFill="1" applyBorder="1" applyAlignment="1" applyProtection="1">
      <alignment vertical="center" wrapText="1"/>
    </xf>
    <xf numFmtId="166" fontId="14" fillId="0" borderId="0" xfId="0" applyNumberFormat="1" applyFont="1" applyFill="1" applyBorder="1" applyAlignment="1" applyProtection="1">
      <alignment vertical="center" wrapText="1"/>
    </xf>
    <xf numFmtId="44" fontId="24" fillId="0" borderId="0" xfId="11" applyFont="1" applyFill="1" applyBorder="1">
      <alignment vertical="center" wrapText="1"/>
    </xf>
    <xf numFmtId="168" fontId="14" fillId="0" borderId="0" xfId="0" applyNumberFormat="1" applyFont="1" applyFill="1" applyBorder="1" applyAlignment="1" applyProtection="1">
      <alignment vertical="center" wrapText="1"/>
    </xf>
    <xf numFmtId="4" fontId="14" fillId="0" borderId="0" xfId="0" applyNumberFormat="1" applyFont="1" applyFill="1" applyBorder="1" applyAlignment="1" applyProtection="1">
      <alignment vertical="center" wrapText="1"/>
    </xf>
    <xf numFmtId="44" fontId="24" fillId="0" borderId="0" xfId="7" applyNumberFormat="1" applyFont="1" applyFill="1" applyBorder="1"/>
    <xf numFmtId="44" fontId="24" fillId="0" borderId="0" xfId="4" applyFont="1" applyFill="1" applyBorder="1">
      <alignment vertical="center" wrapText="1"/>
    </xf>
    <xf numFmtId="166" fontId="14" fillId="0" borderId="0" xfId="0" applyNumberFormat="1" applyFont="1" applyFill="1" applyBorder="1"/>
    <xf numFmtId="167" fontId="14" fillId="0" borderId="0" xfId="0" applyNumberFormat="1" applyFont="1" applyFill="1" applyBorder="1" applyAlignment="1" applyProtection="1">
      <alignment vertical="center" wrapText="1"/>
    </xf>
    <xf numFmtId="0" fontId="24" fillId="0" borderId="0" xfId="1" applyFont="1" applyFill="1" applyBorder="1"/>
    <xf numFmtId="0" fontId="24" fillId="0" borderId="0" xfId="2" applyFont="1" applyFill="1" applyBorder="1"/>
    <xf numFmtId="44" fontId="24" fillId="0" borderId="0" xfId="6" applyFont="1" applyFill="1" applyBorder="1"/>
    <xf numFmtId="44" fontId="24" fillId="0" borderId="0" xfId="7" applyNumberFormat="1" applyFont="1" applyFill="1" applyBorder="1" applyAlignment="1">
      <alignment vertical="center" wrapText="1"/>
    </xf>
    <xf numFmtId="8" fontId="24" fillId="0" borderId="0" xfId="7" applyNumberFormat="1" applyFont="1" applyFill="1" applyBorder="1"/>
    <xf numFmtId="169" fontId="24" fillId="0" borderId="0" xfId="11" applyNumberFormat="1" applyFont="1" applyFill="1" applyBorder="1">
      <alignment vertical="center" wrapText="1"/>
    </xf>
    <xf numFmtId="44" fontId="24" fillId="0" borderId="0" xfId="2" applyNumberFormat="1" applyFont="1" applyFill="1" applyBorder="1" applyAlignment="1">
      <alignment vertical="center" wrapText="1"/>
    </xf>
    <xf numFmtId="44" fontId="14" fillId="0" borderId="0" xfId="0" applyNumberFormat="1" applyFont="1" applyFill="1" applyBorder="1" applyAlignment="1" applyProtection="1">
      <alignment vertical="center" wrapText="1"/>
    </xf>
    <xf numFmtId="44" fontId="24" fillId="0" borderId="0" xfId="8" applyNumberFormat="1" applyFont="1" applyFill="1" applyBorder="1"/>
    <xf numFmtId="0" fontId="14" fillId="0" borderId="0" xfId="0" applyFont="1" applyFill="1" applyBorder="1" applyAlignment="1"/>
    <xf numFmtId="44" fontId="24" fillId="0" borderId="0" xfId="15" applyFont="1" applyFill="1" applyBorder="1">
      <alignment vertical="center" wrapText="1"/>
    </xf>
    <xf numFmtId="44" fontId="24" fillId="0" borderId="0" xfId="7" applyNumberFormat="1" applyFont="1" applyFill="1" applyBorder="1" applyAlignment="1" applyProtection="1">
      <alignment vertical="center" wrapText="1"/>
    </xf>
    <xf numFmtId="44" fontId="24" fillId="0" borderId="0" xfId="1" applyNumberFormat="1" applyFont="1" applyFill="1" applyBorder="1" applyAlignment="1" applyProtection="1">
      <alignment vertical="center" wrapText="1"/>
    </xf>
    <xf numFmtId="44" fontId="24" fillId="0" borderId="0" xfId="7" applyNumberFormat="1" applyFont="1" applyFill="1" applyBorder="1" applyAlignment="1" applyProtection="1">
      <alignment horizontal="right" vertical="center" wrapText="1"/>
    </xf>
    <xf numFmtId="44" fontId="24" fillId="0" borderId="0" xfId="1" applyNumberFormat="1" applyFont="1" applyFill="1" applyBorder="1" applyAlignment="1" applyProtection="1">
      <alignment horizontal="right" vertical="center" wrapText="1"/>
    </xf>
    <xf numFmtId="44" fontId="24" fillId="0" borderId="0" xfId="2" applyNumberFormat="1" applyFont="1" applyFill="1" applyBorder="1" applyAlignment="1" applyProtection="1">
      <alignment horizontal="right" vertical="center" wrapText="1"/>
    </xf>
    <xf numFmtId="0" fontId="24" fillId="0" borderId="0" xfId="7" applyFont="1" applyFill="1" applyBorder="1" applyAlignment="1" applyProtection="1">
      <alignment vertical="center" wrapText="1"/>
    </xf>
    <xf numFmtId="0" fontId="24" fillId="0" borderId="0" xfId="2" applyFont="1" applyFill="1" applyBorder="1" applyAlignment="1"/>
    <xf numFmtId="44" fontId="24" fillId="0" borderId="0" xfId="8" applyNumberFormat="1" applyFont="1" applyFill="1" applyBorder="1" applyAlignment="1" applyProtection="1">
      <alignment vertical="center" wrapText="1"/>
    </xf>
    <xf numFmtId="169" fontId="24" fillId="0" borderId="0" xfId="8" applyNumberFormat="1" applyFont="1" applyFill="1" applyBorder="1" applyAlignment="1" applyProtection="1">
      <alignment vertical="center" wrapText="1"/>
    </xf>
    <xf numFmtId="165" fontId="24" fillId="0" borderId="0" xfId="11" applyNumberFormat="1" applyFont="1" applyFill="1" applyBorder="1">
      <alignment vertical="center" wrapText="1"/>
    </xf>
    <xf numFmtId="0" fontId="24" fillId="0" borderId="0" xfId="2" applyFont="1" applyFill="1" applyBorder="1" applyAlignment="1" applyProtection="1">
      <alignment vertical="center" wrapText="1"/>
    </xf>
    <xf numFmtId="167" fontId="24" fillId="0" borderId="0" xfId="2" applyNumberFormat="1" applyFont="1" applyFill="1" applyBorder="1" applyAlignment="1">
      <alignment vertical="center" wrapText="1"/>
    </xf>
    <xf numFmtId="0" fontId="24" fillId="0" borderId="0" xfId="17" applyFont="1" applyFill="1" applyBorder="1"/>
    <xf numFmtId="0" fontId="14" fillId="0" borderId="0" xfId="17" applyFont="1" applyFill="1" applyBorder="1"/>
    <xf numFmtId="44" fontId="24" fillId="0" borderId="0" xfId="6" applyFont="1" applyFill="1" applyBorder="1" applyAlignment="1" applyProtection="1">
      <alignment vertical="center" wrapText="1"/>
    </xf>
    <xf numFmtId="0" fontId="14" fillId="0" borderId="0" xfId="0" applyFont="1" applyFill="1" applyBorder="1" applyAlignment="1" applyProtection="1">
      <alignment vertical="center"/>
    </xf>
    <xf numFmtId="0" fontId="14" fillId="0" borderId="0" xfId="0" applyFont="1" applyFill="1"/>
    <xf numFmtId="166" fontId="14" fillId="0" borderId="0" xfId="0" applyNumberFormat="1" applyFont="1" applyFill="1"/>
    <xf numFmtId="166" fontId="14" fillId="0" borderId="0" xfId="0" applyNumberFormat="1" applyFont="1"/>
    <xf numFmtId="0" fontId="1" fillId="0" borderId="1" xfId="0" applyFont="1" applyFill="1" applyBorder="1" applyAlignment="1" applyProtection="1">
      <alignment vertical="center" wrapText="1"/>
    </xf>
    <xf numFmtId="166" fontId="1" fillId="0" borderId="1" xfId="0" applyNumberFormat="1" applyFont="1" applyFill="1" applyBorder="1" applyAlignment="1" applyProtection="1">
      <alignment vertical="center" wrapText="1"/>
    </xf>
    <xf numFmtId="0" fontId="14" fillId="0" borderId="1" xfId="0" applyFont="1" applyBorder="1"/>
    <xf numFmtId="44" fontId="7" fillId="0" borderId="1" xfId="5" applyFont="1" applyBorder="1"/>
    <xf numFmtId="0" fontId="0" fillId="0" borderId="1" xfId="0" applyBorder="1"/>
    <xf numFmtId="15" fontId="1" fillId="0" borderId="0" xfId="18" applyNumberFormat="1" applyFont="1" applyFill="1" applyBorder="1" applyAlignment="1">
      <alignment wrapText="1"/>
    </xf>
    <xf numFmtId="0" fontId="0" fillId="0" borderId="9" xfId="0" applyBorder="1"/>
    <xf numFmtId="15" fontId="0" fillId="0" borderId="0" xfId="0" applyNumberFormat="1"/>
    <xf numFmtId="44" fontId="0" fillId="0" borderId="0" xfId="0" applyNumberFormat="1"/>
    <xf numFmtId="176" fontId="1" fillId="0" borderId="1" xfId="5" applyNumberFormat="1" applyFont="1" applyFill="1" applyBorder="1" applyAlignment="1">
      <alignment horizontal="right" wrapText="1"/>
    </xf>
    <xf numFmtId="176" fontId="1" fillId="0" borderId="9" xfId="5" applyNumberFormat="1" applyFont="1" applyFill="1" applyBorder="1" applyAlignment="1">
      <alignment horizontal="right" wrapText="1"/>
    </xf>
    <xf numFmtId="0" fontId="14" fillId="3" borderId="11" xfId="10" applyFont="1" applyFill="1" applyBorder="1" applyAlignment="1">
      <alignment horizontal="left" wrapText="1"/>
    </xf>
    <xf numFmtId="0" fontId="14" fillId="0" borderId="0" xfId="0" quotePrefix="1" applyNumberFormat="1" applyFont="1" applyFill="1" applyBorder="1" applyAlignment="1">
      <alignment horizontal="left"/>
    </xf>
  </cellXfs>
  <cellStyles count="37">
    <cellStyle name="Bad" xfId="1" builtinId="27"/>
    <cellStyle name="Calculation 2" xfId="13"/>
    <cellStyle name="Check Cell" xfId="2" builtinId="23"/>
    <cellStyle name="Comma 2" xfId="3"/>
    <cellStyle name="Comma 3" xfId="32"/>
    <cellStyle name="Comma 4" xfId="33"/>
    <cellStyle name="Cost Table Plain" xfId="12"/>
    <cellStyle name="Cost_Green" xfId="4"/>
    <cellStyle name="Cost_Red" xfId="15"/>
    <cellStyle name="Cost_Yellow" xfId="11"/>
    <cellStyle name="Currency" xfId="5" builtinId="4"/>
    <cellStyle name="Currency 2" xfId="6"/>
    <cellStyle name="Currency 3" xfId="29"/>
    <cellStyle name="Currency 4" xfId="30"/>
    <cellStyle name="Currency 5" xfId="35"/>
    <cellStyle name="Good" xfId="7" builtinId="26"/>
    <cellStyle name="Good 2" xfId="16"/>
    <cellStyle name="Hyperlink" xfId="31" builtinId="8"/>
    <cellStyle name="Hyperlink 2" xfId="36"/>
    <cellStyle name="Neutral" xfId="8" builtinId="28"/>
    <cellStyle name="Normal" xfId="0" builtinId="0"/>
    <cellStyle name="Normal 2" xfId="9"/>
    <cellStyle name="Normal 2 2" xfId="14"/>
    <cellStyle name="Normal 2 2 2" xfId="19"/>
    <cellStyle name="Normal 2 2 2 2" xfId="20"/>
    <cellStyle name="Normal 2 2 2 2 2" xfId="21"/>
    <cellStyle name="Normal 2 2 2 3" xfId="22"/>
    <cellStyle name="Normal 2 2 3" xfId="23"/>
    <cellStyle name="Normal 2 2 4" xfId="24"/>
    <cellStyle name="Normal 2 2 4 2" xfId="25"/>
    <cellStyle name="Normal 2 3" xfId="26"/>
    <cellStyle name="Normal 2 4" xfId="27"/>
    <cellStyle name="Normal 3" xfId="10"/>
    <cellStyle name="Normal 3 2" xfId="17"/>
    <cellStyle name="Normal_Sheet1" xfId="18"/>
    <cellStyle name="Style 1" xfId="28"/>
    <cellStyle name="Style 1 2" xfId="34"/>
  </cellStyles>
  <dxfs count="56">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numFmt numFmtId="172" formatCode="dd\-mmm\-yy"/>
      <fill>
        <patternFill patternType="none">
          <fgColor indexed="64"/>
          <bgColor indexed="65"/>
        </patternFill>
      </fill>
      <alignment horizontal="right"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numFmt numFmtId="165" formatCode="_(&quot;$&quot;* #,##0.000_);_(&quot;$&quot;* \(#,##0.000\);_(&quot;$&quot;* &quot;-&quot;??_);_(@_)"/>
      <fill>
        <patternFill patternType="none">
          <fgColor indexed="64"/>
          <bgColor indexed="65"/>
        </patternFill>
      </fill>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numFmt numFmtId="175" formatCode="#,##0.000_);\(#,##0.000\)"/>
      <fill>
        <patternFill patternType="none">
          <fgColor indexed="64"/>
          <bgColor indexed="65"/>
        </patternFill>
      </fill>
      <alignment horizontal="general" vertical="center"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numFmt numFmtId="175" formatCode="#,##0.000_);\(#,##0.000\)"/>
      <fill>
        <patternFill patternType="none">
          <fgColor indexed="64"/>
          <bgColor indexed="65"/>
        </patternFill>
      </fill>
      <alignment horizontal="general" vertical="center"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dxf>
    <dxf>
      <font>
        <b val="0"/>
        <i val="0"/>
        <strike val="0"/>
        <condense val="0"/>
        <extend val="0"/>
        <outline val="0"/>
        <shadow val="0"/>
        <u val="none"/>
        <vertAlign val="baseline"/>
        <sz val="11"/>
        <color auto="1"/>
        <name val="Calibri"/>
        <scheme val="none"/>
      </font>
      <fill>
        <patternFill patternType="none">
          <fgColor indexed="64"/>
          <bgColor indexed="65"/>
        </patternFill>
      </fill>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scheme val="none"/>
      </font>
      <fill>
        <patternFill patternType="solid">
          <fgColor indexed="22"/>
          <bgColor indexed="22"/>
        </patternFill>
      </fill>
      <alignment horizontal="center" vertical="center" textRotation="0" wrapText="0" indent="0" relativeIndent="0" justifyLastLine="0" shrinkToFit="0" mergeCell="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dxf>
    <dxf>
      <font>
        <b val="0"/>
        <i val="0"/>
        <strike val="0"/>
        <condense val="0"/>
        <extend val="0"/>
        <outline val="0"/>
        <shadow val="0"/>
        <u val="none"/>
        <vertAlign val="baseline"/>
        <sz val="11"/>
        <color auto="1"/>
        <name val="Calibri"/>
        <scheme val="none"/>
      </font>
      <numFmt numFmtId="2" formatCode="0.00"/>
      <fill>
        <patternFill patternType="none">
          <fgColor indexed="64"/>
          <bgColor indexed="65"/>
        </patternFill>
      </fill>
      <alignment horizontal="right" vertical="bottom" textRotation="0" wrapText="1" indent="0" relativeIndent="0" justifyLastLine="0" shrinkToFit="0" mergeCell="0" readingOrder="0"/>
      <border diagonalUp="0" diagonalDown="0">
        <left style="thin">
          <color indexed="22"/>
        </left>
        <right style="thin">
          <color indexed="22"/>
        </right>
        <top style="thin">
          <color indexed="22"/>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right" vertical="bottom" textRotation="0" wrapText="1" indent="0" relativeIndent="0" justifyLastLine="0" shrinkToFit="0" mergeCell="0" readingOrder="0"/>
    </dxf>
    <dxf>
      <border outline="0">
        <top style="thin">
          <color indexed="8"/>
        </top>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indent="0" relativeIndent="0" justifyLastLine="0" shrinkToFit="0" mergeCell="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vertical="bottom" textRotation="0" wrapText="1" indent="0" relativeIndent="255" justifyLastLine="0" shrinkToFit="0" mergeCell="0" readingOrder="0"/>
    </dxf>
    <dxf>
      <font>
        <b val="0"/>
        <i val="0"/>
        <strike val="0"/>
        <condense val="0"/>
        <extend val="0"/>
        <outline val="0"/>
        <shadow val="0"/>
        <u val="none"/>
        <vertAlign val="baseline"/>
        <sz val="11"/>
        <color auto="1"/>
        <name val="Calibri"/>
        <scheme val="none"/>
      </font>
      <numFmt numFmtId="20" formatCode="d\-mmm\-yy"/>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dxf>
    <dxf>
      <border outline="0">
        <top style="thin">
          <color indexed="8"/>
        </top>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indent="0" relativeIndent="0" justifyLastLine="0" shrinkToFit="0" mergeCell="0" readingOrder="0"/>
      <border diagonalUp="0" diagonalDown="0" outline="0">
        <left style="thin">
          <color indexed="8"/>
        </left>
        <right style="thin">
          <color indexed="8"/>
        </right>
        <top/>
        <bottom/>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bottom" textRotation="0" wrapText="1" indent="0" relativeIndent="0" justifyLastLine="0" shrinkToFit="0" mergeCell="0" readingOrder="0"/>
    </dxf>
    <dxf>
      <font>
        <b val="0"/>
        <i val="0"/>
        <strike val="0"/>
        <condense val="0"/>
        <extend val="0"/>
        <outline val="0"/>
        <shadow val="0"/>
        <u val="none"/>
        <vertAlign val="baseline"/>
        <sz val="11"/>
        <color auto="1"/>
        <name val="Calibri"/>
        <scheme val="none"/>
      </font>
      <numFmt numFmtId="166" formatCode="[$-409]d\-mmm\-yy;@"/>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font>
        <b val="0"/>
        <i val="0"/>
        <strike val="0"/>
        <condense val="0"/>
        <extend val="0"/>
        <outline val="0"/>
        <shadow val="0"/>
        <u val="none"/>
        <vertAlign val="baseline"/>
        <sz val="11"/>
        <color auto="1"/>
        <name val="Calibri"/>
        <scheme val="none"/>
      </font>
      <fill>
        <patternFill patternType="none">
          <fgColor indexed="64"/>
          <bgColor indexed="65"/>
        </patternFill>
      </fill>
    </dxf>
    <dxf>
      <border outline="0">
        <top style="thin">
          <color indexed="64"/>
        </top>
      </border>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general" vertical="center" textRotation="0" wrapText="1" indent="0" relativeIndent="0" justifyLastLine="0" shrinkToFit="0" mergeCell="0" readingOrder="0"/>
      <protection locked="1" hidden="0"/>
    </dxf>
    <dxf>
      <border outline="0">
        <bottom style="thin">
          <color indexed="64"/>
        </bottom>
      </border>
    </dxf>
    <dxf>
      <font>
        <b/>
        <i val="0"/>
        <strike val="0"/>
        <condense val="0"/>
        <extend val="0"/>
        <outline val="0"/>
        <shadow val="0"/>
        <u val="none"/>
        <vertAlign val="baseline"/>
        <sz val="11"/>
        <color indexed="8"/>
        <name val="Calibri"/>
        <scheme val="none"/>
      </font>
      <fill>
        <patternFill patternType="solid">
          <fgColor indexed="22"/>
          <bgColor indexed="22"/>
        </patternFill>
      </fill>
      <alignment horizontal="center" vertical="center" textRotation="0" wrapText="0" indent="0" relativeIndent="0" justifyLastLine="0" shrinkToFit="0" mergeCell="0" readingOrder="0"/>
      <border diagonalUp="0" diagonalDown="0" outline="0">
        <left style="thin">
          <color indexed="64"/>
        </left>
        <right style="thin">
          <color indexed="64"/>
        </right>
        <top/>
        <bottom/>
      </border>
      <protection locked="1" hidden="0"/>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1819275</xdr:colOff>
      <xdr:row>124</xdr:row>
      <xdr:rowOff>142875</xdr:rowOff>
    </xdr:from>
    <xdr:to>
      <xdr:col>4</xdr:col>
      <xdr:colOff>333375</xdr:colOff>
      <xdr:row>129</xdr:row>
      <xdr:rowOff>85725</xdr:rowOff>
    </xdr:to>
    <xdr:sp macro="" textlink="">
      <xdr:nvSpPr>
        <xdr:cNvPr id="2" name="TextBox 1"/>
        <xdr:cNvSpPr txBox="1"/>
      </xdr:nvSpPr>
      <xdr:spPr>
        <a:xfrm>
          <a:off x="2486025" y="24336375"/>
          <a:ext cx="2962275"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Superseeded</a:t>
          </a:r>
          <a:r>
            <a:rPr lang="en-US" sz="1100" baseline="0"/>
            <a:t> by new "machining" process - includes lathe/mill and rough/finish.  We did this to try to help you and reduce work load.  If you already used the old entires, you don't have to change.</a:t>
          </a:r>
          <a:endParaRPr lang="en-US" sz="1100"/>
        </a:p>
      </xdr:txBody>
    </xdr:sp>
    <xdr:clientData/>
  </xdr:twoCellAnchor>
  <xdr:twoCellAnchor>
    <xdr:from>
      <xdr:col>1</xdr:col>
      <xdr:colOff>1676400</xdr:colOff>
      <xdr:row>131</xdr:row>
      <xdr:rowOff>76199</xdr:rowOff>
    </xdr:from>
    <xdr:to>
      <xdr:col>4</xdr:col>
      <xdr:colOff>190500</xdr:colOff>
      <xdr:row>136</xdr:row>
      <xdr:rowOff>123824</xdr:rowOff>
    </xdr:to>
    <xdr:sp macro="" textlink="">
      <xdr:nvSpPr>
        <xdr:cNvPr id="3" name="TextBox 2"/>
        <xdr:cNvSpPr txBox="1"/>
      </xdr:nvSpPr>
      <xdr:spPr>
        <a:xfrm>
          <a:off x="2343150" y="25603199"/>
          <a:ext cx="2962275" cy="1381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Superseeded</a:t>
          </a:r>
          <a:r>
            <a:rPr lang="en-US" sz="1100" baseline="0"/>
            <a:t> by new "machining" process - includes lathe/mill and rough/finish.  We did this to try to help you and reduce work load</a:t>
          </a:r>
          <a:r>
            <a:rPr lang="en-US" sz="1100" baseline="0">
              <a:solidFill>
                <a:schemeClr val="dk1"/>
              </a:solidFill>
              <a:latin typeface="+mn-lt"/>
              <a:ea typeface="+mn-ea"/>
              <a:cs typeface="+mn-cs"/>
            </a:rPr>
            <a:t>.  If you already used the old entires, you don't have to change.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152400</xdr:colOff>
      <xdr:row>4</xdr:row>
      <xdr:rowOff>200025</xdr:rowOff>
    </xdr:from>
    <xdr:to>
      <xdr:col>14</xdr:col>
      <xdr:colOff>809625</xdr:colOff>
      <xdr:row>4</xdr:row>
      <xdr:rowOff>800100</xdr:rowOff>
    </xdr:to>
    <xdr:pic>
      <xdr:nvPicPr>
        <xdr:cNvPr id="2" name="Picture 4" descr="8863tp2s.gif"/>
        <xdr:cNvPicPr>
          <a:picLocks noChangeAspect="1"/>
        </xdr:cNvPicPr>
      </xdr:nvPicPr>
      <xdr:blipFill>
        <a:blip xmlns:r="http://schemas.openxmlformats.org/officeDocument/2006/relationships" r:embed="rId1" cstate="print"/>
        <a:srcRect/>
        <a:stretch>
          <a:fillRect/>
        </a:stretch>
      </xdr:blipFill>
      <xdr:spPr bwMode="auto">
        <a:xfrm>
          <a:off x="11391900" y="2867025"/>
          <a:ext cx="657225" cy="600075"/>
        </a:xfrm>
        <a:prstGeom prst="rect">
          <a:avLst/>
        </a:prstGeom>
        <a:noFill/>
        <a:ln w="9525">
          <a:noFill/>
          <a:miter lim="800000"/>
          <a:headEnd/>
          <a:tailEnd/>
        </a:ln>
      </xdr:spPr>
    </xdr:pic>
    <xdr:clientData/>
  </xdr:twoCellAnchor>
  <xdr:twoCellAnchor>
    <xdr:from>
      <xdr:col>14</xdr:col>
      <xdr:colOff>76200</xdr:colOff>
      <xdr:row>3</xdr:row>
      <xdr:rowOff>123825</xdr:rowOff>
    </xdr:from>
    <xdr:to>
      <xdr:col>14</xdr:col>
      <xdr:colOff>781050</xdr:colOff>
      <xdr:row>3</xdr:row>
      <xdr:rowOff>847725</xdr:rowOff>
    </xdr:to>
    <xdr:pic>
      <xdr:nvPicPr>
        <xdr:cNvPr id="3" name="Picture 5" descr="8863tp1s.gif"/>
        <xdr:cNvPicPr>
          <a:picLocks noChangeAspect="1"/>
        </xdr:cNvPicPr>
      </xdr:nvPicPr>
      <xdr:blipFill>
        <a:blip xmlns:r="http://schemas.openxmlformats.org/officeDocument/2006/relationships" r:embed="rId2" cstate="print"/>
        <a:srcRect/>
        <a:stretch>
          <a:fillRect/>
        </a:stretch>
      </xdr:blipFill>
      <xdr:spPr bwMode="auto">
        <a:xfrm>
          <a:off x="11315700" y="1743075"/>
          <a:ext cx="704850" cy="723900"/>
        </a:xfrm>
        <a:prstGeom prst="rect">
          <a:avLst/>
        </a:prstGeom>
        <a:noFill/>
        <a:ln w="9525">
          <a:noFill/>
          <a:miter lim="800000"/>
          <a:headEnd/>
          <a:tailEnd/>
        </a:ln>
      </xdr:spPr>
    </xdr:pic>
    <xdr:clientData/>
  </xdr:twoCellAnchor>
  <xdr:twoCellAnchor>
    <xdr:from>
      <xdr:col>14</xdr:col>
      <xdr:colOff>133350</xdr:colOff>
      <xdr:row>2</xdr:row>
      <xdr:rowOff>190500</xdr:rowOff>
    </xdr:from>
    <xdr:to>
      <xdr:col>14</xdr:col>
      <xdr:colOff>781050</xdr:colOff>
      <xdr:row>2</xdr:row>
      <xdr:rowOff>971550</xdr:rowOff>
    </xdr:to>
    <xdr:pic>
      <xdr:nvPicPr>
        <xdr:cNvPr id="4" name="Picture 7" descr="rubber_cushioned_clamp.gif"/>
        <xdr:cNvPicPr>
          <a:picLocks noChangeAspect="1"/>
        </xdr:cNvPicPr>
      </xdr:nvPicPr>
      <xdr:blipFill>
        <a:blip xmlns:r="http://schemas.openxmlformats.org/officeDocument/2006/relationships" r:embed="rId3" cstate="print"/>
        <a:srcRect/>
        <a:stretch>
          <a:fillRect/>
        </a:stretch>
      </xdr:blipFill>
      <xdr:spPr bwMode="auto">
        <a:xfrm>
          <a:off x="11372850" y="762000"/>
          <a:ext cx="647700" cy="781050"/>
        </a:xfrm>
        <a:prstGeom prst="rect">
          <a:avLst/>
        </a:prstGeom>
        <a:noFill/>
        <a:ln w="9525">
          <a:noFill/>
          <a:miter lim="800000"/>
          <a:headEnd/>
          <a:tailEnd/>
        </a:ln>
      </xdr:spPr>
    </xdr:pic>
    <xdr:clientData/>
  </xdr:twoCellAnchor>
  <xdr:twoCellAnchor>
    <xdr:from>
      <xdr:col>14</xdr:col>
      <xdr:colOff>76200</xdr:colOff>
      <xdr:row>5</xdr:row>
      <xdr:rowOff>95250</xdr:rowOff>
    </xdr:from>
    <xdr:to>
      <xdr:col>14</xdr:col>
      <xdr:colOff>790575</xdr:colOff>
      <xdr:row>5</xdr:row>
      <xdr:rowOff>990600</xdr:rowOff>
    </xdr:to>
    <xdr:pic>
      <xdr:nvPicPr>
        <xdr:cNvPr id="5" name="Picture 8" descr="7329kp1s.gif"/>
        <xdr:cNvPicPr>
          <a:picLocks noChangeAspect="1"/>
        </xdr:cNvPicPr>
      </xdr:nvPicPr>
      <xdr:blipFill>
        <a:blip xmlns:r="http://schemas.openxmlformats.org/officeDocument/2006/relationships" r:embed="rId4" cstate="print"/>
        <a:srcRect/>
        <a:stretch>
          <a:fillRect/>
        </a:stretch>
      </xdr:blipFill>
      <xdr:spPr bwMode="auto">
        <a:xfrm>
          <a:off x="11315700" y="3810000"/>
          <a:ext cx="714375" cy="895350"/>
        </a:xfrm>
        <a:prstGeom prst="rect">
          <a:avLst/>
        </a:prstGeom>
        <a:noFill/>
        <a:ln w="9525">
          <a:noFill/>
          <a:miter lim="800000"/>
          <a:headEnd/>
          <a:tailEnd/>
        </a:ln>
      </xdr:spPr>
    </xdr:pic>
    <xdr:clientData/>
  </xdr:twoCellAnchor>
  <xdr:twoCellAnchor>
    <xdr:from>
      <xdr:col>14</xdr:col>
      <xdr:colOff>171450</xdr:colOff>
      <xdr:row>6</xdr:row>
      <xdr:rowOff>114300</xdr:rowOff>
    </xdr:from>
    <xdr:to>
      <xdr:col>14</xdr:col>
      <xdr:colOff>695325</xdr:colOff>
      <xdr:row>6</xdr:row>
      <xdr:rowOff>990600</xdr:rowOff>
    </xdr:to>
    <xdr:pic>
      <xdr:nvPicPr>
        <xdr:cNvPr id="6" name="Picture 9" descr="8946kp1s.gif"/>
        <xdr:cNvPicPr>
          <a:picLocks noChangeAspect="1"/>
        </xdr:cNvPicPr>
      </xdr:nvPicPr>
      <xdr:blipFill>
        <a:blip xmlns:r="http://schemas.openxmlformats.org/officeDocument/2006/relationships" r:embed="rId5" cstate="print"/>
        <a:srcRect/>
        <a:stretch>
          <a:fillRect/>
        </a:stretch>
      </xdr:blipFill>
      <xdr:spPr bwMode="auto">
        <a:xfrm>
          <a:off x="11410950" y="4876800"/>
          <a:ext cx="523875" cy="876300"/>
        </a:xfrm>
        <a:prstGeom prst="rect">
          <a:avLst/>
        </a:prstGeom>
        <a:noFill/>
        <a:ln w="9525">
          <a:noFill/>
          <a:miter lim="800000"/>
          <a:headEnd/>
          <a:tailEnd/>
        </a:ln>
      </xdr:spPr>
    </xdr:pic>
    <xdr:clientData/>
  </xdr:twoCellAnchor>
  <xdr:twoCellAnchor>
    <xdr:from>
      <xdr:col>14</xdr:col>
      <xdr:colOff>219075</xdr:colOff>
      <xdr:row>10</xdr:row>
      <xdr:rowOff>133350</xdr:rowOff>
    </xdr:from>
    <xdr:to>
      <xdr:col>14</xdr:col>
      <xdr:colOff>647700</xdr:colOff>
      <xdr:row>10</xdr:row>
      <xdr:rowOff>981075</xdr:rowOff>
    </xdr:to>
    <xdr:pic>
      <xdr:nvPicPr>
        <xdr:cNvPr id="7" name="Picture 39"/>
        <xdr:cNvPicPr>
          <a:picLocks noChangeAspect="1" noChangeArrowheads="1"/>
        </xdr:cNvPicPr>
      </xdr:nvPicPr>
      <xdr:blipFill>
        <a:blip xmlns:r="http://schemas.openxmlformats.org/officeDocument/2006/relationships" r:embed="rId6" cstate="print"/>
        <a:srcRect/>
        <a:stretch>
          <a:fillRect/>
        </a:stretch>
      </xdr:blipFill>
      <xdr:spPr bwMode="auto">
        <a:xfrm>
          <a:off x="11458575" y="9086850"/>
          <a:ext cx="428625" cy="847725"/>
        </a:xfrm>
        <a:prstGeom prst="rect">
          <a:avLst/>
        </a:prstGeom>
        <a:noFill/>
        <a:ln w="1">
          <a:noFill/>
          <a:miter lim="800000"/>
          <a:headEnd/>
          <a:tailEnd/>
        </a:ln>
      </xdr:spPr>
    </xdr:pic>
    <xdr:clientData/>
  </xdr:twoCellAnchor>
  <xdr:twoCellAnchor editAs="oneCell">
    <xdr:from>
      <xdr:col>14</xdr:col>
      <xdr:colOff>57150</xdr:colOff>
      <xdr:row>11</xdr:row>
      <xdr:rowOff>314325</xdr:rowOff>
    </xdr:from>
    <xdr:to>
      <xdr:col>14</xdr:col>
      <xdr:colOff>866775</xdr:colOff>
      <xdr:row>11</xdr:row>
      <xdr:rowOff>771525</xdr:rowOff>
    </xdr:to>
    <xdr:pic>
      <xdr:nvPicPr>
        <xdr:cNvPr id="8" name="Picture 322"/>
        <xdr:cNvPicPr>
          <a:picLocks noChangeAspect="1" noChangeArrowheads="1"/>
        </xdr:cNvPicPr>
      </xdr:nvPicPr>
      <xdr:blipFill>
        <a:blip xmlns:r="http://schemas.openxmlformats.org/officeDocument/2006/relationships" r:embed="rId7" cstate="print"/>
        <a:srcRect/>
        <a:stretch>
          <a:fillRect/>
        </a:stretch>
      </xdr:blipFill>
      <xdr:spPr bwMode="auto">
        <a:xfrm>
          <a:off x="11296650" y="10315575"/>
          <a:ext cx="809625" cy="457200"/>
        </a:xfrm>
        <a:prstGeom prst="rect">
          <a:avLst/>
        </a:prstGeom>
        <a:noFill/>
        <a:ln w="1">
          <a:noFill/>
          <a:miter lim="800000"/>
          <a:headEnd/>
          <a:tailEnd/>
        </a:ln>
      </xdr:spPr>
    </xdr:pic>
    <xdr:clientData/>
  </xdr:twoCellAnchor>
  <xdr:twoCellAnchor editAs="oneCell">
    <xdr:from>
      <xdr:col>14</xdr:col>
      <xdr:colOff>123825</xdr:colOff>
      <xdr:row>12</xdr:row>
      <xdr:rowOff>238125</xdr:rowOff>
    </xdr:from>
    <xdr:to>
      <xdr:col>14</xdr:col>
      <xdr:colOff>838200</xdr:colOff>
      <xdr:row>12</xdr:row>
      <xdr:rowOff>838200</xdr:rowOff>
    </xdr:to>
    <xdr:pic>
      <xdr:nvPicPr>
        <xdr:cNvPr id="9" name="Picture 356"/>
        <xdr:cNvPicPr>
          <a:picLocks noChangeAspect="1" noChangeArrowheads="1"/>
        </xdr:cNvPicPr>
      </xdr:nvPicPr>
      <xdr:blipFill>
        <a:blip xmlns:r="http://schemas.openxmlformats.org/officeDocument/2006/relationships" r:embed="rId8" cstate="print"/>
        <a:srcRect r="50000"/>
        <a:stretch>
          <a:fillRect/>
        </a:stretch>
      </xdr:blipFill>
      <xdr:spPr bwMode="auto">
        <a:xfrm>
          <a:off x="11363325" y="11287125"/>
          <a:ext cx="714375" cy="600075"/>
        </a:xfrm>
        <a:prstGeom prst="rect">
          <a:avLst/>
        </a:prstGeom>
        <a:noFill/>
        <a:ln w="1">
          <a:noFill/>
          <a:miter lim="800000"/>
          <a:headEnd/>
          <a:tailEnd/>
        </a:ln>
      </xdr:spPr>
    </xdr:pic>
    <xdr:clientData/>
  </xdr:twoCellAnchor>
  <xdr:twoCellAnchor editAs="oneCell">
    <xdr:from>
      <xdr:col>14</xdr:col>
      <xdr:colOff>66675</xdr:colOff>
      <xdr:row>14</xdr:row>
      <xdr:rowOff>333375</xdr:rowOff>
    </xdr:from>
    <xdr:to>
      <xdr:col>14</xdr:col>
      <xdr:colOff>885825</xdr:colOff>
      <xdr:row>14</xdr:row>
      <xdr:rowOff>590550</xdr:rowOff>
    </xdr:to>
    <xdr:pic>
      <xdr:nvPicPr>
        <xdr:cNvPr id="10" name="Picture 375"/>
        <xdr:cNvPicPr>
          <a:picLocks noChangeAspect="1" noChangeArrowheads="1"/>
        </xdr:cNvPicPr>
      </xdr:nvPicPr>
      <xdr:blipFill>
        <a:blip xmlns:r="http://schemas.openxmlformats.org/officeDocument/2006/relationships" r:embed="rId9" cstate="print"/>
        <a:srcRect l="19327" t="-999" r="23950" b="58000"/>
        <a:stretch>
          <a:fillRect/>
        </a:stretch>
      </xdr:blipFill>
      <xdr:spPr bwMode="auto">
        <a:xfrm>
          <a:off x="11306175" y="13477875"/>
          <a:ext cx="819150" cy="257175"/>
        </a:xfrm>
        <a:prstGeom prst="rect">
          <a:avLst/>
        </a:prstGeom>
        <a:noFill/>
        <a:ln w="1">
          <a:noFill/>
          <a:miter lim="800000"/>
          <a:headEnd/>
          <a:tailEnd/>
        </a:ln>
      </xdr:spPr>
    </xdr:pic>
    <xdr:clientData/>
  </xdr:twoCellAnchor>
  <xdr:twoCellAnchor editAs="oneCell">
    <xdr:from>
      <xdr:col>14</xdr:col>
      <xdr:colOff>161925</xdr:colOff>
      <xdr:row>13</xdr:row>
      <xdr:rowOff>285750</xdr:rowOff>
    </xdr:from>
    <xdr:to>
      <xdr:col>14</xdr:col>
      <xdr:colOff>800100</xdr:colOff>
      <xdr:row>13</xdr:row>
      <xdr:rowOff>819150</xdr:rowOff>
    </xdr:to>
    <xdr:pic>
      <xdr:nvPicPr>
        <xdr:cNvPr id="11" name="Picture 356"/>
        <xdr:cNvPicPr>
          <a:picLocks noChangeAspect="1" noChangeArrowheads="1"/>
        </xdr:cNvPicPr>
      </xdr:nvPicPr>
      <xdr:blipFill>
        <a:blip xmlns:r="http://schemas.openxmlformats.org/officeDocument/2006/relationships" r:embed="rId8" cstate="print"/>
        <a:srcRect l="49580"/>
        <a:stretch>
          <a:fillRect/>
        </a:stretch>
      </xdr:blipFill>
      <xdr:spPr bwMode="auto">
        <a:xfrm>
          <a:off x="11401425" y="12382500"/>
          <a:ext cx="638175" cy="533400"/>
        </a:xfrm>
        <a:prstGeom prst="rect">
          <a:avLst/>
        </a:prstGeom>
        <a:noFill/>
        <a:ln w="1">
          <a:noFill/>
          <a:miter lim="800000"/>
          <a:headEnd/>
          <a:tailEnd/>
        </a:ln>
      </xdr:spPr>
    </xdr:pic>
    <xdr:clientData/>
  </xdr:twoCellAnchor>
  <xdr:twoCellAnchor editAs="oneCell">
    <xdr:from>
      <xdr:col>14</xdr:col>
      <xdr:colOff>47625</xdr:colOff>
      <xdr:row>7</xdr:row>
      <xdr:rowOff>28575</xdr:rowOff>
    </xdr:from>
    <xdr:to>
      <xdr:col>14</xdr:col>
      <xdr:colOff>885825</xdr:colOff>
      <xdr:row>7</xdr:row>
      <xdr:rowOff>1028700</xdr:rowOff>
    </xdr:to>
    <xdr:pic>
      <xdr:nvPicPr>
        <xdr:cNvPr id="12" name="Picture 1336"/>
        <xdr:cNvPicPr>
          <a:picLocks noChangeAspect="1" noChangeArrowheads="1"/>
        </xdr:cNvPicPr>
      </xdr:nvPicPr>
      <xdr:blipFill>
        <a:blip xmlns:r="http://schemas.openxmlformats.org/officeDocument/2006/relationships" r:embed="rId10" cstate="print"/>
        <a:srcRect/>
        <a:stretch>
          <a:fillRect/>
        </a:stretch>
      </xdr:blipFill>
      <xdr:spPr bwMode="auto">
        <a:xfrm>
          <a:off x="11287125" y="5838825"/>
          <a:ext cx="838200" cy="1000125"/>
        </a:xfrm>
        <a:prstGeom prst="rect">
          <a:avLst/>
        </a:prstGeom>
        <a:noFill/>
        <a:ln w="1">
          <a:noFill/>
          <a:miter lim="800000"/>
          <a:headEnd/>
          <a:tailEnd/>
        </a:ln>
      </xdr:spPr>
    </xdr:pic>
    <xdr:clientData/>
  </xdr:twoCellAnchor>
  <xdr:twoCellAnchor editAs="oneCell">
    <xdr:from>
      <xdr:col>14</xdr:col>
      <xdr:colOff>190500</xdr:colOff>
      <xdr:row>8</xdr:row>
      <xdr:rowOff>0</xdr:rowOff>
    </xdr:from>
    <xdr:to>
      <xdr:col>14</xdr:col>
      <xdr:colOff>695325</xdr:colOff>
      <xdr:row>8</xdr:row>
      <xdr:rowOff>981075</xdr:rowOff>
    </xdr:to>
    <xdr:pic>
      <xdr:nvPicPr>
        <xdr:cNvPr id="13" name="Picture 1372"/>
        <xdr:cNvPicPr>
          <a:picLocks noChangeAspect="1" noChangeArrowheads="1"/>
        </xdr:cNvPicPr>
      </xdr:nvPicPr>
      <xdr:blipFill>
        <a:blip xmlns:r="http://schemas.openxmlformats.org/officeDocument/2006/relationships" r:embed="rId11" cstate="print"/>
        <a:srcRect/>
        <a:stretch>
          <a:fillRect/>
        </a:stretch>
      </xdr:blipFill>
      <xdr:spPr bwMode="auto">
        <a:xfrm>
          <a:off x="11430000" y="6858000"/>
          <a:ext cx="504825" cy="981075"/>
        </a:xfrm>
        <a:prstGeom prst="rect">
          <a:avLst/>
        </a:prstGeom>
        <a:noFill/>
        <a:ln w="1">
          <a:noFill/>
          <a:miter lim="800000"/>
          <a:headEnd/>
          <a:tailEnd/>
        </a:ln>
      </xdr:spPr>
    </xdr:pic>
    <xdr:clientData/>
  </xdr:twoCellAnchor>
  <xdr:twoCellAnchor editAs="oneCell">
    <xdr:from>
      <xdr:col>14</xdr:col>
      <xdr:colOff>47625</xdr:colOff>
      <xdr:row>9</xdr:row>
      <xdr:rowOff>9525</xdr:rowOff>
    </xdr:from>
    <xdr:to>
      <xdr:col>14</xdr:col>
      <xdr:colOff>895350</xdr:colOff>
      <xdr:row>9</xdr:row>
      <xdr:rowOff>1038225</xdr:rowOff>
    </xdr:to>
    <xdr:pic>
      <xdr:nvPicPr>
        <xdr:cNvPr id="14" name="Picture 1" descr="http://www.verociousmotorsports.com/core/media/media.nl/id.1766/c.606473/.f?h=e77423bb2d6852bdf9cc"/>
        <xdr:cNvPicPr>
          <a:picLocks noChangeAspect="1" noChangeArrowheads="1"/>
        </xdr:cNvPicPr>
      </xdr:nvPicPr>
      <xdr:blipFill>
        <a:blip xmlns:r="http://schemas.openxmlformats.org/officeDocument/2006/relationships" r:embed="rId12" cstate="print"/>
        <a:srcRect/>
        <a:stretch>
          <a:fillRect/>
        </a:stretch>
      </xdr:blipFill>
      <xdr:spPr bwMode="auto">
        <a:xfrm>
          <a:off x="11287125" y="7915275"/>
          <a:ext cx="847725" cy="1028700"/>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id="1" name="Table1" displayName="Table1" ref="A2:K756" totalsRowShown="0" headerRowDxfId="55" dataDxfId="53" headerRowBorderDxfId="54" tableBorderDxfId="52" headerRowCellStyle="Normal 3" dataCellStyle="Normal 3">
  <autoFilter ref="A2:K756"/>
  <tableColumns count="11">
    <tableColumn id="1" name="Material ID" dataDxfId="51" dataCellStyle="Normal 3"/>
    <tableColumn id="2" name="Material" dataDxfId="50" dataCellStyle="Normal 3"/>
    <tableColumn id="3" name="Supplier" dataDxfId="49" dataCellStyle="Normal 3"/>
    <tableColumn id="4" name="Category" dataDxfId="48" dataCellStyle="Normal 3"/>
    <tableColumn id="5" name="Table Price" dataDxfId="47" dataCellStyle="Good"/>
    <tableColumn id="6" name="Unit 1" dataDxfId="46" dataCellStyle="Normal 3"/>
    <tableColumn id="7" name="Unit 2" dataDxfId="45" dataCellStyle="Normal 3"/>
    <tableColumn id="8" name="C1" dataDxfId="44" dataCellStyle="Normal 3"/>
    <tableColumn id="9" name="C2" dataDxfId="43" dataCellStyle="Normal 3"/>
    <tableColumn id="10" name="Modified" dataDxfId="42" dataCellStyle="Normal 3"/>
    <tableColumn id="11" name="Comments" dataDxfId="41" dataCellStyle="Normal 3"/>
  </tableColumns>
  <tableStyleInfo name="TableStyleLight1" showFirstColumn="1" showLastColumn="0" showRowStripes="1" showColumnStripes="0"/>
</table>
</file>

<file path=xl/tables/table2.xml><?xml version="1.0" encoding="utf-8"?>
<table xmlns="http://schemas.openxmlformats.org/spreadsheetml/2006/main" id="2" name="Table2" displayName="Table2" ref="A2:J151" totalsRowShown="0" headerRowDxfId="40" dataDxfId="38" headerRowBorderDxfId="39" tableBorderDxfId="37" headerRowCellStyle="Normal_Sheet1" dataCellStyle="Normal_Sheet1">
  <autoFilter ref="A2:J151"/>
  <tableColumns count="10">
    <tableColumn id="1" name="Process ID" dataDxfId="36"/>
    <tableColumn id="2" name="Process" dataDxfId="35" dataCellStyle="Normal_Sheet1"/>
    <tableColumn id="3" name="Unit Cost" dataDxfId="34" dataCellStyle="Cost_Yellow"/>
    <tableColumn id="4" name="Unit" dataDxfId="33" dataCellStyle="Normal_Sheet1"/>
    <tableColumn id="5" name="Category" dataDxfId="32" dataCellStyle="Normal_Sheet1"/>
    <tableColumn id="6" name="Tooling Required" dataDxfId="31" dataCellStyle="Normal_Sheet1"/>
    <tableColumn id="7" name="Near Net Shape" dataDxfId="30" dataCellStyle="Normal_Sheet1"/>
    <tableColumn id="8" name="Multiplier Type Used" dataDxfId="29" dataCellStyle="Normal_Sheet1"/>
    <tableColumn id="9" name="Modified" dataDxfId="28" dataCellStyle="Normal_Sheet1"/>
    <tableColumn id="10" name="Comments" dataDxfId="27"/>
  </tableColumns>
  <tableStyleInfo name="TableStyleLight1" showFirstColumn="0" showLastColumn="0" showRowStripes="1" showColumnStripes="0"/>
</table>
</file>

<file path=xl/tables/table3.xml><?xml version="1.0" encoding="utf-8"?>
<table xmlns="http://schemas.openxmlformats.org/spreadsheetml/2006/main" id="3" name="Table3" displayName="Table3" ref="A2:E32" totalsRowShown="0" headerRowDxfId="26" tableBorderDxfId="25" headerRowCellStyle="Normal_Sheet1">
  <autoFilter ref="A2:E32"/>
  <tableColumns count="5">
    <tableColumn id="1" name="ProcessMultiplierID" dataDxfId="24" dataCellStyle="Normal_Sheet1"/>
    <tableColumn id="2" name="Process Multiplier" dataDxfId="23" dataCellStyle="Normal_Sheet1"/>
    <tableColumn id="3" name="Multiplier" dataDxfId="22" dataCellStyle="Good"/>
    <tableColumn id="4" name="Use" dataDxfId="21"/>
    <tableColumn id="5" name="Comments" dataDxfId="20"/>
  </tableColumns>
  <tableStyleInfo name="TableStyleLight1" showFirstColumn="0" showLastColumn="0" showRowStripes="1" showColumnStripes="0"/>
</table>
</file>

<file path=xl/tables/table4.xml><?xml version="1.0" encoding="utf-8"?>
<table xmlns="http://schemas.openxmlformats.org/spreadsheetml/2006/main" id="4" name="Table4" displayName="Table4" ref="A2:R62" totalsRowShown="0" headerRowDxfId="19" headerRowBorderDxfId="18" tableBorderDxfId="17" headerRowCellStyle="Normal 3">
  <autoFilter ref="A2:R62"/>
  <tableColumns count="18">
    <tableColumn id="1" name="Fastener ID" dataDxfId="16" dataCellStyle="Normal 3"/>
    <tableColumn id="2" name="Fastener" dataDxfId="15" dataCellStyle="Style 1"/>
    <tableColumn id="3" name="Size 1" dataDxfId="14" dataCellStyle="Normal 3"/>
    <tableColumn id="4" name="Unit 1" dataDxfId="13" dataCellStyle="Normal 3"/>
    <tableColumn id="5" name="Size 2" dataDxfId="12" dataCellStyle="Normal 3"/>
    <tableColumn id="6" name="Unit 2" dataDxfId="11" dataCellStyle="Normal 3"/>
    <tableColumn id="7" name="Category" dataDxfId="10" dataCellStyle="Style 1"/>
    <tableColumn id="8" name="Supplier" dataDxfId="9" dataCellStyle="Normal 3"/>
    <tableColumn id="9" name="c1" dataDxfId="8" dataCellStyle="Currency 4"/>
    <tableColumn id="10" name="c2" dataDxfId="7" dataCellStyle="Currency 4"/>
    <tableColumn id="11" name="Table Price" dataDxfId="6" dataCellStyle="Style 1"/>
    <tableColumn id="12" name="System"/>
    <tableColumn id="13" name="Category2" dataDxfId="5" dataCellStyle="Normal 3"/>
    <tableColumn id="14" name="Calc Price" dataDxfId="4" dataCellStyle="Good"/>
    <tableColumn id="15" name="Attachment" dataDxfId="3" dataCellStyle="Comma 3"/>
    <tableColumn id="16" name="DateAdded/Modified" dataDxfId="2" dataCellStyle="Normal 3"/>
    <tableColumn id="17" name="Mass" dataDxfId="1" dataCellStyle="Normal 3"/>
    <tableColumn id="18" name="Comments" dataDxfId="0" dataCellStyle="Normal 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theme="5"/>
  </sheetPr>
  <dimension ref="A1:J67"/>
  <sheetViews>
    <sheetView workbookViewId="0">
      <selection activeCell="H1" sqref="H1"/>
    </sheetView>
  </sheetViews>
  <sheetFormatPr defaultRowHeight="15"/>
  <cols>
    <col min="1" max="1" width="15.42578125" customWidth="1"/>
    <col min="2" max="2" width="28.42578125" customWidth="1"/>
    <col min="3" max="3" width="21.140625" customWidth="1"/>
    <col min="7" max="7" width="15.140625" customWidth="1"/>
  </cols>
  <sheetData>
    <row r="1" spans="1:10">
      <c r="A1" s="84" t="s">
        <v>3</v>
      </c>
      <c r="B1" s="85" t="s">
        <v>18</v>
      </c>
      <c r="C1" s="85"/>
      <c r="D1" s="84" t="s">
        <v>5</v>
      </c>
      <c r="E1" s="86">
        <v>99999</v>
      </c>
      <c r="F1" s="85"/>
      <c r="G1" s="84" t="s">
        <v>1297</v>
      </c>
      <c r="H1" s="87">
        <f>E20+J30+I47+J59+I65</f>
        <v>0</v>
      </c>
      <c r="I1" s="85"/>
      <c r="J1" s="85"/>
    </row>
    <row r="2" spans="1:10">
      <c r="A2" s="84" t="s">
        <v>1171</v>
      </c>
      <c r="B2" s="85" t="s">
        <v>1318</v>
      </c>
      <c r="C2" s="85"/>
      <c r="D2" s="85"/>
      <c r="E2" s="85"/>
      <c r="F2" s="85"/>
      <c r="G2" s="84" t="s">
        <v>1298</v>
      </c>
      <c r="H2" s="88">
        <v>1</v>
      </c>
      <c r="I2" s="85"/>
      <c r="J2" s="85"/>
    </row>
    <row r="3" spans="1:10">
      <c r="A3" s="84" t="s">
        <v>1024</v>
      </c>
      <c r="B3" s="85" t="s">
        <v>1316</v>
      </c>
      <c r="C3" s="85"/>
      <c r="D3" s="85"/>
      <c r="E3" s="85"/>
      <c r="F3" s="85"/>
      <c r="G3" s="85"/>
      <c r="H3" s="85"/>
      <c r="I3" s="85"/>
      <c r="J3" s="85"/>
    </row>
    <row r="4" spans="1:10">
      <c r="A4" s="84" t="s">
        <v>1299</v>
      </c>
      <c r="B4" s="89" t="s">
        <v>1549</v>
      </c>
      <c r="C4" s="85"/>
      <c r="D4" s="85"/>
      <c r="E4" s="85"/>
      <c r="F4" s="85"/>
      <c r="G4" s="84" t="s">
        <v>1300</v>
      </c>
      <c r="H4" s="87">
        <f>H1*H2</f>
        <v>0</v>
      </c>
      <c r="I4" s="85"/>
      <c r="J4" s="85"/>
    </row>
    <row r="5" spans="1:10">
      <c r="A5" s="84" t="s">
        <v>1301</v>
      </c>
      <c r="B5" s="85" t="s">
        <v>14</v>
      </c>
      <c r="C5" s="85"/>
      <c r="D5" s="85"/>
      <c r="E5" s="85"/>
      <c r="F5" s="85"/>
      <c r="G5" s="85"/>
      <c r="H5" s="85"/>
      <c r="I5" s="85"/>
      <c r="J5" s="85"/>
    </row>
    <row r="6" spans="1:10">
      <c r="A6" s="84" t="s">
        <v>1302</v>
      </c>
      <c r="B6" s="85"/>
      <c r="C6" s="85"/>
      <c r="D6" s="85"/>
      <c r="E6" s="85"/>
      <c r="F6" s="85"/>
      <c r="G6" s="85"/>
      <c r="H6" s="85"/>
      <c r="I6" s="85"/>
      <c r="J6" s="85"/>
    </row>
    <row r="7" spans="1:10">
      <c r="B7" s="85"/>
      <c r="C7" s="85"/>
      <c r="D7" s="85"/>
      <c r="E7" s="85"/>
      <c r="F7" s="85"/>
      <c r="G7" s="85"/>
      <c r="H7" s="85"/>
      <c r="I7" s="85"/>
      <c r="J7" s="85"/>
    </row>
    <row r="8" spans="1:10">
      <c r="A8" s="85"/>
      <c r="B8" s="85"/>
      <c r="C8" s="85"/>
      <c r="D8" s="85"/>
      <c r="E8" s="85"/>
      <c r="F8" s="85"/>
      <c r="G8" s="85"/>
      <c r="H8" s="85"/>
      <c r="I8" s="85"/>
      <c r="J8" s="85"/>
    </row>
    <row r="9" spans="1:10">
      <c r="A9" s="90" t="s">
        <v>1303</v>
      </c>
      <c r="B9" s="85"/>
      <c r="C9" s="85"/>
      <c r="D9" s="85"/>
      <c r="E9" s="85"/>
      <c r="F9" s="85"/>
      <c r="G9" s="85"/>
      <c r="H9" s="85"/>
      <c r="I9" s="85"/>
      <c r="J9" s="85"/>
    </row>
    <row r="10" spans="1:10">
      <c r="A10" s="91" t="s">
        <v>1547</v>
      </c>
      <c r="B10" s="91" t="s">
        <v>1304</v>
      </c>
      <c r="C10" s="91" t="s">
        <v>1305</v>
      </c>
      <c r="D10" s="91" t="s">
        <v>1</v>
      </c>
      <c r="E10" s="91" t="s">
        <v>1306</v>
      </c>
      <c r="F10" s="85"/>
      <c r="G10" s="85"/>
      <c r="H10" s="85"/>
      <c r="I10" s="85"/>
      <c r="J10" s="85"/>
    </row>
    <row r="11" spans="1:10">
      <c r="A11" s="92"/>
      <c r="B11" s="92"/>
      <c r="C11" s="93"/>
      <c r="D11" s="94"/>
      <c r="E11" s="93">
        <f>C11*D11</f>
        <v>0</v>
      </c>
      <c r="F11" s="85"/>
      <c r="G11" s="85"/>
      <c r="H11" s="85"/>
      <c r="I11" s="85"/>
      <c r="J11" s="85"/>
    </row>
    <row r="12" spans="1:10">
      <c r="A12" s="92"/>
      <c r="B12" s="92"/>
      <c r="C12" s="93"/>
      <c r="D12" s="94"/>
      <c r="E12" s="93">
        <f t="shared" ref="E12:E19" si="0">C12*D12</f>
        <v>0</v>
      </c>
      <c r="F12" s="85"/>
      <c r="G12" s="85"/>
      <c r="H12" s="85"/>
      <c r="I12" s="85"/>
      <c r="J12" s="85"/>
    </row>
    <row r="13" spans="1:10">
      <c r="A13" s="92"/>
      <c r="B13" s="92"/>
      <c r="C13" s="93"/>
      <c r="D13" s="94"/>
      <c r="E13" s="93">
        <f t="shared" si="0"/>
        <v>0</v>
      </c>
      <c r="F13" s="85"/>
      <c r="G13" s="85"/>
      <c r="H13" s="85"/>
      <c r="I13" s="85"/>
      <c r="J13" s="85"/>
    </row>
    <row r="14" spans="1:10">
      <c r="A14" s="92"/>
      <c r="B14" s="92"/>
      <c r="C14" s="93"/>
      <c r="D14" s="94"/>
      <c r="E14" s="93">
        <f t="shared" si="0"/>
        <v>0</v>
      </c>
      <c r="F14" s="85"/>
      <c r="G14" s="85"/>
      <c r="H14" s="85"/>
      <c r="I14" s="85"/>
      <c r="J14" s="85"/>
    </row>
    <row r="15" spans="1:10">
      <c r="A15" s="92"/>
      <c r="B15" s="92"/>
      <c r="C15" s="93"/>
      <c r="D15" s="94"/>
      <c r="E15" s="93">
        <f t="shared" si="0"/>
        <v>0</v>
      </c>
      <c r="F15" s="85"/>
      <c r="G15" s="85"/>
      <c r="H15" s="85"/>
      <c r="I15" s="85"/>
      <c r="J15" s="85"/>
    </row>
    <row r="16" spans="1:10">
      <c r="A16" s="92"/>
      <c r="B16" s="92"/>
      <c r="C16" s="93"/>
      <c r="D16" s="94"/>
      <c r="E16" s="93">
        <f t="shared" si="0"/>
        <v>0</v>
      </c>
      <c r="F16" s="85"/>
      <c r="G16" s="85"/>
      <c r="H16" s="85"/>
      <c r="I16" s="85"/>
      <c r="J16" s="85"/>
    </row>
    <row r="17" spans="1:10">
      <c r="A17" s="92"/>
      <c r="B17" s="92"/>
      <c r="C17" s="93"/>
      <c r="D17" s="94"/>
      <c r="E17" s="93">
        <f t="shared" si="0"/>
        <v>0</v>
      </c>
      <c r="F17" s="85"/>
      <c r="G17" s="85"/>
      <c r="H17" s="85"/>
      <c r="I17" s="85"/>
      <c r="J17" s="85"/>
    </row>
    <row r="18" spans="1:10">
      <c r="A18" s="92"/>
      <c r="B18" s="92"/>
      <c r="C18" s="93"/>
      <c r="D18" s="94"/>
      <c r="E18" s="93">
        <f t="shared" si="0"/>
        <v>0</v>
      </c>
      <c r="F18" s="85"/>
      <c r="G18" s="85"/>
      <c r="H18" s="85"/>
      <c r="I18" s="85"/>
      <c r="J18" s="85"/>
    </row>
    <row r="19" spans="1:10">
      <c r="A19" s="92"/>
      <c r="B19" s="92"/>
      <c r="C19" s="93"/>
      <c r="D19" s="94"/>
      <c r="E19" s="93">
        <f t="shared" si="0"/>
        <v>0</v>
      </c>
      <c r="F19" s="85"/>
      <c r="G19" s="85"/>
      <c r="H19" s="85"/>
      <c r="I19" s="85"/>
      <c r="J19" s="85"/>
    </row>
    <row r="20" spans="1:10">
      <c r="A20" s="85"/>
      <c r="B20" s="85"/>
      <c r="C20" s="85"/>
      <c r="D20" s="95" t="s">
        <v>1306</v>
      </c>
      <c r="E20" s="91">
        <f>SUM(E11:E19)</f>
        <v>0</v>
      </c>
      <c r="F20" s="85"/>
      <c r="G20" s="85"/>
      <c r="H20" s="85"/>
      <c r="I20" s="85"/>
      <c r="J20" s="85"/>
    </row>
    <row r="21" spans="1:10">
      <c r="A21" s="85"/>
      <c r="B21" s="85"/>
      <c r="C21" s="85"/>
      <c r="D21" s="85"/>
      <c r="E21" s="85"/>
      <c r="F21" s="85"/>
      <c r="G21" s="85"/>
      <c r="H21" s="85"/>
      <c r="I21" s="85"/>
      <c r="J21" s="85"/>
    </row>
    <row r="22" spans="1:10">
      <c r="A22" s="90" t="s">
        <v>15</v>
      </c>
      <c r="B22" s="85"/>
      <c r="C22" s="85"/>
      <c r="D22" s="85"/>
      <c r="E22" s="85"/>
      <c r="F22" s="85"/>
      <c r="G22" s="85"/>
      <c r="H22" s="85"/>
      <c r="I22" s="85"/>
      <c r="J22" s="85"/>
    </row>
    <row r="23" spans="1:10">
      <c r="A23" s="91" t="s">
        <v>1281</v>
      </c>
      <c r="B23" s="91" t="s">
        <v>21</v>
      </c>
      <c r="C23" s="91" t="s">
        <v>1131</v>
      </c>
      <c r="D23" s="91" t="s">
        <v>1307</v>
      </c>
      <c r="E23" s="91" t="s">
        <v>1308</v>
      </c>
      <c r="F23" s="91" t="s">
        <v>1309</v>
      </c>
      <c r="G23" s="91" t="s">
        <v>1310</v>
      </c>
      <c r="H23" s="91" t="s">
        <v>1311</v>
      </c>
      <c r="I23" s="91" t="s">
        <v>1</v>
      </c>
      <c r="J23" s="91" t="s">
        <v>1306</v>
      </c>
    </row>
    <row r="24" spans="1:10">
      <c r="A24" s="92"/>
      <c r="B24" s="92" t="str">
        <f>IF($A24&lt;&gt;"",VLOOKUP($A24,tblMaterials!$A$3:$L$10000,2,FALSE),"")</f>
        <v/>
      </c>
      <c r="C24" s="92"/>
      <c r="D24" s="92" t="str">
        <f>IF($A24&lt;&gt;"",VLOOKUP($A24,tblMaterials!$A$3:$L$1000,5,FALSE),"")</f>
        <v/>
      </c>
      <c r="E24" s="92"/>
      <c r="F24" s="92" t="str">
        <f>IF($A24&lt;&gt;"",IF(VLOOKUP($A24,tblMaterials!$A$3:$L$10000,6,FALSE)&lt;&gt;FALSE,VLOOKUP($A24,tblMaterials!$A$3:$L$10000,6,FALSE),""), "")</f>
        <v/>
      </c>
      <c r="G24" s="92"/>
      <c r="H24" s="92" t="str">
        <f>IF($A24&lt;&gt;"",IF(VLOOKUP($A24,tblMaterials!$A$3:$L$10000,7,FALSE)&lt;&gt;FALSE,VLOOKUP($A24,tblMaterials!$A$3:$L$10000,7,FALSE),""), "")</f>
        <v/>
      </c>
      <c r="I24" s="94"/>
      <c r="J24" s="93">
        <f>IF($A24="",0,D24*I24)</f>
        <v>0</v>
      </c>
    </row>
    <row r="25" spans="1:10">
      <c r="A25" s="92"/>
      <c r="B25" s="92" t="str">
        <f>IF($A25&lt;&gt;"",VLOOKUP($A25,tblMaterials!$A$3:$L$10000,2,FALSE),"")</f>
        <v/>
      </c>
      <c r="C25" s="92"/>
      <c r="D25" s="92" t="str">
        <f>IF($A25&lt;&gt;"",VLOOKUP($A25,tblMaterials!$A$3:$L$1000,5,FALSE),"")</f>
        <v/>
      </c>
      <c r="E25" s="92"/>
      <c r="F25" s="92" t="str">
        <f>IF($A25&lt;&gt;"",IF(VLOOKUP($A25,tblMaterials!$A$3:$L$10000,6,FALSE)&lt;&gt;FALSE,VLOOKUP($A25,tblMaterials!$A$3:$L$10000,6,FALSE),""), "")</f>
        <v/>
      </c>
      <c r="G25" s="92"/>
      <c r="H25" s="92" t="str">
        <f>IF($A25&lt;&gt;"",IF(VLOOKUP($A25,tblMaterials!$A$3:$L$10000,7,FALSE)&lt;&gt;FALSE,VLOOKUP($A25,tblMaterials!$A$3:$L$10000,7,FALSE),""), "")</f>
        <v/>
      </c>
      <c r="I25" s="94"/>
      <c r="J25" s="93">
        <f t="shared" ref="J25:J29" si="1">IF($A25="",0,D25*I25)</f>
        <v>0</v>
      </c>
    </row>
    <row r="26" spans="1:10">
      <c r="A26" s="92"/>
      <c r="B26" s="92" t="str">
        <f>IF($A26&lt;&gt;"",VLOOKUP($A26,tblMaterials!$A$3:$L$10000,2,FALSE),"")</f>
        <v/>
      </c>
      <c r="C26" s="92"/>
      <c r="D26" s="92" t="str">
        <f>IF($A26&lt;&gt;"",VLOOKUP($A26,tblMaterials!$A$3:$L$1000,5,FALSE),"")</f>
        <v/>
      </c>
      <c r="E26" s="92"/>
      <c r="F26" s="92" t="str">
        <f>IF($A26&lt;&gt;"",IF(VLOOKUP($A26,tblMaterials!$A$3:$L$10000,6,FALSE)&lt;&gt;FALSE,VLOOKUP($A26,tblMaterials!$A$3:$L$10000,6,FALSE),""), "")</f>
        <v/>
      </c>
      <c r="G26" s="92"/>
      <c r="H26" s="92" t="str">
        <f>IF($A26&lt;&gt;"",IF(VLOOKUP($A26,tblMaterials!$A$3:$L$10000,7,FALSE)&lt;&gt;FALSE,VLOOKUP($A26,tblMaterials!$A$3:$L$10000,7,FALSE),""), "")</f>
        <v/>
      </c>
      <c r="I26" s="94"/>
      <c r="J26" s="93">
        <f t="shared" si="1"/>
        <v>0</v>
      </c>
    </row>
    <row r="27" spans="1:10">
      <c r="A27" s="92"/>
      <c r="B27" s="92" t="str">
        <f>IF($A27&lt;&gt;"",VLOOKUP($A27,tblMaterials!$A$3:$L$10000,2,FALSE),"")</f>
        <v/>
      </c>
      <c r="C27" s="92"/>
      <c r="D27" s="92" t="str">
        <f>IF($A27&lt;&gt;"",VLOOKUP($A27,tblMaterials!$A$3:$L$1000,5,FALSE),"")</f>
        <v/>
      </c>
      <c r="E27" s="92"/>
      <c r="F27" s="92" t="str">
        <f>IF($A27&lt;&gt;"",IF(VLOOKUP($A27,tblMaterials!$A$3:$L$10000,6,FALSE)&lt;&gt;FALSE,VLOOKUP($A27,tblMaterials!$A$3:$L$10000,6,FALSE),""), "")</f>
        <v/>
      </c>
      <c r="G27" s="92"/>
      <c r="H27" s="92" t="str">
        <f>IF($A27&lt;&gt;"",IF(VLOOKUP($A27,tblMaterials!$A$3:$L$10000,7,FALSE)&lt;&gt;FALSE,VLOOKUP($A27,tblMaterials!$A$3:$L$10000,7,FALSE),""), "")</f>
        <v/>
      </c>
      <c r="I27" s="94"/>
      <c r="J27" s="93">
        <f t="shared" si="1"/>
        <v>0</v>
      </c>
    </row>
    <row r="28" spans="1:10">
      <c r="A28" s="92"/>
      <c r="B28" s="92" t="str">
        <f>IF($A28&lt;&gt;"",VLOOKUP($A28,tblMaterials!$A$3:$L$10000,2,FALSE),"")</f>
        <v/>
      </c>
      <c r="C28" s="92"/>
      <c r="D28" s="92" t="str">
        <f>IF($A28&lt;&gt;"",VLOOKUP($A28,tblMaterials!$A$3:$L$1000,5,FALSE),"")</f>
        <v/>
      </c>
      <c r="E28" s="92"/>
      <c r="F28" s="92" t="str">
        <f>IF($A28&lt;&gt;"",IF(VLOOKUP($A28,tblMaterials!$A$3:$L$10000,6,FALSE)&lt;&gt;FALSE,VLOOKUP($A28,tblMaterials!$A$3:$L$10000,6,FALSE),""), "")</f>
        <v/>
      </c>
      <c r="G28" s="92"/>
      <c r="H28" s="92" t="str">
        <f>IF($A28&lt;&gt;"",IF(VLOOKUP($A28,tblMaterials!$A$3:$L$10000,7,FALSE)&lt;&gt;FALSE,VLOOKUP($A28,tblMaterials!$A$3:$L$10000,7,FALSE),""), "")</f>
        <v/>
      </c>
      <c r="I28" s="94"/>
      <c r="J28" s="93">
        <f t="shared" si="1"/>
        <v>0</v>
      </c>
    </row>
    <row r="29" spans="1:10">
      <c r="A29" s="92"/>
      <c r="B29" s="92" t="str">
        <f>IF($A29&lt;&gt;"",VLOOKUP($A29,tblMaterials!$A$3:$L$10000,2,FALSE),"")</f>
        <v/>
      </c>
      <c r="C29" s="92"/>
      <c r="D29" s="92" t="str">
        <f>IF($A29&lt;&gt;"",VLOOKUP($A29,tblMaterials!$A$3:$L$1000,5,FALSE),"")</f>
        <v/>
      </c>
      <c r="E29" s="92"/>
      <c r="F29" s="92" t="str">
        <f>IF($A29&lt;&gt;"",IF(VLOOKUP($A29,tblMaterials!$A$3:$L$10000,6,FALSE)&lt;&gt;FALSE,VLOOKUP($A29,tblMaterials!$A$3:$L$10000,6,FALSE),""), "")</f>
        <v/>
      </c>
      <c r="G29" s="92"/>
      <c r="H29" s="92" t="str">
        <f>IF($A29&lt;&gt;"",IF(VLOOKUP($A29,tblMaterials!$A$3:$L$10000,7,FALSE)&lt;&gt;FALSE,VLOOKUP($A29,tblMaterials!$A$3:$L$10000,7,FALSE),""), "")</f>
        <v/>
      </c>
      <c r="I29" s="94"/>
      <c r="J29" s="93">
        <f t="shared" si="1"/>
        <v>0</v>
      </c>
    </row>
    <row r="30" spans="1:10">
      <c r="A30" s="90"/>
      <c r="B30" s="90"/>
      <c r="C30" s="90"/>
      <c r="D30" s="90"/>
      <c r="E30" s="90"/>
      <c r="F30" s="90"/>
      <c r="G30" s="90"/>
      <c r="H30" s="90"/>
      <c r="I30" s="95" t="s">
        <v>1306</v>
      </c>
      <c r="J30" s="91">
        <f>SUM(J24:J29)</f>
        <v>0</v>
      </c>
    </row>
    <row r="31" spans="1:10">
      <c r="A31" s="85"/>
      <c r="B31" s="85"/>
      <c r="C31" s="85"/>
      <c r="D31" s="85"/>
      <c r="E31" s="85"/>
      <c r="F31" s="85"/>
      <c r="G31" s="85"/>
      <c r="H31" s="85"/>
      <c r="I31" s="85"/>
      <c r="J31" s="85"/>
    </row>
    <row r="32" spans="1:10">
      <c r="A32" s="90" t="s">
        <v>17</v>
      </c>
      <c r="B32" s="85"/>
      <c r="C32" s="85"/>
      <c r="D32" s="85"/>
      <c r="E32" s="85"/>
      <c r="F32" s="85"/>
      <c r="G32" s="85"/>
      <c r="H32" s="85"/>
      <c r="I32" s="90"/>
      <c r="J32" s="90"/>
    </row>
    <row r="33" spans="1:10">
      <c r="A33" s="91" t="s">
        <v>1281</v>
      </c>
      <c r="B33" s="91" t="s">
        <v>922</v>
      </c>
      <c r="C33" s="91" t="s">
        <v>1131</v>
      </c>
      <c r="D33" s="91" t="s">
        <v>1307</v>
      </c>
      <c r="E33" s="91" t="s">
        <v>167</v>
      </c>
      <c r="F33" s="91" t="s">
        <v>1</v>
      </c>
      <c r="G33" s="91" t="s">
        <v>1312</v>
      </c>
      <c r="H33" s="91" t="s">
        <v>1313</v>
      </c>
      <c r="I33" s="91" t="s">
        <v>1306</v>
      </c>
      <c r="J33" s="90"/>
    </row>
    <row r="34" spans="1:10">
      <c r="A34" s="92"/>
      <c r="B34" s="92" t="str">
        <f>IF($A34&lt;&gt;"",VLOOKUP($A34,tblProcesses!$A$3:$J$9999,2,FALSE),"")</f>
        <v/>
      </c>
      <c r="C34" s="92"/>
      <c r="D34" s="92" t="str">
        <f>IF($A34&lt;&gt;"",VLOOKUP($A34,tblProcesses!$A$3:$J$9999,3,FALSE),"")</f>
        <v/>
      </c>
      <c r="E34" s="92" t="str">
        <f>IF($A34&lt;&gt;"",VLOOKUP($A34,tblProcesses!$A$3:$J$9999,4,FALSE),"")</f>
        <v/>
      </c>
      <c r="F34" s="92"/>
      <c r="G34" s="92" t="str">
        <f>IF($A34&lt;&gt;"",IF(ISBLANK(VLOOKUP($A34,tblProcesses!$A$3:$J$9999,8,FALSE)),"","?"),"")</f>
        <v/>
      </c>
      <c r="H34" s="92" t="str">
        <f>IF(AND($G34&lt;&gt;"",$G34&lt;&gt;"?"),VLOOKUP($G34,tblProcessMultipliers!$A$3:$E$10000,3,FALSE),"")</f>
        <v/>
      </c>
      <c r="I34" s="93">
        <f>IF($A34&lt;&gt;"",IF($H34&lt;&gt;"",$D34*$F34*$H34,$D34*$F34),0)</f>
        <v>0</v>
      </c>
      <c r="J34" s="85"/>
    </row>
    <row r="35" spans="1:10">
      <c r="A35" s="92"/>
      <c r="B35" s="92" t="str">
        <f>IF($A35&lt;&gt;"",VLOOKUP($A35,tblProcesses!$A$3:$J$9999,2,FALSE),"")</f>
        <v/>
      </c>
      <c r="C35" s="92"/>
      <c r="D35" s="92" t="str">
        <f>IF($A35&lt;&gt;"",VLOOKUP($A35,tblProcesses!$A$3:$J$9999,3,FALSE),"")</f>
        <v/>
      </c>
      <c r="E35" s="92" t="str">
        <f>IF($A35&lt;&gt;"",VLOOKUP($A35,tblProcesses!$A$3:$J$9999,4,FALSE),"")</f>
        <v/>
      </c>
      <c r="F35" s="92"/>
      <c r="G35" s="92" t="str">
        <f>IF($A35&lt;&gt;"",IF(ISBLANK(VLOOKUP($A35,tblProcesses!$A$3:$J$9999,8,FALSE)),"","?"),"")</f>
        <v/>
      </c>
      <c r="H35" s="92" t="str">
        <f>IF(AND($G35&lt;&gt;"",$G35&lt;&gt;"?"),VLOOKUP($G35,tblProcessMultipliers!$A$3:$E$10000,3,FALSE),"")</f>
        <v/>
      </c>
      <c r="I35" s="93">
        <f t="shared" ref="I35:I46" si="2">IF($A35&lt;&gt;"",IF($H35&lt;&gt;"",$D35*$F35*$H35,$D35*$F35),0)</f>
        <v>0</v>
      </c>
      <c r="J35" s="85"/>
    </row>
    <row r="36" spans="1:10">
      <c r="A36" s="92"/>
      <c r="B36" s="92" t="str">
        <f>IF($A36&lt;&gt;"",VLOOKUP($A36,tblProcesses!$A$3:$J$9999,2,FALSE),"")</f>
        <v/>
      </c>
      <c r="C36" s="92"/>
      <c r="D36" s="92" t="str">
        <f>IF($A36&lt;&gt;"",VLOOKUP($A36,tblProcesses!$A$3:$J$9999,3,FALSE),"")</f>
        <v/>
      </c>
      <c r="E36" s="92" t="str">
        <f>IF($A36&lt;&gt;"",VLOOKUP($A36,tblProcesses!$A$3:$J$9999,4,FALSE),"")</f>
        <v/>
      </c>
      <c r="F36" s="92"/>
      <c r="G36" s="92" t="str">
        <f>IF($A36&lt;&gt;"",IF(ISBLANK(VLOOKUP($A36,tblProcesses!$A$3:$J$9999,8,FALSE)),"","?"),"")</f>
        <v/>
      </c>
      <c r="H36" s="92" t="str">
        <f>IF(AND($G36&lt;&gt;"",$G36&lt;&gt;"?"),VLOOKUP($G36,tblProcessMultipliers!$A$3:$E$10000,3,FALSE),"")</f>
        <v/>
      </c>
      <c r="I36" s="93">
        <f t="shared" si="2"/>
        <v>0</v>
      </c>
      <c r="J36" s="85"/>
    </row>
    <row r="37" spans="1:10">
      <c r="A37" s="92"/>
      <c r="B37" s="92" t="str">
        <f>IF($A37&lt;&gt;"",VLOOKUP($A37,tblProcesses!$A$3:$J$9999,2,FALSE),"")</f>
        <v/>
      </c>
      <c r="C37" s="92"/>
      <c r="D37" s="92" t="str">
        <f>IF($A37&lt;&gt;"",VLOOKUP($A37,tblProcesses!$A$3:$J$9999,3,FALSE),"")</f>
        <v/>
      </c>
      <c r="E37" s="92" t="str">
        <f>IF($A37&lt;&gt;"",VLOOKUP($A37,tblProcesses!$A$3:$J$9999,4,FALSE),"")</f>
        <v/>
      </c>
      <c r="F37" s="92"/>
      <c r="G37" s="92" t="str">
        <f>IF($A37&lt;&gt;"",IF(ISBLANK(VLOOKUP($A37,tblProcesses!$A$3:$J$9999,8,FALSE)),"","?"),"")</f>
        <v/>
      </c>
      <c r="H37" s="92" t="str">
        <f>IF(AND($G37&lt;&gt;"",$G37&lt;&gt;"?"),VLOOKUP($G37,tblProcessMultipliers!$A$3:$E$10000,3,FALSE),"")</f>
        <v/>
      </c>
      <c r="I37" s="93">
        <f t="shared" si="2"/>
        <v>0</v>
      </c>
      <c r="J37" s="85"/>
    </row>
    <row r="38" spans="1:10">
      <c r="A38" s="92"/>
      <c r="B38" s="92" t="str">
        <f>IF($A38&lt;&gt;"",VLOOKUP($A38,tblProcesses!$A$3:$J$9999,2,FALSE),"")</f>
        <v/>
      </c>
      <c r="C38" s="92"/>
      <c r="D38" s="92" t="str">
        <f>IF($A38&lt;&gt;"",VLOOKUP($A38,tblProcesses!$A$3:$J$9999,3,FALSE),"")</f>
        <v/>
      </c>
      <c r="E38" s="92" t="str">
        <f>IF($A38&lt;&gt;"",VLOOKUP($A38,tblProcesses!$A$3:$J$9999,4,FALSE),"")</f>
        <v/>
      </c>
      <c r="F38" s="92"/>
      <c r="G38" s="92" t="str">
        <f>IF($A38&lt;&gt;"",IF(ISBLANK(VLOOKUP($A38,tblProcesses!$A$3:$J$9999,8,FALSE)),"","?"),"")</f>
        <v/>
      </c>
      <c r="H38" s="92" t="str">
        <f>IF(AND($G38&lt;&gt;"",$G38&lt;&gt;"?"),VLOOKUP($G38,tblProcessMultipliers!$A$3:$E$10000,3,FALSE),"")</f>
        <v/>
      </c>
      <c r="I38" s="93">
        <f t="shared" si="2"/>
        <v>0</v>
      </c>
      <c r="J38" s="85"/>
    </row>
    <row r="39" spans="1:10">
      <c r="A39" s="92"/>
      <c r="B39" s="92" t="str">
        <f>IF($A39&lt;&gt;"",VLOOKUP($A39,tblProcesses!$A$3:$J$9999,2,FALSE),"")</f>
        <v/>
      </c>
      <c r="C39" s="92"/>
      <c r="D39" s="92" t="str">
        <f>IF($A39&lt;&gt;"",VLOOKUP($A39,tblProcesses!$A$3:$J$9999,3,FALSE),"")</f>
        <v/>
      </c>
      <c r="E39" s="92" t="str">
        <f>IF($A39&lt;&gt;"",VLOOKUP($A39,tblProcesses!$A$3:$J$9999,4,FALSE),"")</f>
        <v/>
      </c>
      <c r="F39" s="92"/>
      <c r="G39" s="92" t="str">
        <f>IF($A39&lt;&gt;"",IF(ISBLANK(VLOOKUP($A39,tblProcesses!$A$3:$J$9999,8,FALSE)),"","?"),"")</f>
        <v/>
      </c>
      <c r="H39" s="92" t="str">
        <f>IF(AND($G39&lt;&gt;"",$G39&lt;&gt;"?"),VLOOKUP($G39,tblProcessMultipliers!$A$3:$E$10000,3,FALSE),"")</f>
        <v/>
      </c>
      <c r="I39" s="93">
        <f t="shared" si="2"/>
        <v>0</v>
      </c>
      <c r="J39" s="85"/>
    </row>
    <row r="40" spans="1:10">
      <c r="A40" s="92"/>
      <c r="B40" s="92" t="str">
        <f>IF($A40&lt;&gt;"",VLOOKUP($A40,tblProcesses!$A$3:$J$9999,2,FALSE),"")</f>
        <v/>
      </c>
      <c r="C40" s="92"/>
      <c r="D40" s="92" t="str">
        <f>IF($A40&lt;&gt;"",VLOOKUP($A40,tblProcesses!$A$3:$J$9999,3,FALSE),"")</f>
        <v/>
      </c>
      <c r="E40" s="92" t="str">
        <f>IF($A40&lt;&gt;"",VLOOKUP($A40,tblProcesses!$A$3:$J$9999,4,FALSE),"")</f>
        <v/>
      </c>
      <c r="F40" s="92"/>
      <c r="G40" s="92" t="str">
        <f>IF($A40&lt;&gt;"",IF(ISBLANK(VLOOKUP($A40,tblProcesses!$A$3:$J$9999,8,FALSE)),"","?"),"")</f>
        <v/>
      </c>
      <c r="H40" s="92" t="str">
        <f>IF(AND($G40&lt;&gt;"",$G40&lt;&gt;"?"),VLOOKUP($G40,tblProcessMultipliers!$A$3:$E$10000,3,FALSE),"")</f>
        <v/>
      </c>
      <c r="I40" s="93">
        <f t="shared" si="2"/>
        <v>0</v>
      </c>
      <c r="J40" s="85"/>
    </row>
    <row r="41" spans="1:10">
      <c r="A41" s="92"/>
      <c r="B41" s="92" t="str">
        <f>IF($A41&lt;&gt;"",VLOOKUP($A41,tblProcesses!$A$3:$J$9999,2,FALSE),"")</f>
        <v/>
      </c>
      <c r="C41" s="92"/>
      <c r="D41" s="92" t="str">
        <f>IF($A41&lt;&gt;"",VLOOKUP($A41,tblProcesses!$A$3:$J$9999,3,FALSE),"")</f>
        <v/>
      </c>
      <c r="E41" s="92" t="str">
        <f>IF($A41&lt;&gt;"",VLOOKUP($A41,tblProcesses!$A$3:$J$9999,4,FALSE),"")</f>
        <v/>
      </c>
      <c r="F41" s="92"/>
      <c r="G41" s="92" t="str">
        <f>IF($A41&lt;&gt;"",IF(ISBLANK(VLOOKUP($A41,tblProcesses!$A$3:$J$9999,8,FALSE)),"","?"),"")</f>
        <v/>
      </c>
      <c r="H41" s="92" t="str">
        <f>IF(AND($G41&lt;&gt;"",$G41&lt;&gt;"?"),VLOOKUP($G41,tblProcessMultipliers!$A$3:$E$10000,3,FALSE),"")</f>
        <v/>
      </c>
      <c r="I41" s="93">
        <f t="shared" si="2"/>
        <v>0</v>
      </c>
      <c r="J41" s="85"/>
    </row>
    <row r="42" spans="1:10">
      <c r="A42" s="92"/>
      <c r="B42" s="92" t="str">
        <f>IF($A42&lt;&gt;"",VLOOKUP($A42,tblProcesses!$A$3:$J$9999,2,FALSE),"")</f>
        <v/>
      </c>
      <c r="C42" s="92"/>
      <c r="D42" s="92" t="str">
        <f>IF($A42&lt;&gt;"",VLOOKUP($A42,tblProcesses!$A$3:$J$9999,3,FALSE),"")</f>
        <v/>
      </c>
      <c r="E42" s="92" t="str">
        <f>IF($A42&lt;&gt;"",VLOOKUP($A42,tblProcesses!$A$3:$J$9999,4,FALSE),"")</f>
        <v/>
      </c>
      <c r="F42" s="92"/>
      <c r="G42" s="92" t="str">
        <f>IF($A42&lt;&gt;"",IF(ISBLANK(VLOOKUP($A42,tblProcesses!$A$3:$J$9999,8,FALSE)),"","?"),"")</f>
        <v/>
      </c>
      <c r="H42" s="92" t="str">
        <f>IF(AND($G42&lt;&gt;"",$G42&lt;&gt;"?"),VLOOKUP($G42,tblProcessMultipliers!$A$3:$E$10000,3,FALSE),"")</f>
        <v/>
      </c>
      <c r="I42" s="93">
        <f t="shared" si="2"/>
        <v>0</v>
      </c>
      <c r="J42" s="85"/>
    </row>
    <row r="43" spans="1:10">
      <c r="A43" s="92"/>
      <c r="B43" s="92" t="str">
        <f>IF($A43&lt;&gt;"",VLOOKUP($A43,tblProcesses!$A$3:$J$9999,2,FALSE),"")</f>
        <v/>
      </c>
      <c r="C43" s="92"/>
      <c r="D43" s="92" t="str">
        <f>IF($A43&lt;&gt;"",VLOOKUP($A43,tblProcesses!$A$3:$J$9999,3,FALSE),"")</f>
        <v/>
      </c>
      <c r="E43" s="92" t="str">
        <f>IF($A43&lt;&gt;"",VLOOKUP($A43,tblProcesses!$A$3:$J$9999,4,FALSE),"")</f>
        <v/>
      </c>
      <c r="F43" s="92"/>
      <c r="G43" s="92" t="str">
        <f>IF($A43&lt;&gt;"",IF(ISBLANK(VLOOKUP($A43,tblProcesses!$A$3:$J$9999,8,FALSE)),"","?"),"")</f>
        <v/>
      </c>
      <c r="H43" s="92" t="str">
        <f>IF(AND($G43&lt;&gt;"",$G43&lt;&gt;"?"),VLOOKUP($G43,tblProcessMultipliers!$A$3:$E$10000,3,FALSE),"")</f>
        <v/>
      </c>
      <c r="I43" s="93">
        <f t="shared" si="2"/>
        <v>0</v>
      </c>
      <c r="J43" s="85"/>
    </row>
    <row r="44" spans="1:10">
      <c r="A44" s="92"/>
      <c r="B44" s="92" t="str">
        <f>IF($A44&lt;&gt;"",VLOOKUP($A44,tblProcesses!$A$3:$J$9999,2,FALSE),"")</f>
        <v/>
      </c>
      <c r="C44" s="92"/>
      <c r="D44" s="92" t="str">
        <f>IF($A44&lt;&gt;"",VLOOKUP($A44,tblProcesses!$A$3:$J$9999,3,FALSE),"")</f>
        <v/>
      </c>
      <c r="E44" s="92" t="str">
        <f>IF($A44&lt;&gt;"",VLOOKUP($A44,tblProcesses!$A$3:$J$9999,4,FALSE),"")</f>
        <v/>
      </c>
      <c r="F44" s="92"/>
      <c r="G44" s="92" t="str">
        <f>IF($A44&lt;&gt;"",IF(ISBLANK(VLOOKUP($A44,tblProcesses!$A$3:$J$9999,8,FALSE)),"","?"),"")</f>
        <v/>
      </c>
      <c r="H44" s="92" t="str">
        <f>IF(AND($G44&lt;&gt;"",$G44&lt;&gt;"?"),VLOOKUP($G44,tblProcessMultipliers!$A$3:$E$10000,3,FALSE),"")</f>
        <v/>
      </c>
      <c r="I44" s="93">
        <f t="shared" si="2"/>
        <v>0</v>
      </c>
      <c r="J44" s="85"/>
    </row>
    <row r="45" spans="1:10">
      <c r="A45" s="92"/>
      <c r="B45" s="92" t="str">
        <f>IF($A45&lt;&gt;"",VLOOKUP($A45,tblProcesses!$A$3:$J$9999,2,FALSE),"")</f>
        <v/>
      </c>
      <c r="C45" s="92"/>
      <c r="D45" s="92" t="str">
        <f>IF($A45&lt;&gt;"",VLOOKUP($A45,tblProcesses!$A$3:$J$9999,3,FALSE),"")</f>
        <v/>
      </c>
      <c r="E45" s="92" t="str">
        <f>IF($A45&lt;&gt;"",VLOOKUP($A45,tblProcesses!$A$3:$J$9999,4,FALSE),"")</f>
        <v/>
      </c>
      <c r="F45" s="92"/>
      <c r="G45" s="92" t="str">
        <f>IF($A45&lt;&gt;"",IF(ISBLANK(VLOOKUP($A45,tblProcesses!$A$3:$J$9999,8,FALSE)),"","?"),"")</f>
        <v/>
      </c>
      <c r="H45" s="92" t="str">
        <f>IF(AND($G45&lt;&gt;"",$G45&lt;&gt;"?"),VLOOKUP($G45,tblProcessMultipliers!$A$3:$E$10000,3,FALSE),"")</f>
        <v/>
      </c>
      <c r="I45" s="93">
        <f t="shared" si="2"/>
        <v>0</v>
      </c>
      <c r="J45" s="90"/>
    </row>
    <row r="46" spans="1:10">
      <c r="A46" s="92"/>
      <c r="B46" s="92" t="str">
        <f>IF($A46&lt;&gt;"",VLOOKUP($A46,tblProcesses!$A$3:$J$9999,2,FALSE),"")</f>
        <v/>
      </c>
      <c r="C46" s="92"/>
      <c r="D46" s="92" t="str">
        <f>IF($A46&lt;&gt;"",VLOOKUP($A46,tblProcesses!$A$3:$J$9999,3,FALSE),"")</f>
        <v/>
      </c>
      <c r="E46" s="92" t="str">
        <f>IF($A46&lt;&gt;"",VLOOKUP($A46,tblProcesses!$A$3:$J$9999,4,FALSE),"")</f>
        <v/>
      </c>
      <c r="F46" s="92"/>
      <c r="G46" s="92" t="str">
        <f>IF($A46&lt;&gt;"",IF(ISBLANK(VLOOKUP($A46,tblProcesses!$A$3:$J$9999,8,FALSE)),"","?"),"")</f>
        <v/>
      </c>
      <c r="H46" s="92" t="str">
        <f>IF(AND($G46&lt;&gt;"",$G46&lt;&gt;"?"),VLOOKUP($G46,tblProcessMultipliers!$A$3:$E$10000,3,FALSE),"")</f>
        <v/>
      </c>
      <c r="I46" s="93">
        <f t="shared" si="2"/>
        <v>0</v>
      </c>
      <c r="J46" s="90"/>
    </row>
    <row r="47" spans="1:10">
      <c r="A47" s="90"/>
      <c r="B47" s="90"/>
      <c r="C47" s="90"/>
      <c r="D47" s="90"/>
      <c r="E47" s="90"/>
      <c r="F47" s="90"/>
      <c r="G47" s="90"/>
      <c r="H47" s="95" t="s">
        <v>1306</v>
      </c>
      <c r="I47" s="91">
        <f>SUM(I34:I46)</f>
        <v>0</v>
      </c>
      <c r="J47" s="85"/>
    </row>
    <row r="48" spans="1:10">
      <c r="A48" s="90"/>
      <c r="B48" s="90"/>
      <c r="C48" s="90"/>
      <c r="D48" s="90"/>
      <c r="E48" s="90"/>
      <c r="F48" s="90"/>
      <c r="G48" s="90"/>
      <c r="H48" s="90"/>
      <c r="I48" s="90"/>
      <c r="J48" s="90"/>
    </row>
    <row r="49" spans="1:10">
      <c r="A49" s="90" t="s">
        <v>16</v>
      </c>
      <c r="B49" s="85"/>
      <c r="C49" s="85"/>
      <c r="D49" s="85"/>
      <c r="E49" s="85"/>
      <c r="F49" s="85"/>
      <c r="G49" s="85"/>
      <c r="H49" s="85"/>
      <c r="I49" s="85"/>
      <c r="J49" s="85"/>
    </row>
    <row r="50" spans="1:10">
      <c r="A50" s="91" t="s">
        <v>1281</v>
      </c>
      <c r="B50" s="91" t="s">
        <v>1166</v>
      </c>
      <c r="C50" s="91" t="s">
        <v>1131</v>
      </c>
      <c r="D50" s="91" t="s">
        <v>1307</v>
      </c>
      <c r="E50" s="91" t="s">
        <v>1308</v>
      </c>
      <c r="F50" s="91" t="s">
        <v>1309</v>
      </c>
      <c r="G50" s="91" t="s">
        <v>1310</v>
      </c>
      <c r="H50" s="91" t="s">
        <v>1311</v>
      </c>
      <c r="I50" s="91" t="s">
        <v>1</v>
      </c>
      <c r="J50" s="91" t="s">
        <v>1306</v>
      </c>
    </row>
    <row r="51" spans="1:10">
      <c r="A51" s="92"/>
      <c r="B51" s="92" t="str">
        <f>IF($A51&lt;&gt;"",VLOOKUP($A51,tblFasteners!$A$3:$R$10000,2,FALSE),"")</f>
        <v/>
      </c>
      <c r="C51" s="92"/>
      <c r="D51" s="92" t="str">
        <f>IF($A51&lt;&gt;"",VLOOKUP($A51,tblFasteners!$A$3:$R$10000,11,FALSE),"")</f>
        <v/>
      </c>
      <c r="E51" s="92"/>
      <c r="F51" s="92" t="str">
        <f>IF($A51&lt;&gt;"",IF(VLOOKUP($A51,tblFasteners!$A$3:$R$10000,4,FALSE)&lt;&gt;FALSE,VLOOKUP($A51,tblFasteners!$A$3:$R$10000,4,FALSE),""),"")</f>
        <v/>
      </c>
      <c r="G51" s="92"/>
      <c r="H51" s="92" t="str">
        <f>IF($A51&lt;&gt;"",IF(VLOOKUP($A51,tblFasteners!$A$3:$R$10000,6,FALSE)&lt;&gt;FALSE,VLOOKUP($A51,tblFasteners!$A$3:$R$10000,6,FALSE),""),"")</f>
        <v/>
      </c>
      <c r="I51" s="93"/>
      <c r="J51" s="93">
        <f>IF($A51&lt;&gt;"",D51*I51,0)</f>
        <v>0</v>
      </c>
    </row>
    <row r="52" spans="1:10">
      <c r="A52" s="92"/>
      <c r="B52" s="92" t="str">
        <f>IF($A52&lt;&gt;"",VLOOKUP($A52,tblFasteners!$A$3:$R$10000,2,FALSE),"")</f>
        <v/>
      </c>
      <c r="C52" s="92"/>
      <c r="D52" s="92" t="str">
        <f>IF($A52&lt;&gt;"",VLOOKUP($A52,tblFasteners!$A$3:$R$10000,11,FALSE),"")</f>
        <v/>
      </c>
      <c r="E52" s="92"/>
      <c r="F52" s="92" t="str">
        <f>IF($A52&lt;&gt;"",IF(VLOOKUP($A52,tblFasteners!$A$3:$R$10000,4,FALSE)&lt;&gt;FALSE,VLOOKUP($A52,tblFasteners!$A$3:$R$10000,4,FALSE),""),"")</f>
        <v/>
      </c>
      <c r="G52" s="92"/>
      <c r="H52" s="92" t="str">
        <f>IF($A52&lt;&gt;"",IF(VLOOKUP($A52,tblFasteners!$A$3:$R$10000,6,FALSE)&lt;&gt;FALSE,VLOOKUP($A52,tblFasteners!$A$3:$R$10000,6,FALSE),""),"")</f>
        <v/>
      </c>
      <c r="I52" s="93"/>
      <c r="J52" s="93">
        <f t="shared" ref="J52:J58" si="3">IF($A52&lt;&gt;"",D52*I52,0)</f>
        <v>0</v>
      </c>
    </row>
    <row r="53" spans="1:10">
      <c r="A53" s="92"/>
      <c r="B53" s="92" t="str">
        <f>IF($A53&lt;&gt;"",VLOOKUP($A53,tblFasteners!$A$3:$R$10000,2,FALSE),"")</f>
        <v/>
      </c>
      <c r="C53" s="92"/>
      <c r="D53" s="92" t="str">
        <f>IF($A53&lt;&gt;"",VLOOKUP($A53,tblFasteners!$A$3:$R$10000,11,FALSE),"")</f>
        <v/>
      </c>
      <c r="E53" s="92"/>
      <c r="F53" s="92" t="str">
        <f>IF($A53&lt;&gt;"",IF(VLOOKUP($A53,tblFasteners!$A$3:$R$10000,4,FALSE)&lt;&gt;FALSE,VLOOKUP($A53,tblFasteners!$A$3:$R$10000,4,FALSE),""),"")</f>
        <v/>
      </c>
      <c r="G53" s="92"/>
      <c r="H53" s="92" t="str">
        <f>IF($A53&lt;&gt;"",IF(VLOOKUP($A53,tblFasteners!$A$3:$R$10000,6,FALSE)&lt;&gt;FALSE,VLOOKUP($A53,tblFasteners!$A$3:$R$10000,6,FALSE),""),"")</f>
        <v/>
      </c>
      <c r="I53" s="93"/>
      <c r="J53" s="93">
        <f t="shared" si="3"/>
        <v>0</v>
      </c>
    </row>
    <row r="54" spans="1:10">
      <c r="A54" s="92"/>
      <c r="B54" s="92" t="str">
        <f>IF($A54&lt;&gt;"",VLOOKUP($A54,tblFasteners!$A$3:$R$10000,2,FALSE),"")</f>
        <v/>
      </c>
      <c r="C54" s="92"/>
      <c r="D54" s="92" t="str">
        <f>IF($A54&lt;&gt;"",VLOOKUP($A54,tblFasteners!$A$3:$R$10000,11,FALSE),"")</f>
        <v/>
      </c>
      <c r="E54" s="92"/>
      <c r="F54" s="92" t="str">
        <f>IF($A54&lt;&gt;"",IF(VLOOKUP($A54,tblFasteners!$A$3:$R$10000,4,FALSE)&lt;&gt;FALSE,VLOOKUP($A54,tblFasteners!$A$3:$R$10000,4,FALSE),""),"")</f>
        <v/>
      </c>
      <c r="G54" s="92"/>
      <c r="H54" s="92" t="str">
        <f>IF($A54&lt;&gt;"",IF(VLOOKUP($A54,tblFasteners!$A$3:$R$10000,6,FALSE)&lt;&gt;FALSE,VLOOKUP($A54,tblFasteners!$A$3:$R$10000,6,FALSE),""),"")</f>
        <v/>
      </c>
      <c r="I54" s="93"/>
      <c r="J54" s="93">
        <f t="shared" si="3"/>
        <v>0</v>
      </c>
    </row>
    <row r="55" spans="1:10">
      <c r="A55" s="92"/>
      <c r="B55" s="92" t="str">
        <f>IF($A55&lt;&gt;"",VLOOKUP($A55,tblFasteners!$A$3:$R$10000,2,FALSE),"")</f>
        <v/>
      </c>
      <c r="C55" s="92"/>
      <c r="D55" s="92" t="str">
        <f>IF($A55&lt;&gt;"",VLOOKUP($A55,tblFasteners!$A$3:$R$10000,11,FALSE),"")</f>
        <v/>
      </c>
      <c r="E55" s="92"/>
      <c r="F55" s="92" t="str">
        <f>IF($A55&lt;&gt;"",IF(VLOOKUP($A55,tblFasteners!$A$3:$R$10000,4,FALSE)&lt;&gt;FALSE,VLOOKUP($A55,tblFasteners!$A$3:$R$10000,4,FALSE),""),"")</f>
        <v/>
      </c>
      <c r="G55" s="92"/>
      <c r="H55" s="92" t="str">
        <f>IF($A55&lt;&gt;"",IF(VLOOKUP($A55,tblFasteners!$A$3:$R$10000,6,FALSE)&lt;&gt;FALSE,VLOOKUP($A55,tblFasteners!$A$3:$R$10000,6,FALSE),""),"")</f>
        <v/>
      </c>
      <c r="I55" s="93"/>
      <c r="J55" s="93">
        <f t="shared" si="3"/>
        <v>0</v>
      </c>
    </row>
    <row r="56" spans="1:10">
      <c r="A56" s="92"/>
      <c r="B56" s="92" t="str">
        <f>IF($A56&lt;&gt;"",VLOOKUP($A56,tblFasteners!$A$3:$R$10000,2,FALSE),"")</f>
        <v/>
      </c>
      <c r="C56" s="92"/>
      <c r="D56" s="92" t="str">
        <f>IF($A56&lt;&gt;"",VLOOKUP($A56,tblFasteners!$A$3:$R$10000,11,FALSE),"")</f>
        <v/>
      </c>
      <c r="E56" s="92"/>
      <c r="F56" s="92" t="str">
        <f>IF($A56&lt;&gt;"",IF(VLOOKUP($A56,tblFasteners!$A$3:$R$10000,4,FALSE)&lt;&gt;FALSE,VLOOKUP($A56,tblFasteners!$A$3:$R$10000,4,FALSE),""),"")</f>
        <v/>
      </c>
      <c r="G56" s="92"/>
      <c r="H56" s="92" t="str">
        <f>IF($A56&lt;&gt;"",IF(VLOOKUP($A56,tblFasteners!$A$3:$R$10000,6,FALSE)&lt;&gt;FALSE,VLOOKUP($A56,tblFasteners!$A$3:$R$10000,6,FALSE),""),"")</f>
        <v/>
      </c>
      <c r="I56" s="93"/>
      <c r="J56" s="93">
        <f t="shared" si="3"/>
        <v>0</v>
      </c>
    </row>
    <row r="57" spans="1:10">
      <c r="A57" s="92"/>
      <c r="B57" s="92" t="str">
        <f>IF($A57&lt;&gt;"",VLOOKUP($A57,tblFasteners!$A$3:$R$10000,2,FALSE),"")</f>
        <v/>
      </c>
      <c r="C57" s="92"/>
      <c r="D57" s="92" t="str">
        <f>IF($A57&lt;&gt;"",VLOOKUP($A57,tblFasteners!$A$3:$R$10000,11,FALSE),"")</f>
        <v/>
      </c>
      <c r="E57" s="92"/>
      <c r="F57" s="92" t="str">
        <f>IF($A57&lt;&gt;"",IF(VLOOKUP($A57,tblFasteners!$A$3:$R$10000,4,FALSE)&lt;&gt;FALSE,VLOOKUP($A57,tblFasteners!$A$3:$R$10000,4,FALSE),""),"")</f>
        <v/>
      </c>
      <c r="G57" s="92"/>
      <c r="H57" s="92" t="str">
        <f>IF($A57&lt;&gt;"",IF(VLOOKUP($A57,tblFasteners!$A$3:$R$10000,6,FALSE)&lt;&gt;FALSE,VLOOKUP($A57,tblFasteners!$A$3:$R$10000,6,FALSE),""),"")</f>
        <v/>
      </c>
      <c r="I57" s="93"/>
      <c r="J57" s="93">
        <f t="shared" si="3"/>
        <v>0</v>
      </c>
    </row>
    <row r="58" spans="1:10">
      <c r="A58" s="92"/>
      <c r="B58" s="92" t="str">
        <f>IF($A58&lt;&gt;"",VLOOKUP($A58,tblFasteners!$A$3:$R$10000,2,FALSE),"")</f>
        <v/>
      </c>
      <c r="C58" s="92"/>
      <c r="D58" s="92" t="str">
        <f>IF($A58&lt;&gt;"",VLOOKUP($A58,tblFasteners!$A$3:$R$10000,11,FALSE),"")</f>
        <v/>
      </c>
      <c r="E58" s="92"/>
      <c r="F58" s="92" t="str">
        <f>IF($A58&lt;&gt;"",IF(VLOOKUP($A58,tblFasteners!$A$3:$R$10000,4,FALSE)&lt;&gt;FALSE,VLOOKUP($A58,tblFasteners!$A$3:$R$10000,4,FALSE),""),"")</f>
        <v/>
      </c>
      <c r="G58" s="92"/>
      <c r="H58" s="92" t="str">
        <f>IF($A58&lt;&gt;"",IF(VLOOKUP($A58,tblFasteners!$A$3:$R$10000,6,FALSE)&lt;&gt;FALSE,VLOOKUP($A58,tblFasteners!$A$3:$R$10000,6,FALSE),""),"")</f>
        <v/>
      </c>
      <c r="I58" s="93"/>
      <c r="J58" s="93">
        <f t="shared" si="3"/>
        <v>0</v>
      </c>
    </row>
    <row r="59" spans="1:10">
      <c r="A59" s="90"/>
      <c r="B59" s="90"/>
      <c r="C59" s="90"/>
      <c r="D59" s="90"/>
      <c r="E59" s="90"/>
      <c r="F59" s="90"/>
      <c r="G59" s="90"/>
      <c r="H59" s="90"/>
      <c r="I59" s="95" t="s">
        <v>1306</v>
      </c>
      <c r="J59" s="91">
        <f>SUM(J51:J58)</f>
        <v>0</v>
      </c>
    </row>
    <row r="60" spans="1:10">
      <c r="A60" s="90"/>
      <c r="B60" s="90"/>
      <c r="C60" s="90"/>
      <c r="D60" s="90"/>
      <c r="E60" s="90"/>
      <c r="F60" s="90"/>
      <c r="G60" s="90"/>
      <c r="H60" s="90"/>
      <c r="I60" s="90"/>
      <c r="J60" s="90"/>
    </row>
    <row r="61" spans="1:10">
      <c r="A61" s="90" t="s">
        <v>4</v>
      </c>
      <c r="B61" s="85"/>
      <c r="C61" s="85"/>
      <c r="D61" s="85"/>
      <c r="E61" s="85"/>
      <c r="F61" s="85"/>
      <c r="G61" s="85"/>
      <c r="H61" s="96"/>
      <c r="I61" s="85"/>
      <c r="J61" s="85"/>
    </row>
    <row r="62" spans="1:10">
      <c r="A62" s="91" t="s">
        <v>1281</v>
      </c>
      <c r="B62" s="91" t="s">
        <v>4</v>
      </c>
      <c r="C62" s="91" t="s">
        <v>1131</v>
      </c>
      <c r="D62" s="91" t="s">
        <v>1307</v>
      </c>
      <c r="E62" s="91" t="s">
        <v>167</v>
      </c>
      <c r="F62" s="91" t="s">
        <v>1</v>
      </c>
      <c r="G62" s="97" t="s">
        <v>1314</v>
      </c>
      <c r="H62" s="98" t="s">
        <v>1315</v>
      </c>
      <c r="I62" s="91" t="s">
        <v>1306</v>
      </c>
      <c r="J62" s="85"/>
    </row>
    <row r="63" spans="1:10">
      <c r="A63" s="92"/>
      <c r="B63" s="92" t="str">
        <f>IF($A63&lt;&gt;"",VLOOKUP($A63,tblTooling!$A$3:$F$10000,3,FALSE),"")</f>
        <v/>
      </c>
      <c r="C63" s="92"/>
      <c r="D63" s="92" t="str">
        <f>IF($A63&lt;&gt;"",VLOOKUP($A63,tblTooling!$A$3:$F$10000,4,FALSE),"")</f>
        <v/>
      </c>
      <c r="E63" s="92" t="str">
        <f>IF($A63&lt;&gt;"",VLOOKUP($A63,tblTooling!$A$3:$F$10000,5,FALSE),"")</f>
        <v/>
      </c>
      <c r="F63" s="92">
        <v>1</v>
      </c>
      <c r="G63" s="92">
        <v>3000</v>
      </c>
      <c r="H63" s="92"/>
      <c r="I63" s="93">
        <f>IF($A63&lt;&gt;"",D63*F63/G63,0)</f>
        <v>0</v>
      </c>
      <c r="J63" s="90"/>
    </row>
    <row r="64" spans="1:10">
      <c r="A64" s="92"/>
      <c r="B64" s="92" t="s">
        <v>927</v>
      </c>
      <c r="C64" s="92"/>
      <c r="D64" s="92" t="s">
        <v>927</v>
      </c>
      <c r="E64" s="92" t="s">
        <v>927</v>
      </c>
      <c r="F64" s="93"/>
      <c r="G64" s="92">
        <v>3000</v>
      </c>
      <c r="H64" s="92"/>
      <c r="I64" s="93">
        <f>IF($A64&lt;&gt;"",D64*F64/G64,0)</f>
        <v>0</v>
      </c>
      <c r="J64" s="85"/>
    </row>
    <row r="65" spans="1:10">
      <c r="A65" s="90"/>
      <c r="B65" s="90"/>
      <c r="C65" s="90"/>
      <c r="D65" s="90"/>
      <c r="E65" s="90"/>
      <c r="F65" s="90"/>
      <c r="G65" s="90"/>
      <c r="H65" s="95" t="s">
        <v>1306</v>
      </c>
      <c r="I65" s="91">
        <f>SUM(I63:I64)</f>
        <v>0</v>
      </c>
      <c r="J65" s="85"/>
    </row>
    <row r="66" spans="1:10">
      <c r="A66" s="85"/>
      <c r="B66" s="85"/>
      <c r="C66" s="85"/>
      <c r="D66" s="85"/>
      <c r="E66" s="85"/>
      <c r="F66" s="85"/>
      <c r="G66" s="85"/>
      <c r="H66" s="85"/>
      <c r="I66" s="85"/>
      <c r="J66" s="85"/>
    </row>
    <row r="67" spans="1:10">
      <c r="A67" s="85"/>
      <c r="B67" s="85"/>
      <c r="C67" s="85"/>
      <c r="D67" s="85"/>
      <c r="E67" s="85"/>
      <c r="F67" s="85"/>
      <c r="G67" s="85"/>
      <c r="H67" s="85"/>
      <c r="I67" s="85"/>
      <c r="J67" s="8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theme="5"/>
  </sheetPr>
  <dimension ref="A1:J55"/>
  <sheetViews>
    <sheetView tabSelected="1" workbookViewId="0">
      <selection activeCell="H1" sqref="H1"/>
    </sheetView>
  </sheetViews>
  <sheetFormatPr defaultRowHeight="15"/>
  <cols>
    <col min="1" max="1" width="15.42578125" customWidth="1"/>
    <col min="2" max="2" width="28.42578125" customWidth="1"/>
    <col min="3" max="3" width="21.140625" customWidth="1"/>
    <col min="4" max="4" width="19" customWidth="1"/>
    <col min="7" max="7" width="15.140625" customWidth="1"/>
  </cols>
  <sheetData>
    <row r="1" spans="1:10">
      <c r="A1" s="84" t="s">
        <v>3</v>
      </c>
      <c r="B1" s="85" t="s">
        <v>18</v>
      </c>
      <c r="C1" s="85"/>
      <c r="D1" s="84" t="s">
        <v>5</v>
      </c>
      <c r="E1" s="86">
        <v>99999</v>
      </c>
      <c r="F1" s="85"/>
      <c r="G1" s="84" t="s">
        <v>1297</v>
      </c>
      <c r="H1" s="87">
        <f>J18+I35+J47+I53</f>
        <v>0</v>
      </c>
      <c r="I1" s="85"/>
      <c r="J1" s="85"/>
    </row>
    <row r="2" spans="1:10">
      <c r="A2" s="84" t="s">
        <v>1171</v>
      </c>
      <c r="B2" s="85" t="s">
        <v>1318</v>
      </c>
      <c r="C2" s="85"/>
      <c r="D2" s="85"/>
      <c r="E2" s="85"/>
      <c r="F2" s="85"/>
      <c r="G2" s="84" t="s">
        <v>1298</v>
      </c>
      <c r="H2" s="88">
        <v>1</v>
      </c>
      <c r="I2" s="85"/>
      <c r="J2" s="85"/>
    </row>
    <row r="3" spans="1:10">
      <c r="A3" s="84" t="s">
        <v>1024</v>
      </c>
      <c r="B3" s="85" t="s">
        <v>1316</v>
      </c>
      <c r="C3" s="85"/>
      <c r="D3" s="85"/>
      <c r="E3" s="85"/>
      <c r="F3" s="85"/>
      <c r="G3" s="85"/>
      <c r="H3" s="85"/>
      <c r="I3" s="85"/>
      <c r="J3" s="85"/>
    </row>
    <row r="4" spans="1:10">
      <c r="A4" s="84" t="s">
        <v>1304</v>
      </c>
      <c r="B4" s="85" t="s">
        <v>1317</v>
      </c>
      <c r="C4" s="85"/>
      <c r="D4" s="85"/>
      <c r="E4" s="85"/>
      <c r="F4" s="85"/>
      <c r="G4" s="85"/>
      <c r="H4" s="85"/>
      <c r="I4" s="85"/>
      <c r="J4" s="85"/>
    </row>
    <row r="5" spans="1:10">
      <c r="A5" s="84" t="s">
        <v>1299</v>
      </c>
      <c r="B5" s="169" t="s">
        <v>1548</v>
      </c>
      <c r="C5" s="85"/>
      <c r="D5" s="85"/>
      <c r="E5" s="85"/>
      <c r="F5" s="85"/>
      <c r="G5" s="84" t="s">
        <v>1300</v>
      </c>
      <c r="H5" s="87">
        <f>H1*H2</f>
        <v>0</v>
      </c>
      <c r="I5" s="85"/>
      <c r="J5" s="85"/>
    </row>
    <row r="6" spans="1:10">
      <c r="A6" s="84" t="s">
        <v>1301</v>
      </c>
      <c r="B6" s="85" t="s">
        <v>14</v>
      </c>
      <c r="C6" s="85"/>
      <c r="D6" s="85"/>
      <c r="E6" s="85"/>
      <c r="F6" s="85"/>
      <c r="G6" s="85"/>
      <c r="H6" s="85"/>
      <c r="I6" s="85"/>
      <c r="J6" s="85"/>
    </row>
    <row r="7" spans="1:10">
      <c r="A7" s="84" t="s">
        <v>1302</v>
      </c>
      <c r="B7" s="85"/>
      <c r="C7" s="85"/>
      <c r="D7" s="85"/>
      <c r="E7" s="85"/>
      <c r="F7" s="85"/>
      <c r="G7" s="85"/>
      <c r="H7" s="85"/>
      <c r="I7" s="85"/>
      <c r="J7" s="85"/>
    </row>
    <row r="8" spans="1:10">
      <c r="B8" s="85"/>
      <c r="C8" s="85"/>
      <c r="D8" s="85"/>
      <c r="E8" s="85"/>
      <c r="F8" s="85"/>
      <c r="G8" s="85"/>
      <c r="H8" s="85"/>
      <c r="I8" s="85"/>
      <c r="J8" s="85"/>
    </row>
    <row r="9" spans="1:10">
      <c r="A9" s="85"/>
      <c r="B9" s="85"/>
      <c r="C9" s="85"/>
      <c r="D9" s="85"/>
      <c r="E9" s="85"/>
      <c r="F9" s="85"/>
      <c r="G9" s="85"/>
      <c r="H9" s="85"/>
      <c r="I9" s="85"/>
      <c r="J9" s="85"/>
    </row>
    <row r="10" spans="1:10">
      <c r="A10" s="90" t="s">
        <v>15</v>
      </c>
      <c r="B10" s="85"/>
      <c r="C10" s="85"/>
      <c r="D10" s="85"/>
      <c r="E10" s="85"/>
      <c r="F10" s="85"/>
      <c r="G10" s="85"/>
      <c r="H10" s="85"/>
      <c r="I10" s="85"/>
      <c r="J10" s="85"/>
    </row>
    <row r="11" spans="1:10">
      <c r="A11" s="91" t="s">
        <v>1281</v>
      </c>
      <c r="B11" s="91" t="s">
        <v>21</v>
      </c>
      <c r="C11" s="91" t="s">
        <v>1131</v>
      </c>
      <c r="D11" s="91" t="s">
        <v>1307</v>
      </c>
      <c r="E11" s="91" t="s">
        <v>1308</v>
      </c>
      <c r="F11" s="91" t="s">
        <v>1309</v>
      </c>
      <c r="G11" s="91" t="s">
        <v>1310</v>
      </c>
      <c r="H11" s="91" t="s">
        <v>1311</v>
      </c>
      <c r="I11" s="91" t="s">
        <v>1</v>
      </c>
      <c r="J11" s="91" t="s">
        <v>1306</v>
      </c>
    </row>
    <row r="12" spans="1:10">
      <c r="A12" s="92"/>
      <c r="B12" s="92" t="str">
        <f>IF($A12&lt;&gt;"",VLOOKUP($A12,tblMaterials!$A$3:$L$10000,2,FALSE),"")</f>
        <v/>
      </c>
      <c r="C12" s="92"/>
      <c r="D12" s="92" t="str">
        <f>IF($A12&lt;&gt;"",VLOOKUP($A12,tblMaterials!$A$3:$L$1000,5,FALSE),"")</f>
        <v/>
      </c>
      <c r="E12" s="92"/>
      <c r="F12" s="92" t="str">
        <f>IF($A12&lt;&gt;"",IF(VLOOKUP($A12,tblMaterials!$A$3:$L$10000,6,FALSE)&lt;&gt;FALSE,VLOOKUP($A12,tblMaterials!$A$3:$L$10000,6,FALSE),""), "")</f>
        <v/>
      </c>
      <c r="G12" s="92"/>
      <c r="H12" s="92" t="str">
        <f>IF($A12&lt;&gt;"",IF(VLOOKUP($A12,tblMaterials!$A$3:$L$10000,7,FALSE)&lt;&gt;FALSE,VLOOKUP($A12,tblMaterials!$A$3:$L$10000,7,FALSE),""), "")</f>
        <v/>
      </c>
      <c r="I12" s="94"/>
      <c r="J12" s="93">
        <f t="shared" ref="J12:J17" si="0">IF($A12="",0,D12*I12)</f>
        <v>0</v>
      </c>
    </row>
    <row r="13" spans="1:10">
      <c r="A13" s="92"/>
      <c r="B13" s="92" t="str">
        <f>IF($A13&lt;&gt;"",VLOOKUP($A13,tblMaterials!$A$3:$L$10000,2,FALSE),"")</f>
        <v/>
      </c>
      <c r="C13" s="92"/>
      <c r="D13" s="92" t="str">
        <f>IF($A13&lt;&gt;"",VLOOKUP($A13,tblMaterials!$A$3:$L$1000,5,FALSE),"")</f>
        <v/>
      </c>
      <c r="E13" s="92"/>
      <c r="F13" s="92" t="str">
        <f>IF($A13&lt;&gt;"",IF(VLOOKUP($A13,tblMaterials!$A$3:$L$10000,6,FALSE)&lt;&gt;FALSE,VLOOKUP($A13,tblMaterials!$A$3:$L$10000,6,FALSE),""), "")</f>
        <v/>
      </c>
      <c r="G13" s="92"/>
      <c r="H13" s="92" t="str">
        <f>IF($A13&lt;&gt;"",IF(VLOOKUP($A13,tblMaterials!$A$3:$L$10000,7,FALSE)&lt;&gt;FALSE,VLOOKUP($A13,tblMaterials!$A$3:$L$10000,7,FALSE),""), "")</f>
        <v/>
      </c>
      <c r="I13" s="94"/>
      <c r="J13" s="93">
        <f t="shared" si="0"/>
        <v>0</v>
      </c>
    </row>
    <row r="14" spans="1:10">
      <c r="A14" s="92"/>
      <c r="B14" s="92" t="str">
        <f>IF($A14&lt;&gt;"",VLOOKUP($A14,tblMaterials!$A$3:$L$10000,2,FALSE),"")</f>
        <v/>
      </c>
      <c r="C14" s="92"/>
      <c r="D14" s="92" t="str">
        <f>IF($A14&lt;&gt;"",VLOOKUP($A14,tblMaterials!$A$3:$L$1000,5,FALSE),"")</f>
        <v/>
      </c>
      <c r="E14" s="92"/>
      <c r="F14" s="92" t="str">
        <f>IF($A14&lt;&gt;"",IF(VLOOKUP($A14,tblMaterials!$A$3:$L$10000,6,FALSE)&lt;&gt;FALSE,VLOOKUP($A14,tblMaterials!$A$3:$L$10000,6,FALSE),""), "")</f>
        <v/>
      </c>
      <c r="G14" s="92"/>
      <c r="H14" s="92" t="str">
        <f>IF($A14&lt;&gt;"",IF(VLOOKUP($A14,tblMaterials!$A$3:$L$10000,7,FALSE)&lt;&gt;FALSE,VLOOKUP($A14,tblMaterials!$A$3:$L$10000,7,FALSE),""), "")</f>
        <v/>
      </c>
      <c r="I14" s="94"/>
      <c r="J14" s="93">
        <f t="shared" si="0"/>
        <v>0</v>
      </c>
    </row>
    <row r="15" spans="1:10">
      <c r="A15" s="92"/>
      <c r="B15" s="92" t="str">
        <f>IF($A15&lt;&gt;"",VLOOKUP($A15,tblMaterials!$A$3:$L$10000,2,FALSE),"")</f>
        <v/>
      </c>
      <c r="C15" s="92"/>
      <c r="D15" s="92" t="str">
        <f>IF($A15&lt;&gt;"",VLOOKUP($A15,tblMaterials!$A$3:$L$1000,5,FALSE),"")</f>
        <v/>
      </c>
      <c r="E15" s="92"/>
      <c r="F15" s="92" t="str">
        <f>IF($A15&lt;&gt;"",IF(VLOOKUP($A15,tblMaterials!$A$3:$L$10000,6,FALSE)&lt;&gt;FALSE,VLOOKUP($A15,tblMaterials!$A$3:$L$10000,6,FALSE),""), "")</f>
        <v/>
      </c>
      <c r="G15" s="92"/>
      <c r="H15" s="92" t="str">
        <f>IF($A15&lt;&gt;"",IF(VLOOKUP($A15,tblMaterials!$A$3:$L$10000,7,FALSE)&lt;&gt;FALSE,VLOOKUP($A15,tblMaterials!$A$3:$L$10000,7,FALSE),""), "")</f>
        <v/>
      </c>
      <c r="I15" s="94"/>
      <c r="J15" s="93">
        <f t="shared" si="0"/>
        <v>0</v>
      </c>
    </row>
    <row r="16" spans="1:10">
      <c r="A16" s="92"/>
      <c r="B16" s="92" t="str">
        <f>IF($A16&lt;&gt;"",VLOOKUP($A16,tblMaterials!$A$3:$L$10000,2,FALSE),"")</f>
        <v/>
      </c>
      <c r="C16" s="92"/>
      <c r="D16" s="92" t="str">
        <f>IF($A16&lt;&gt;"",VLOOKUP($A16,tblMaterials!$A$3:$L$1000,5,FALSE),"")</f>
        <v/>
      </c>
      <c r="E16" s="92"/>
      <c r="F16" s="92" t="str">
        <f>IF($A16&lt;&gt;"",IF(VLOOKUP($A16,tblMaterials!$A$3:$L$10000,6,FALSE)&lt;&gt;FALSE,VLOOKUP($A16,tblMaterials!$A$3:$L$10000,6,FALSE),""), "")</f>
        <v/>
      </c>
      <c r="G16" s="92"/>
      <c r="H16" s="92" t="str">
        <f>IF($A16&lt;&gt;"",IF(VLOOKUP($A16,tblMaterials!$A$3:$L$10000,7,FALSE)&lt;&gt;FALSE,VLOOKUP($A16,tblMaterials!$A$3:$L$10000,7,FALSE),""), "")</f>
        <v/>
      </c>
      <c r="I16" s="94"/>
      <c r="J16" s="93">
        <f t="shared" si="0"/>
        <v>0</v>
      </c>
    </row>
    <row r="17" spans="1:10">
      <c r="A17" s="92"/>
      <c r="B17" s="92" t="str">
        <f>IF($A17&lt;&gt;"",VLOOKUP($A17,tblMaterials!$A$3:$L$10000,2,FALSE),"")</f>
        <v/>
      </c>
      <c r="C17" s="92"/>
      <c r="D17" s="92" t="str">
        <f>IF($A17&lt;&gt;"",VLOOKUP($A17,tblMaterials!$A$3:$L$1000,5,FALSE),"")</f>
        <v/>
      </c>
      <c r="E17" s="92"/>
      <c r="F17" s="92" t="str">
        <f>IF($A17&lt;&gt;"",IF(VLOOKUP($A17,tblMaterials!$A$3:$L$10000,6,FALSE)&lt;&gt;FALSE,VLOOKUP($A17,tblMaterials!$A$3:$L$10000,6,FALSE),""), "")</f>
        <v/>
      </c>
      <c r="G17" s="92"/>
      <c r="H17" s="92" t="str">
        <f>IF($A17&lt;&gt;"",IF(VLOOKUP($A17,tblMaterials!$A$3:$L$10000,7,FALSE)&lt;&gt;FALSE,VLOOKUP($A17,tblMaterials!$A$3:$L$10000,7,FALSE),""), "")</f>
        <v/>
      </c>
      <c r="I17" s="94"/>
      <c r="J17" s="93">
        <f t="shared" si="0"/>
        <v>0</v>
      </c>
    </row>
    <row r="18" spans="1:10">
      <c r="A18" s="90"/>
      <c r="B18" s="90"/>
      <c r="C18" s="90"/>
      <c r="D18" s="90"/>
      <c r="E18" s="90"/>
      <c r="F18" s="90"/>
      <c r="G18" s="90"/>
      <c r="H18" s="90"/>
      <c r="I18" s="95" t="s">
        <v>1306</v>
      </c>
      <c r="J18" s="91">
        <f>SUM(J12:J17)</f>
        <v>0</v>
      </c>
    </row>
    <row r="19" spans="1:10">
      <c r="A19" s="85"/>
      <c r="B19" s="85"/>
      <c r="C19" s="85"/>
      <c r="D19" s="85"/>
      <c r="E19" s="85"/>
      <c r="F19" s="85"/>
      <c r="G19" s="85"/>
      <c r="H19" s="85"/>
      <c r="I19" s="85"/>
      <c r="J19" s="85"/>
    </row>
    <row r="20" spans="1:10">
      <c r="A20" s="90" t="s">
        <v>17</v>
      </c>
      <c r="B20" s="85"/>
      <c r="C20" s="85"/>
      <c r="D20" s="85"/>
      <c r="E20" s="85"/>
      <c r="F20" s="85"/>
      <c r="G20" s="85"/>
      <c r="H20" s="85"/>
      <c r="I20" s="90"/>
      <c r="J20" s="90"/>
    </row>
    <row r="21" spans="1:10">
      <c r="A21" s="91" t="s">
        <v>1281</v>
      </c>
      <c r="B21" s="91" t="s">
        <v>922</v>
      </c>
      <c r="C21" s="91" t="s">
        <v>1131</v>
      </c>
      <c r="D21" s="91" t="s">
        <v>1307</v>
      </c>
      <c r="E21" s="91" t="s">
        <v>167</v>
      </c>
      <c r="F21" s="91" t="s">
        <v>1</v>
      </c>
      <c r="G21" s="91" t="s">
        <v>1312</v>
      </c>
      <c r="H21" s="91" t="s">
        <v>1313</v>
      </c>
      <c r="I21" s="91" t="s">
        <v>1306</v>
      </c>
      <c r="J21" s="90"/>
    </row>
    <row r="22" spans="1:10">
      <c r="A22" s="92"/>
      <c r="B22" s="92" t="str">
        <f>IF($A22&lt;&gt;"",VLOOKUP($A22,tblProcesses!$A$3:$J$9999,2,FALSE),"")</f>
        <v/>
      </c>
      <c r="C22" s="92"/>
      <c r="D22" s="92" t="str">
        <f>IF($A22&lt;&gt;"",VLOOKUP($A22,tblProcesses!$A$3:$J$9999,3,FALSE),"")</f>
        <v/>
      </c>
      <c r="E22" s="92" t="str">
        <f>IF($A22&lt;&gt;"",VLOOKUP($A22,tblProcesses!$A$3:$J$9999,4,FALSE),"")</f>
        <v/>
      </c>
      <c r="F22" s="92"/>
      <c r="G22" s="92" t="str">
        <f>IF($A22&lt;&gt;"",IF(ISBLANK(VLOOKUP($A22,tblProcesses!$A$3:$J$9999,8,FALSE)),"","?"),"")</f>
        <v/>
      </c>
      <c r="H22" s="92" t="str">
        <f>IF(AND($G22&lt;&gt;"",$G22&lt;&gt;"?"),VLOOKUP($G22,tblProcessMultipliers!$A$3:$E$10000,3,FALSE),"")</f>
        <v/>
      </c>
      <c r="I22" s="93">
        <f>IF($A22&lt;&gt;"",IF($H22&lt;&gt;"",$D22*$F22*$H22,$D22*$F22),0)</f>
        <v>0</v>
      </c>
      <c r="J22" s="85"/>
    </row>
    <row r="23" spans="1:10">
      <c r="A23" s="92"/>
      <c r="B23" s="92" t="str">
        <f>IF($A23&lt;&gt;"",VLOOKUP($A23,tblProcesses!$A$3:$J$9999,2,FALSE),"")</f>
        <v/>
      </c>
      <c r="C23" s="92"/>
      <c r="D23" s="92" t="str">
        <f>IF($A23&lt;&gt;"",VLOOKUP($A23,tblProcesses!$A$3:$J$9999,3,FALSE),"")</f>
        <v/>
      </c>
      <c r="E23" s="92" t="str">
        <f>IF($A23&lt;&gt;"",VLOOKUP($A23,tblProcesses!$A$3:$J$9999,4,FALSE),"")</f>
        <v/>
      </c>
      <c r="F23" s="92"/>
      <c r="G23" s="92" t="str">
        <f>IF($A23&lt;&gt;"",IF(ISBLANK(VLOOKUP($A23,tblProcesses!$A$3:$J$9999,8,FALSE)),"","?"),"")</f>
        <v/>
      </c>
      <c r="H23" s="92" t="str">
        <f>IF(AND($G23&lt;&gt;"",$G23&lt;&gt;"?"),VLOOKUP($G23,tblProcessMultipliers!$A$3:$E$10000,3,FALSE),"")</f>
        <v/>
      </c>
      <c r="I23" s="93">
        <f t="shared" ref="I23:I34" si="1">IF($A23&lt;&gt;"",IF($H23&lt;&gt;"",$D23*$F23*$H23,$D23*$F23),0)</f>
        <v>0</v>
      </c>
      <c r="J23" s="85"/>
    </row>
    <row r="24" spans="1:10">
      <c r="A24" s="92"/>
      <c r="B24" s="92" t="str">
        <f>IF($A24&lt;&gt;"",VLOOKUP($A24,tblProcesses!$A$3:$J$9999,2,FALSE),"")</f>
        <v/>
      </c>
      <c r="C24" s="92"/>
      <c r="D24" s="92" t="str">
        <f>IF($A24&lt;&gt;"",VLOOKUP($A24,tblProcesses!$A$3:$J$9999,3,FALSE),"")</f>
        <v/>
      </c>
      <c r="E24" s="92" t="str">
        <f>IF($A24&lt;&gt;"",VLOOKUP($A24,tblProcesses!$A$3:$J$9999,4,FALSE),"")</f>
        <v/>
      </c>
      <c r="F24" s="92"/>
      <c r="G24" s="92" t="str">
        <f>IF($A24&lt;&gt;"",IF(ISBLANK(VLOOKUP($A24,tblProcesses!$A$3:$J$9999,8,FALSE)),"","?"),"")</f>
        <v/>
      </c>
      <c r="H24" s="92" t="str">
        <f>IF(AND($G24&lt;&gt;"",$G24&lt;&gt;"?"),VLOOKUP($G24,tblProcessMultipliers!$A$3:$E$10000,3,FALSE),"")</f>
        <v/>
      </c>
      <c r="I24" s="93">
        <f t="shared" si="1"/>
        <v>0</v>
      </c>
      <c r="J24" s="85"/>
    </row>
    <row r="25" spans="1:10">
      <c r="A25" s="92"/>
      <c r="B25" s="92" t="str">
        <f>IF($A25&lt;&gt;"",VLOOKUP($A25,tblProcesses!$A$3:$J$9999,2,FALSE),"")</f>
        <v/>
      </c>
      <c r="C25" s="92"/>
      <c r="D25" s="92" t="str">
        <f>IF($A25&lt;&gt;"",VLOOKUP($A25,tblProcesses!$A$3:$J$9999,3,FALSE),"")</f>
        <v/>
      </c>
      <c r="E25" s="92" t="str">
        <f>IF($A25&lt;&gt;"",VLOOKUP($A25,tblProcesses!$A$3:$J$9999,4,FALSE),"")</f>
        <v/>
      </c>
      <c r="F25" s="92"/>
      <c r="G25" s="92" t="str">
        <f>IF($A25&lt;&gt;"",IF(ISBLANK(VLOOKUP($A25,tblProcesses!$A$3:$J$9999,8,FALSE)),"","?"),"")</f>
        <v/>
      </c>
      <c r="H25" s="92" t="str">
        <f>IF(AND($G25&lt;&gt;"",$G25&lt;&gt;"?"),VLOOKUP($G25,tblProcessMultipliers!$A$3:$E$10000,3,FALSE),"")</f>
        <v/>
      </c>
      <c r="I25" s="93">
        <f t="shared" si="1"/>
        <v>0</v>
      </c>
      <c r="J25" s="85"/>
    </row>
    <row r="26" spans="1:10">
      <c r="A26" s="92"/>
      <c r="B26" s="92" t="str">
        <f>IF($A26&lt;&gt;"",VLOOKUP($A26,tblProcesses!$A$3:$J$9999,2,FALSE),"")</f>
        <v/>
      </c>
      <c r="C26" s="92"/>
      <c r="D26" s="92" t="str">
        <f>IF($A26&lt;&gt;"",VLOOKUP($A26,tblProcesses!$A$3:$J$9999,3,FALSE),"")</f>
        <v/>
      </c>
      <c r="E26" s="92" t="str">
        <f>IF($A26&lt;&gt;"",VLOOKUP($A26,tblProcesses!$A$3:$J$9999,4,FALSE),"")</f>
        <v/>
      </c>
      <c r="F26" s="92"/>
      <c r="G26" s="92" t="str">
        <f>IF($A26&lt;&gt;"",IF(ISBLANK(VLOOKUP($A26,tblProcesses!$A$3:$J$9999,8,FALSE)),"","?"),"")</f>
        <v/>
      </c>
      <c r="H26" s="92" t="str">
        <f>IF(AND($G26&lt;&gt;"",$G26&lt;&gt;"?"),VLOOKUP($G26,tblProcessMultipliers!$A$3:$E$10000,3,FALSE),"")</f>
        <v/>
      </c>
      <c r="I26" s="93">
        <f t="shared" si="1"/>
        <v>0</v>
      </c>
      <c r="J26" s="85"/>
    </row>
    <row r="27" spans="1:10">
      <c r="A27" s="92"/>
      <c r="B27" s="92" t="str">
        <f>IF($A27&lt;&gt;"",VLOOKUP($A27,tblProcesses!$A$3:$J$9999,2,FALSE),"")</f>
        <v/>
      </c>
      <c r="C27" s="92"/>
      <c r="D27" s="92" t="str">
        <f>IF($A27&lt;&gt;"",VLOOKUP($A27,tblProcesses!$A$3:$J$9999,3,FALSE),"")</f>
        <v/>
      </c>
      <c r="E27" s="92" t="str">
        <f>IF($A27&lt;&gt;"",VLOOKUP($A27,tblProcesses!$A$3:$J$9999,4,FALSE),"")</f>
        <v/>
      </c>
      <c r="F27" s="92"/>
      <c r="G27" s="92" t="str">
        <f>IF($A27&lt;&gt;"",IF(ISBLANK(VLOOKUP($A27,tblProcesses!$A$3:$J$9999,8,FALSE)),"","?"),"")</f>
        <v/>
      </c>
      <c r="H27" s="92" t="str">
        <f>IF(AND($G27&lt;&gt;"",$G27&lt;&gt;"?"),VLOOKUP($G27,tblProcessMultipliers!$A$3:$E$10000,3,FALSE),"")</f>
        <v/>
      </c>
      <c r="I27" s="93">
        <f t="shared" si="1"/>
        <v>0</v>
      </c>
      <c r="J27" s="85"/>
    </row>
    <row r="28" spans="1:10">
      <c r="A28" s="92"/>
      <c r="B28" s="92" t="str">
        <f>IF($A28&lt;&gt;"",VLOOKUP($A28,tblProcesses!$A$3:$J$9999,2,FALSE),"")</f>
        <v/>
      </c>
      <c r="C28" s="92"/>
      <c r="D28" s="92" t="str">
        <f>IF($A28&lt;&gt;"",VLOOKUP($A28,tblProcesses!$A$3:$J$9999,3,FALSE),"")</f>
        <v/>
      </c>
      <c r="E28" s="92" t="str">
        <f>IF($A28&lt;&gt;"",VLOOKUP($A28,tblProcesses!$A$3:$J$9999,4,FALSE),"")</f>
        <v/>
      </c>
      <c r="F28" s="92"/>
      <c r="G28" s="92" t="str">
        <f>IF($A28&lt;&gt;"",IF(ISBLANK(VLOOKUP($A28,tblProcesses!$A$3:$J$9999,8,FALSE)),"","?"),"")</f>
        <v/>
      </c>
      <c r="H28" s="92" t="str">
        <f>IF(AND($G28&lt;&gt;"",$G28&lt;&gt;"?"),VLOOKUP($G28,tblProcessMultipliers!$A$3:$E$10000,3,FALSE),"")</f>
        <v/>
      </c>
      <c r="I28" s="93">
        <f t="shared" si="1"/>
        <v>0</v>
      </c>
      <c r="J28" s="85"/>
    </row>
    <row r="29" spans="1:10">
      <c r="A29" s="92"/>
      <c r="B29" s="92" t="str">
        <f>IF($A29&lt;&gt;"",VLOOKUP($A29,tblProcesses!$A$3:$J$9999,2,FALSE),"")</f>
        <v/>
      </c>
      <c r="C29" s="92"/>
      <c r="D29" s="92" t="str">
        <f>IF($A29&lt;&gt;"",VLOOKUP($A29,tblProcesses!$A$3:$J$9999,3,FALSE),"")</f>
        <v/>
      </c>
      <c r="E29" s="92" t="str">
        <f>IF($A29&lt;&gt;"",VLOOKUP($A29,tblProcesses!$A$3:$J$9999,4,FALSE),"")</f>
        <v/>
      </c>
      <c r="F29" s="92"/>
      <c r="G29" s="92" t="str">
        <f>IF($A29&lt;&gt;"",IF(ISBLANK(VLOOKUP($A29,tblProcesses!$A$3:$J$9999,8,FALSE)),"","?"),"")</f>
        <v/>
      </c>
      <c r="H29" s="92" t="str">
        <f>IF(AND($G29&lt;&gt;"",$G29&lt;&gt;"?"),VLOOKUP($G29,tblProcessMultipliers!$A$3:$E$10000,3,FALSE),"")</f>
        <v/>
      </c>
      <c r="I29" s="93">
        <f t="shared" si="1"/>
        <v>0</v>
      </c>
      <c r="J29" s="85"/>
    </row>
    <row r="30" spans="1:10">
      <c r="A30" s="92"/>
      <c r="B30" s="92" t="str">
        <f>IF($A30&lt;&gt;"",VLOOKUP($A30,tblProcesses!$A$3:$J$9999,2,FALSE),"")</f>
        <v/>
      </c>
      <c r="C30" s="92"/>
      <c r="D30" s="92" t="str">
        <f>IF($A30&lt;&gt;"",VLOOKUP($A30,tblProcesses!$A$3:$J$9999,3,FALSE),"")</f>
        <v/>
      </c>
      <c r="E30" s="92" t="str">
        <f>IF($A30&lt;&gt;"",VLOOKUP($A30,tblProcesses!$A$3:$J$9999,4,FALSE),"")</f>
        <v/>
      </c>
      <c r="F30" s="92"/>
      <c r="G30" s="92" t="str">
        <f>IF($A30&lt;&gt;"",IF(ISBLANK(VLOOKUP($A30,tblProcesses!$A$3:$J$9999,8,FALSE)),"","?"),"")</f>
        <v/>
      </c>
      <c r="H30" s="92" t="str">
        <f>IF(AND($G30&lt;&gt;"",$G30&lt;&gt;"?"),VLOOKUP($G30,tblProcessMultipliers!$A$3:$E$10000,3,FALSE),"")</f>
        <v/>
      </c>
      <c r="I30" s="93">
        <f t="shared" si="1"/>
        <v>0</v>
      </c>
      <c r="J30" s="85"/>
    </row>
    <row r="31" spans="1:10">
      <c r="A31" s="92"/>
      <c r="B31" s="92" t="str">
        <f>IF($A31&lt;&gt;"",VLOOKUP($A31,tblProcesses!$A$3:$J$9999,2,FALSE),"")</f>
        <v/>
      </c>
      <c r="C31" s="92"/>
      <c r="D31" s="92" t="str">
        <f>IF($A31&lt;&gt;"",VLOOKUP($A31,tblProcesses!$A$3:$J$9999,3,FALSE),"")</f>
        <v/>
      </c>
      <c r="E31" s="92" t="str">
        <f>IF($A31&lt;&gt;"",VLOOKUP($A31,tblProcesses!$A$3:$J$9999,4,FALSE),"")</f>
        <v/>
      </c>
      <c r="F31" s="92"/>
      <c r="G31" s="92" t="str">
        <f>IF($A31&lt;&gt;"",IF(ISBLANK(VLOOKUP($A31,tblProcesses!$A$3:$J$9999,8,FALSE)),"","?"),"")</f>
        <v/>
      </c>
      <c r="H31" s="92" t="str">
        <f>IF(AND($G31&lt;&gt;"",$G31&lt;&gt;"?"),VLOOKUP($G31,tblProcessMultipliers!$A$3:$E$10000,3,FALSE),"")</f>
        <v/>
      </c>
      <c r="I31" s="93">
        <f t="shared" si="1"/>
        <v>0</v>
      </c>
      <c r="J31" s="85"/>
    </row>
    <row r="32" spans="1:10">
      <c r="A32" s="92"/>
      <c r="B32" s="92" t="str">
        <f>IF($A32&lt;&gt;"",VLOOKUP($A32,tblProcesses!$A$3:$J$9999,2,FALSE),"")</f>
        <v/>
      </c>
      <c r="C32" s="92"/>
      <c r="D32" s="92" t="str">
        <f>IF($A32&lt;&gt;"",VLOOKUP($A32,tblProcesses!$A$3:$J$9999,3,FALSE),"")</f>
        <v/>
      </c>
      <c r="E32" s="92" t="str">
        <f>IF($A32&lt;&gt;"",VLOOKUP($A32,tblProcesses!$A$3:$J$9999,4,FALSE),"")</f>
        <v/>
      </c>
      <c r="F32" s="92"/>
      <c r="G32" s="92" t="str">
        <f>IF($A32&lt;&gt;"",IF(ISBLANK(VLOOKUP($A32,tblProcesses!$A$3:$J$9999,8,FALSE)),"","?"),"")</f>
        <v/>
      </c>
      <c r="H32" s="92" t="str">
        <f>IF(AND($G32&lt;&gt;"",$G32&lt;&gt;"?"),VLOOKUP($G32,tblProcessMultipliers!$A$3:$E$10000,3,FALSE),"")</f>
        <v/>
      </c>
      <c r="I32" s="93">
        <f t="shared" si="1"/>
        <v>0</v>
      </c>
      <c r="J32" s="85"/>
    </row>
    <row r="33" spans="1:10">
      <c r="A33" s="92"/>
      <c r="B33" s="92" t="str">
        <f>IF($A33&lt;&gt;"",VLOOKUP($A33,tblProcesses!$A$3:$J$9999,2,FALSE),"")</f>
        <v/>
      </c>
      <c r="C33" s="92"/>
      <c r="D33" s="92" t="str">
        <f>IF($A33&lt;&gt;"",VLOOKUP($A33,tblProcesses!$A$3:$J$9999,3,FALSE),"")</f>
        <v/>
      </c>
      <c r="E33" s="92" t="str">
        <f>IF($A33&lt;&gt;"",VLOOKUP($A33,tblProcesses!$A$3:$J$9999,4,FALSE),"")</f>
        <v/>
      </c>
      <c r="F33" s="92"/>
      <c r="G33" s="92" t="str">
        <f>IF($A33&lt;&gt;"",IF(ISBLANK(VLOOKUP($A33,tblProcesses!$A$3:$J$9999,8,FALSE)),"","?"),"")</f>
        <v/>
      </c>
      <c r="H33" s="92" t="str">
        <f>IF(AND($G33&lt;&gt;"",$G33&lt;&gt;"?"),VLOOKUP($G33,tblProcessMultipliers!$A$3:$E$10000,3,FALSE),"")</f>
        <v/>
      </c>
      <c r="I33" s="93">
        <f t="shared" si="1"/>
        <v>0</v>
      </c>
      <c r="J33" s="90"/>
    </row>
    <row r="34" spans="1:10">
      <c r="A34" s="92"/>
      <c r="B34" s="92" t="str">
        <f>IF($A34&lt;&gt;"",VLOOKUP($A34,tblProcesses!$A$3:$J$9999,2,FALSE),"")</f>
        <v/>
      </c>
      <c r="C34" s="92"/>
      <c r="D34" s="92" t="str">
        <f>IF($A34&lt;&gt;"",VLOOKUP($A34,tblProcesses!$A$3:$J$9999,3,FALSE),"")</f>
        <v/>
      </c>
      <c r="E34" s="92" t="str">
        <f>IF($A34&lt;&gt;"",VLOOKUP($A34,tblProcesses!$A$3:$J$9999,4,FALSE),"")</f>
        <v/>
      </c>
      <c r="F34" s="92"/>
      <c r="G34" s="92" t="str">
        <f>IF($A34&lt;&gt;"",IF(ISBLANK(VLOOKUP($A34,tblProcesses!$A$3:$J$9999,8,FALSE)),"","?"),"")</f>
        <v/>
      </c>
      <c r="H34" s="92" t="str">
        <f>IF(AND($G34&lt;&gt;"",$G34&lt;&gt;"?"),VLOOKUP($G34,tblProcessMultipliers!$A$3:$E$10000,3,FALSE),"")</f>
        <v/>
      </c>
      <c r="I34" s="93">
        <f t="shared" si="1"/>
        <v>0</v>
      </c>
      <c r="J34" s="90"/>
    </row>
    <row r="35" spans="1:10">
      <c r="A35" s="90"/>
      <c r="B35" s="90"/>
      <c r="C35" s="90"/>
      <c r="D35" s="90"/>
      <c r="E35" s="90"/>
      <c r="F35" s="90"/>
      <c r="G35" s="90"/>
      <c r="H35" s="95" t="s">
        <v>1306</v>
      </c>
      <c r="I35" s="91">
        <f>SUM(I22:I34)</f>
        <v>0</v>
      </c>
      <c r="J35" s="85"/>
    </row>
    <row r="36" spans="1:10">
      <c r="A36" s="90"/>
      <c r="B36" s="90"/>
      <c r="C36" s="90"/>
      <c r="D36" s="90"/>
      <c r="E36" s="90"/>
      <c r="F36" s="90"/>
      <c r="G36" s="90"/>
      <c r="H36" s="90"/>
      <c r="I36" s="90"/>
      <c r="J36" s="90"/>
    </row>
    <row r="37" spans="1:10">
      <c r="A37" s="90" t="s">
        <v>16</v>
      </c>
      <c r="B37" s="85"/>
      <c r="C37" s="85"/>
      <c r="D37" s="85"/>
      <c r="E37" s="85"/>
      <c r="F37" s="85"/>
      <c r="G37" s="85"/>
      <c r="H37" s="85"/>
      <c r="I37" s="85"/>
      <c r="J37" s="85"/>
    </row>
    <row r="38" spans="1:10">
      <c r="A38" s="91" t="s">
        <v>1281</v>
      </c>
      <c r="B38" s="91" t="s">
        <v>1166</v>
      </c>
      <c r="C38" s="91" t="s">
        <v>1131</v>
      </c>
      <c r="D38" s="91" t="s">
        <v>1307</v>
      </c>
      <c r="E38" s="91" t="s">
        <v>1308</v>
      </c>
      <c r="F38" s="91" t="s">
        <v>1309</v>
      </c>
      <c r="G38" s="91" t="s">
        <v>1310</v>
      </c>
      <c r="H38" s="91" t="s">
        <v>1311</v>
      </c>
      <c r="I38" s="91" t="s">
        <v>1</v>
      </c>
      <c r="J38" s="91" t="s">
        <v>1306</v>
      </c>
    </row>
    <row r="39" spans="1:10">
      <c r="A39" s="92"/>
      <c r="B39" s="92" t="str">
        <f>IF($A39&lt;&gt;"",VLOOKUP($A39,tblFasteners!$A$3:$R$10000,2,FALSE),"")</f>
        <v/>
      </c>
      <c r="C39" s="92"/>
      <c r="D39" s="92" t="str">
        <f>IF($A39&lt;&gt;"",VLOOKUP($A39,tblFasteners!$A$3:$R$10000,11,FALSE),"")</f>
        <v/>
      </c>
      <c r="E39" s="92"/>
      <c r="F39" s="92" t="str">
        <f>IF($A39&lt;&gt;"",IF(VLOOKUP($A39,tblFasteners!$A$3:$R$10000,4,FALSE)&lt;&gt;FALSE,VLOOKUP($A39,tblFasteners!$A$3:$R$10000,4,FALSE),""),"")</f>
        <v/>
      </c>
      <c r="G39" s="92"/>
      <c r="H39" s="92" t="str">
        <f>IF($A39&lt;&gt;"",IF(VLOOKUP($A39,tblFasteners!$A$3:$R$10000,6,FALSE)&lt;&gt;FALSE,VLOOKUP($A39,tblFasteners!$A$3:$R$10000,6,FALSE),""),"")</f>
        <v/>
      </c>
      <c r="I39" s="93"/>
      <c r="J39" s="93">
        <f>IF($A39&lt;&gt;"",D39*I39,0)</f>
        <v>0</v>
      </c>
    </row>
    <row r="40" spans="1:10">
      <c r="A40" s="92"/>
      <c r="B40" s="92" t="str">
        <f>IF($A40&lt;&gt;"",VLOOKUP($A40,tblFasteners!$A$3:$R$10000,2,FALSE),"")</f>
        <v/>
      </c>
      <c r="C40" s="92"/>
      <c r="D40" s="92" t="str">
        <f>IF($A40&lt;&gt;"",VLOOKUP($A40,tblFasteners!$A$3:$R$10000,11,FALSE),"")</f>
        <v/>
      </c>
      <c r="E40" s="92"/>
      <c r="F40" s="92" t="str">
        <f>IF($A40&lt;&gt;"",IF(VLOOKUP($A40,tblFasteners!$A$3:$R$10000,4,FALSE)&lt;&gt;FALSE,VLOOKUP($A40,tblFasteners!$A$3:$R$10000,4,FALSE),""),"")</f>
        <v/>
      </c>
      <c r="G40" s="92"/>
      <c r="H40" s="92" t="str">
        <f>IF($A40&lt;&gt;"",IF(VLOOKUP($A40,tblFasteners!$A$3:$R$10000,6,FALSE)&lt;&gt;FALSE,VLOOKUP($A40,tblFasteners!$A$3:$R$10000,6,FALSE),""),"")</f>
        <v/>
      </c>
      <c r="I40" s="93"/>
      <c r="J40" s="93">
        <f t="shared" ref="J40:J46" si="2">IF($A40&lt;&gt;"",D40*I40,0)</f>
        <v>0</v>
      </c>
    </row>
    <row r="41" spans="1:10">
      <c r="A41" s="92"/>
      <c r="B41" s="92" t="str">
        <f>IF($A41&lt;&gt;"",VLOOKUP($A41,tblFasteners!$A$3:$R$10000,2,FALSE),"")</f>
        <v/>
      </c>
      <c r="C41" s="92"/>
      <c r="D41" s="92" t="str">
        <f>IF($A41&lt;&gt;"",VLOOKUP($A41,tblFasteners!$A$3:$R$10000,11,FALSE),"")</f>
        <v/>
      </c>
      <c r="E41" s="92"/>
      <c r="F41" s="92" t="str">
        <f>IF($A41&lt;&gt;"",IF(VLOOKUP($A41,tblFasteners!$A$3:$R$10000,4,FALSE)&lt;&gt;FALSE,VLOOKUP($A41,tblFasteners!$A$3:$R$10000,4,FALSE),""),"")</f>
        <v/>
      </c>
      <c r="G41" s="92"/>
      <c r="H41" s="92" t="str">
        <f>IF($A41&lt;&gt;"",IF(VLOOKUP($A41,tblFasteners!$A$3:$R$10000,6,FALSE)&lt;&gt;FALSE,VLOOKUP($A41,tblFasteners!$A$3:$R$10000,6,FALSE),""),"")</f>
        <v/>
      </c>
      <c r="I41" s="93"/>
      <c r="J41" s="93">
        <f t="shared" si="2"/>
        <v>0</v>
      </c>
    </row>
    <row r="42" spans="1:10">
      <c r="A42" s="92"/>
      <c r="B42" s="92" t="str">
        <f>IF($A42&lt;&gt;"",VLOOKUP($A42,tblFasteners!$A$3:$R$10000,2,FALSE),"")</f>
        <v/>
      </c>
      <c r="C42" s="92"/>
      <c r="D42" s="92" t="str">
        <f>IF($A42&lt;&gt;"",VLOOKUP($A42,tblFasteners!$A$3:$R$10000,11,FALSE),"")</f>
        <v/>
      </c>
      <c r="E42" s="92"/>
      <c r="F42" s="92" t="str">
        <f>IF($A42&lt;&gt;"",IF(VLOOKUP($A42,tblFasteners!$A$3:$R$10000,4,FALSE)&lt;&gt;FALSE,VLOOKUP($A42,tblFasteners!$A$3:$R$10000,4,FALSE),""),"")</f>
        <v/>
      </c>
      <c r="G42" s="92"/>
      <c r="H42" s="92" t="str">
        <f>IF($A42&lt;&gt;"",IF(VLOOKUP($A42,tblFasteners!$A$3:$R$10000,6,FALSE)&lt;&gt;FALSE,VLOOKUP($A42,tblFasteners!$A$3:$R$10000,6,FALSE),""),"")</f>
        <v/>
      </c>
      <c r="I42" s="93"/>
      <c r="J42" s="93">
        <f t="shared" si="2"/>
        <v>0</v>
      </c>
    </row>
    <row r="43" spans="1:10">
      <c r="A43" s="92"/>
      <c r="B43" s="92" t="str">
        <f>IF($A43&lt;&gt;"",VLOOKUP($A43,tblFasteners!$A$3:$R$10000,2,FALSE),"")</f>
        <v/>
      </c>
      <c r="C43" s="92"/>
      <c r="D43" s="92" t="str">
        <f>IF($A43&lt;&gt;"",VLOOKUP($A43,tblFasteners!$A$3:$R$10000,11,FALSE),"")</f>
        <v/>
      </c>
      <c r="E43" s="92"/>
      <c r="F43" s="92" t="str">
        <f>IF($A43&lt;&gt;"",IF(VLOOKUP($A43,tblFasteners!$A$3:$R$10000,4,FALSE)&lt;&gt;FALSE,VLOOKUP($A43,tblFasteners!$A$3:$R$10000,4,FALSE),""),"")</f>
        <v/>
      </c>
      <c r="G43" s="92"/>
      <c r="H43" s="92" t="str">
        <f>IF($A43&lt;&gt;"",IF(VLOOKUP($A43,tblFasteners!$A$3:$R$10000,6,FALSE)&lt;&gt;FALSE,VLOOKUP($A43,tblFasteners!$A$3:$R$10000,6,FALSE),""),"")</f>
        <v/>
      </c>
      <c r="I43" s="93"/>
      <c r="J43" s="93">
        <f t="shared" si="2"/>
        <v>0</v>
      </c>
    </row>
    <row r="44" spans="1:10">
      <c r="A44" s="92"/>
      <c r="B44" s="92" t="str">
        <f>IF($A44&lt;&gt;"",VLOOKUP($A44,tblFasteners!$A$3:$R$10000,2,FALSE),"")</f>
        <v/>
      </c>
      <c r="C44" s="92"/>
      <c r="D44" s="92" t="str">
        <f>IF($A44&lt;&gt;"",VLOOKUP($A44,tblFasteners!$A$3:$R$10000,11,FALSE),"")</f>
        <v/>
      </c>
      <c r="E44" s="92"/>
      <c r="F44" s="92" t="str">
        <f>IF($A44&lt;&gt;"",IF(VLOOKUP($A44,tblFasteners!$A$3:$R$10000,4,FALSE)&lt;&gt;FALSE,VLOOKUP($A44,tblFasteners!$A$3:$R$10000,4,FALSE),""),"")</f>
        <v/>
      </c>
      <c r="G44" s="92"/>
      <c r="H44" s="92" t="str">
        <f>IF($A44&lt;&gt;"",IF(VLOOKUP($A44,tblFasteners!$A$3:$R$10000,6,FALSE)&lt;&gt;FALSE,VLOOKUP($A44,tblFasteners!$A$3:$R$10000,6,FALSE),""),"")</f>
        <v/>
      </c>
      <c r="I44" s="93"/>
      <c r="J44" s="93">
        <f t="shared" si="2"/>
        <v>0</v>
      </c>
    </row>
    <row r="45" spans="1:10">
      <c r="A45" s="92"/>
      <c r="B45" s="92" t="str">
        <f>IF($A45&lt;&gt;"",VLOOKUP($A45,tblFasteners!$A$3:$R$10000,2,FALSE),"")</f>
        <v/>
      </c>
      <c r="C45" s="92"/>
      <c r="D45" s="92" t="str">
        <f>IF($A45&lt;&gt;"",VLOOKUP($A45,tblFasteners!$A$3:$R$10000,11,FALSE),"")</f>
        <v/>
      </c>
      <c r="E45" s="92"/>
      <c r="F45" s="92" t="str">
        <f>IF($A45&lt;&gt;"",IF(VLOOKUP($A45,tblFasteners!$A$3:$R$10000,4,FALSE)&lt;&gt;FALSE,VLOOKUP($A45,tblFasteners!$A$3:$R$10000,4,FALSE),""),"")</f>
        <v/>
      </c>
      <c r="G45" s="92"/>
      <c r="H45" s="92" t="str">
        <f>IF($A45&lt;&gt;"",IF(VLOOKUP($A45,tblFasteners!$A$3:$R$10000,6,FALSE)&lt;&gt;FALSE,VLOOKUP($A45,tblFasteners!$A$3:$R$10000,6,FALSE),""),"")</f>
        <v/>
      </c>
      <c r="I45" s="93"/>
      <c r="J45" s="93">
        <f t="shared" si="2"/>
        <v>0</v>
      </c>
    </row>
    <row r="46" spans="1:10">
      <c r="A46" s="92"/>
      <c r="B46" s="92" t="str">
        <f>IF($A46&lt;&gt;"",VLOOKUP($A46,tblFasteners!$A$3:$R$10000,2,FALSE),"")</f>
        <v/>
      </c>
      <c r="C46" s="92"/>
      <c r="D46" s="92" t="str">
        <f>IF($A46&lt;&gt;"",VLOOKUP($A46,tblFasteners!$A$3:$R$10000,11,FALSE),"")</f>
        <v/>
      </c>
      <c r="E46" s="92"/>
      <c r="F46" s="92" t="str">
        <f>IF($A46&lt;&gt;"",IF(VLOOKUP($A46,tblFasteners!$A$3:$R$10000,4,FALSE)&lt;&gt;FALSE,VLOOKUP($A46,tblFasteners!$A$3:$R$10000,4,FALSE),""),"")</f>
        <v/>
      </c>
      <c r="G46" s="92"/>
      <c r="H46" s="92" t="str">
        <f>IF($A46&lt;&gt;"",IF(VLOOKUP($A46,tblFasteners!$A$3:$R$10000,6,FALSE)&lt;&gt;FALSE,VLOOKUP($A46,tblFasteners!$A$3:$R$10000,6,FALSE),""),"")</f>
        <v/>
      </c>
      <c r="I46" s="93"/>
      <c r="J46" s="93">
        <f t="shared" si="2"/>
        <v>0</v>
      </c>
    </row>
    <row r="47" spans="1:10">
      <c r="A47" s="90"/>
      <c r="B47" s="90"/>
      <c r="C47" s="90"/>
      <c r="D47" s="90"/>
      <c r="E47" s="90"/>
      <c r="F47" s="90"/>
      <c r="G47" s="90"/>
      <c r="H47" s="90"/>
      <c r="I47" s="95" t="s">
        <v>1306</v>
      </c>
      <c r="J47" s="91">
        <f>SUM(J39:J46)</f>
        <v>0</v>
      </c>
    </row>
    <row r="48" spans="1:10">
      <c r="A48" s="90"/>
      <c r="B48" s="90"/>
      <c r="C48" s="90"/>
      <c r="D48" s="90"/>
      <c r="E48" s="90"/>
      <c r="F48" s="90"/>
      <c r="G48" s="90"/>
      <c r="H48" s="90"/>
      <c r="I48" s="90"/>
      <c r="J48" s="90"/>
    </row>
    <row r="49" spans="1:10">
      <c r="A49" s="90" t="s">
        <v>4</v>
      </c>
      <c r="B49" s="85"/>
      <c r="C49" s="85"/>
      <c r="D49" s="85"/>
      <c r="E49" s="85"/>
      <c r="F49" s="85"/>
      <c r="G49" s="85"/>
      <c r="H49" s="96"/>
      <c r="I49" s="85"/>
      <c r="J49" s="85"/>
    </row>
    <row r="50" spans="1:10">
      <c r="A50" s="91" t="s">
        <v>1281</v>
      </c>
      <c r="B50" s="91" t="s">
        <v>4</v>
      </c>
      <c r="C50" s="91" t="s">
        <v>1131</v>
      </c>
      <c r="D50" s="91" t="s">
        <v>1307</v>
      </c>
      <c r="E50" s="91" t="s">
        <v>167</v>
      </c>
      <c r="F50" s="91" t="s">
        <v>1</v>
      </c>
      <c r="G50" s="97" t="s">
        <v>1314</v>
      </c>
      <c r="H50" s="98" t="s">
        <v>1315</v>
      </c>
      <c r="I50" s="91" t="s">
        <v>1306</v>
      </c>
      <c r="J50" s="85"/>
    </row>
    <row r="51" spans="1:10">
      <c r="A51" s="92"/>
      <c r="B51" s="92" t="str">
        <f>IF($A51&lt;&gt;"",VLOOKUP($A51,tblTooling!$A$3:$F$10000,3,FALSE),"")</f>
        <v/>
      </c>
      <c r="C51" s="92"/>
      <c r="D51" s="92" t="str">
        <f>IF($A51&lt;&gt;"",VLOOKUP($A51,tblTooling!$A$3:$F$10000,4,FALSE),"")</f>
        <v/>
      </c>
      <c r="E51" s="92" t="str">
        <f>IF($A51&lt;&gt;"",VLOOKUP($A51,tblTooling!$A$3:$F$10000,5,FALSE),"")</f>
        <v/>
      </c>
      <c r="F51" s="92"/>
      <c r="G51" s="92">
        <v>3000</v>
      </c>
      <c r="H51" s="92"/>
      <c r="I51" s="93">
        <f>IF($A51&lt;&gt;"",D51*F51/G51,0)</f>
        <v>0</v>
      </c>
      <c r="J51" s="90"/>
    </row>
    <row r="52" spans="1:10">
      <c r="A52" s="92"/>
      <c r="B52" s="92" t="s">
        <v>927</v>
      </c>
      <c r="C52" s="92"/>
      <c r="D52" s="92" t="s">
        <v>927</v>
      </c>
      <c r="E52" s="92" t="s">
        <v>927</v>
      </c>
      <c r="F52" s="93"/>
      <c r="G52" s="92">
        <v>3000</v>
      </c>
      <c r="H52" s="92"/>
      <c r="I52" s="93">
        <f>IF($A52&lt;&gt;"",D52*F52/G52,0)</f>
        <v>0</v>
      </c>
      <c r="J52" s="85"/>
    </row>
    <row r="53" spans="1:10">
      <c r="A53" s="90"/>
      <c r="B53" s="90"/>
      <c r="C53" s="90"/>
      <c r="D53" s="90"/>
      <c r="E53" s="90"/>
      <c r="F53" s="90"/>
      <c r="G53" s="90"/>
      <c r="H53" s="95" t="s">
        <v>1306</v>
      </c>
      <c r="I53" s="91">
        <f>SUM(I51:I52)</f>
        <v>0</v>
      </c>
      <c r="J53" s="85"/>
    </row>
    <row r="54" spans="1:10">
      <c r="A54" s="85"/>
      <c r="B54" s="85"/>
      <c r="C54" s="85"/>
      <c r="D54" s="85"/>
      <c r="E54" s="85"/>
      <c r="F54" s="85"/>
      <c r="G54" s="85"/>
      <c r="H54" s="85"/>
      <c r="I54" s="85"/>
      <c r="J54" s="85"/>
    </row>
    <row r="55" spans="1:10">
      <c r="A55" s="85"/>
      <c r="B55" s="85"/>
      <c r="C55" s="85"/>
      <c r="D55" s="85"/>
      <c r="E55" s="85"/>
      <c r="F55" s="85"/>
      <c r="G55" s="85"/>
      <c r="H55" s="85"/>
      <c r="I55" s="85"/>
      <c r="J55" s="8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Sheet1">
    <tabColor theme="6"/>
    <pageSetUpPr fitToPage="1"/>
  </sheetPr>
  <dimension ref="A1:IV1027"/>
  <sheetViews>
    <sheetView zoomScaleNormal="100" zoomScaleSheetLayoutView="40" workbookViewId="0">
      <pane xSplit="1" ySplit="2" topLeftCell="B3" activePane="bottomRight" state="frozenSplit"/>
      <selection activeCell="B3" sqref="B3"/>
      <selection pane="topRight" activeCell="B3" sqref="B3"/>
      <selection pane="bottomLeft" activeCell="B3" sqref="B3"/>
      <selection pane="bottomRight" activeCell="G20" sqref="G20"/>
    </sheetView>
  </sheetViews>
  <sheetFormatPr defaultRowHeight="15"/>
  <cols>
    <col min="1" max="1" width="12.85546875" style="2" customWidth="1"/>
    <col min="2" max="2" width="46.140625" style="108" customWidth="1"/>
    <col min="3" max="3" width="20.42578125" style="108" customWidth="1"/>
    <col min="4" max="4" width="24.28515625" style="108" customWidth="1"/>
    <col min="5" max="5" width="26" style="108" bestFit="1" customWidth="1"/>
    <col min="6" max="6" width="12.140625" style="108" bestFit="1" customWidth="1"/>
    <col min="7" max="7" width="12.140625" style="108" customWidth="1"/>
    <col min="8" max="9" width="8.85546875" style="108" bestFit="1" customWidth="1"/>
    <col min="10" max="10" width="14.5703125" style="156" customWidth="1"/>
    <col min="11" max="11" width="255.7109375" style="108" bestFit="1" customWidth="1"/>
    <col min="12" max="12" width="49.140625" style="2" customWidth="1"/>
    <col min="13" max="16384" width="9.140625" style="2"/>
  </cols>
  <sheetData>
    <row r="1" spans="1:256" s="3" customFormat="1">
      <c r="A1" s="2" t="s">
        <v>19</v>
      </c>
      <c r="B1"/>
      <c r="C1" s="109" t="s">
        <v>1320</v>
      </c>
      <c r="D1"/>
      <c r="E1"/>
      <c r="F1"/>
      <c r="G1"/>
      <c r="H1"/>
      <c r="I1"/>
      <c r="J1" s="110"/>
      <c r="K1"/>
    </row>
    <row r="2" spans="1:256">
      <c r="A2" s="101" t="s">
        <v>20</v>
      </c>
      <c r="B2" s="111" t="s">
        <v>21</v>
      </c>
      <c r="C2" s="111" t="s">
        <v>22</v>
      </c>
      <c r="D2" s="111" t="s">
        <v>23</v>
      </c>
      <c r="E2" s="111" t="s">
        <v>24</v>
      </c>
      <c r="F2" s="111" t="s">
        <v>25</v>
      </c>
      <c r="G2" s="111" t="s">
        <v>26</v>
      </c>
      <c r="H2" s="111" t="s">
        <v>27</v>
      </c>
      <c r="I2" s="111" t="s">
        <v>28</v>
      </c>
      <c r="J2" s="112" t="s">
        <v>29</v>
      </c>
      <c r="K2" s="111" t="s">
        <v>30</v>
      </c>
    </row>
    <row r="3" spans="1:256" s="10" customFormat="1">
      <c r="A3" s="108">
        <v>1</v>
      </c>
      <c r="B3" s="113" t="s">
        <v>1321</v>
      </c>
      <c r="C3" s="113" t="s">
        <v>31</v>
      </c>
      <c r="D3" s="113" t="s">
        <v>32</v>
      </c>
      <c r="E3" s="114" t="s">
        <v>378</v>
      </c>
      <c r="F3" s="113" t="s">
        <v>37</v>
      </c>
      <c r="G3" s="113"/>
      <c r="H3" s="113">
        <v>3.0000000000000001E-3</v>
      </c>
      <c r="I3" s="113">
        <v>0.05</v>
      </c>
      <c r="J3" s="115">
        <v>39938</v>
      </c>
      <c r="K3" s="116" t="s">
        <v>1322</v>
      </c>
      <c r="L3" s="115">
        <f>H3*J3+I3</f>
        <v>119.864</v>
      </c>
      <c r="M3" s="116">
        <v>39938</v>
      </c>
      <c r="N3" s="108" t="s">
        <v>1322</v>
      </c>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c r="DX3" s="108"/>
      <c r="DY3" s="108"/>
      <c r="DZ3" s="108"/>
      <c r="EA3" s="108"/>
      <c r="EB3" s="108"/>
      <c r="EC3" s="108"/>
      <c r="ED3" s="108"/>
      <c r="EE3" s="108"/>
      <c r="EF3" s="108"/>
      <c r="EG3" s="108"/>
      <c r="EH3" s="108"/>
      <c r="EI3" s="108"/>
      <c r="EJ3" s="108"/>
      <c r="EK3" s="108"/>
      <c r="EL3" s="108"/>
      <c r="EM3" s="108"/>
      <c r="EN3" s="108"/>
      <c r="EO3" s="108"/>
      <c r="EP3" s="108"/>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8"/>
      <c r="GO3" s="108"/>
      <c r="GP3" s="108"/>
      <c r="GQ3" s="108"/>
      <c r="GR3" s="108"/>
      <c r="GS3" s="108"/>
      <c r="GT3" s="108"/>
      <c r="GU3" s="108"/>
      <c r="GV3" s="108"/>
      <c r="GW3" s="108"/>
      <c r="GX3" s="108"/>
      <c r="GY3" s="108"/>
      <c r="GZ3" s="108"/>
      <c r="HA3" s="108"/>
      <c r="HB3" s="108"/>
      <c r="HC3" s="108"/>
      <c r="HD3" s="108"/>
      <c r="HE3" s="108"/>
      <c r="HF3" s="108"/>
      <c r="HG3" s="108"/>
      <c r="HH3" s="108"/>
      <c r="HI3" s="108"/>
      <c r="HJ3" s="108"/>
      <c r="HK3" s="108"/>
      <c r="HL3" s="108"/>
      <c r="HM3" s="108"/>
      <c r="HN3" s="108"/>
      <c r="HO3" s="108"/>
      <c r="HP3" s="108"/>
      <c r="HQ3" s="108"/>
      <c r="HR3" s="108"/>
      <c r="HS3" s="108"/>
      <c r="HT3" s="108"/>
      <c r="HU3" s="108"/>
      <c r="HV3" s="108"/>
      <c r="HW3" s="108"/>
      <c r="HX3" s="108"/>
      <c r="HY3" s="108"/>
      <c r="HZ3" s="108"/>
      <c r="IA3" s="108"/>
      <c r="IB3" s="108"/>
      <c r="IC3" s="108"/>
      <c r="ID3" s="108"/>
      <c r="IE3" s="108"/>
      <c r="IF3" s="108"/>
      <c r="IG3" s="108"/>
      <c r="IH3" s="108"/>
      <c r="II3" s="108"/>
      <c r="IJ3" s="108"/>
      <c r="IK3" s="108"/>
      <c r="IL3" s="108"/>
      <c r="IM3" s="108"/>
      <c r="IN3" s="108"/>
      <c r="IO3" s="108"/>
      <c r="IP3" s="108"/>
      <c r="IQ3" s="108"/>
      <c r="IR3" s="108"/>
      <c r="IS3" s="108"/>
      <c r="IT3" s="108"/>
      <c r="IU3" s="108"/>
      <c r="IV3" s="108"/>
    </row>
    <row r="4" spans="1:256" s="10" customFormat="1" ht="45">
      <c r="A4" s="117">
        <v>2</v>
      </c>
      <c r="B4" s="118" t="s">
        <v>35</v>
      </c>
      <c r="C4" s="118" t="s">
        <v>31</v>
      </c>
      <c r="D4" s="118" t="s">
        <v>32</v>
      </c>
      <c r="E4" s="10" t="s">
        <v>36</v>
      </c>
      <c r="F4" s="118" t="s">
        <v>37</v>
      </c>
      <c r="G4" s="118" t="s">
        <v>37</v>
      </c>
      <c r="H4" s="118">
        <v>0.1</v>
      </c>
      <c r="I4" s="118">
        <v>0.5</v>
      </c>
      <c r="J4" s="119">
        <v>39867</v>
      </c>
      <c r="K4" s="118" t="s">
        <v>38</v>
      </c>
      <c r="L4" s="119" t="e">
        <f>H4*((J4^2*K4))^(I4)</f>
        <v>#VALUE!</v>
      </c>
      <c r="M4" s="118">
        <v>39867</v>
      </c>
      <c r="N4" s="117" t="s">
        <v>38</v>
      </c>
      <c r="O4" s="117"/>
      <c r="P4" s="117"/>
      <c r="Q4" s="117"/>
      <c r="R4" s="117"/>
      <c r="S4" s="117"/>
      <c r="T4" s="117"/>
      <c r="U4" s="117"/>
      <c r="V4" s="117"/>
      <c r="W4" s="117"/>
      <c r="X4" s="117"/>
      <c r="Y4" s="117"/>
      <c r="Z4" s="117"/>
      <c r="AA4" s="117"/>
      <c r="AB4" s="117"/>
      <c r="AC4" s="117"/>
      <c r="AD4" s="117"/>
      <c r="AE4" s="117"/>
      <c r="AF4" s="117"/>
      <c r="AG4" s="117"/>
      <c r="AH4" s="117"/>
      <c r="AI4" s="117"/>
      <c r="AJ4" s="117"/>
      <c r="AK4" s="117"/>
      <c r="AL4" s="117"/>
      <c r="AM4" s="117"/>
      <c r="AN4" s="117"/>
      <c r="AO4" s="117"/>
      <c r="AP4" s="117"/>
      <c r="AQ4" s="117"/>
      <c r="AR4" s="117"/>
      <c r="AS4" s="117"/>
      <c r="AT4" s="117"/>
      <c r="AU4" s="117"/>
      <c r="AV4" s="117"/>
      <c r="AW4" s="117"/>
      <c r="AX4" s="117"/>
      <c r="AY4" s="117"/>
      <c r="AZ4" s="117"/>
      <c r="BA4" s="117"/>
      <c r="BB4" s="117"/>
      <c r="BC4" s="117"/>
      <c r="BD4" s="117"/>
      <c r="BE4" s="117"/>
      <c r="BF4" s="117"/>
      <c r="BG4" s="117"/>
      <c r="BH4" s="117"/>
      <c r="BI4" s="117"/>
      <c r="BJ4" s="117"/>
      <c r="BK4" s="117"/>
      <c r="BL4" s="117"/>
      <c r="BM4" s="117"/>
      <c r="BN4" s="117"/>
      <c r="BO4" s="117"/>
      <c r="BP4" s="117"/>
      <c r="BQ4" s="117"/>
      <c r="BR4" s="117"/>
      <c r="BS4" s="117"/>
      <c r="BT4" s="117"/>
      <c r="BU4" s="117"/>
      <c r="BV4" s="117"/>
      <c r="BW4" s="117"/>
      <c r="BX4" s="117"/>
      <c r="BY4" s="117"/>
      <c r="BZ4" s="117"/>
      <c r="CA4" s="117"/>
      <c r="CB4" s="117"/>
      <c r="CC4" s="117"/>
      <c r="CD4" s="117"/>
      <c r="CE4" s="117"/>
      <c r="CF4" s="117"/>
      <c r="CG4" s="117"/>
      <c r="CH4" s="117"/>
      <c r="CI4" s="117"/>
      <c r="CJ4" s="117"/>
      <c r="CK4" s="117"/>
      <c r="CL4" s="117"/>
      <c r="CM4" s="117"/>
      <c r="CN4" s="117"/>
      <c r="CO4" s="117"/>
      <c r="CP4" s="117"/>
      <c r="CQ4" s="117"/>
      <c r="CR4" s="117"/>
      <c r="CS4" s="117"/>
      <c r="CT4" s="117"/>
      <c r="CU4" s="117"/>
      <c r="CV4" s="117"/>
      <c r="CW4" s="117"/>
      <c r="CX4" s="117"/>
      <c r="CY4" s="117"/>
      <c r="CZ4" s="117"/>
      <c r="DA4" s="117"/>
      <c r="DB4" s="117"/>
      <c r="DC4" s="117"/>
      <c r="DD4" s="117"/>
      <c r="DE4" s="117"/>
      <c r="DF4" s="117"/>
      <c r="DG4" s="117"/>
      <c r="DH4" s="117"/>
      <c r="DI4" s="117"/>
      <c r="DJ4" s="117"/>
      <c r="DK4" s="117"/>
      <c r="DL4" s="117"/>
      <c r="DM4" s="117"/>
      <c r="DN4" s="117"/>
      <c r="DO4" s="117"/>
      <c r="DP4" s="117"/>
      <c r="DQ4" s="117"/>
      <c r="DR4" s="117"/>
      <c r="DS4" s="117"/>
      <c r="DT4" s="117"/>
      <c r="DU4" s="117"/>
      <c r="DV4" s="117"/>
      <c r="DW4" s="117"/>
      <c r="DX4" s="117"/>
      <c r="DY4" s="117"/>
      <c r="DZ4" s="117"/>
      <c r="EA4" s="117"/>
      <c r="EB4" s="117"/>
      <c r="EC4" s="117"/>
      <c r="ED4" s="117"/>
      <c r="EE4" s="117"/>
      <c r="EF4" s="117"/>
      <c r="EG4" s="117"/>
      <c r="EH4" s="117"/>
      <c r="EI4" s="117"/>
      <c r="EJ4" s="117"/>
      <c r="EK4" s="117"/>
      <c r="EL4" s="117"/>
      <c r="EM4" s="117"/>
      <c r="EN4" s="117"/>
      <c r="EO4" s="117"/>
      <c r="EP4" s="117"/>
      <c r="EQ4" s="117"/>
      <c r="ER4" s="117"/>
      <c r="ES4" s="117"/>
      <c r="ET4" s="117"/>
      <c r="EU4" s="117"/>
      <c r="EV4" s="117"/>
      <c r="EW4" s="117"/>
      <c r="EX4" s="117"/>
      <c r="EY4" s="117"/>
      <c r="EZ4" s="117"/>
      <c r="FA4" s="117"/>
      <c r="FB4" s="117"/>
      <c r="FC4" s="117"/>
      <c r="FD4" s="117"/>
      <c r="FE4" s="117"/>
      <c r="FF4" s="117"/>
      <c r="FG4" s="117"/>
      <c r="FH4" s="117"/>
      <c r="FI4" s="117"/>
      <c r="FJ4" s="117"/>
      <c r="FK4" s="117"/>
      <c r="FL4" s="117"/>
      <c r="FM4" s="117"/>
      <c r="FN4" s="117"/>
      <c r="FO4" s="117"/>
      <c r="FP4" s="117"/>
      <c r="FQ4" s="117"/>
      <c r="FR4" s="117"/>
      <c r="FS4" s="117"/>
      <c r="FT4" s="117"/>
      <c r="FU4" s="117"/>
      <c r="FV4" s="117"/>
      <c r="FW4" s="117"/>
      <c r="FX4" s="117"/>
      <c r="FY4" s="117"/>
      <c r="FZ4" s="117"/>
      <c r="GA4" s="117"/>
      <c r="GB4" s="117"/>
      <c r="GC4" s="117"/>
      <c r="GD4" s="117"/>
      <c r="GE4" s="117"/>
      <c r="GF4" s="117"/>
      <c r="GG4" s="117"/>
      <c r="GH4" s="117"/>
      <c r="GI4" s="117"/>
      <c r="GJ4" s="117"/>
      <c r="GK4" s="117"/>
      <c r="GL4" s="117"/>
      <c r="GM4" s="117"/>
      <c r="GN4" s="117"/>
      <c r="GO4" s="117"/>
      <c r="GP4" s="117"/>
      <c r="GQ4" s="117"/>
      <c r="GR4" s="117"/>
      <c r="GS4" s="117"/>
      <c r="GT4" s="117"/>
      <c r="GU4" s="117"/>
      <c r="GV4" s="117"/>
      <c r="GW4" s="117"/>
      <c r="GX4" s="117"/>
      <c r="GY4" s="117"/>
      <c r="GZ4" s="117"/>
      <c r="HA4" s="117"/>
      <c r="HB4" s="117"/>
      <c r="HC4" s="117"/>
      <c r="HD4" s="117"/>
      <c r="HE4" s="117"/>
      <c r="HF4" s="117"/>
      <c r="HG4" s="117"/>
      <c r="HH4" s="117"/>
      <c r="HI4" s="117"/>
      <c r="HJ4" s="117"/>
      <c r="HK4" s="117"/>
      <c r="HL4" s="117"/>
      <c r="HM4" s="117"/>
      <c r="HN4" s="117"/>
      <c r="HO4" s="117"/>
      <c r="HP4" s="117"/>
      <c r="HQ4" s="117"/>
      <c r="HR4" s="117"/>
      <c r="HS4" s="117"/>
      <c r="HT4" s="117"/>
      <c r="HU4" s="117"/>
      <c r="HV4" s="117"/>
      <c r="HW4" s="117"/>
      <c r="HX4" s="117"/>
      <c r="HY4" s="117"/>
      <c r="HZ4" s="117"/>
      <c r="IA4" s="117"/>
      <c r="IB4" s="117"/>
      <c r="IC4" s="117"/>
      <c r="ID4" s="117"/>
      <c r="IE4" s="117"/>
      <c r="IF4" s="117"/>
      <c r="IG4" s="117"/>
      <c r="IH4" s="117"/>
      <c r="II4" s="117"/>
      <c r="IJ4" s="117"/>
      <c r="IK4" s="117"/>
      <c r="IL4" s="117"/>
      <c r="IM4" s="117"/>
      <c r="IN4" s="117"/>
      <c r="IO4" s="117"/>
      <c r="IP4" s="117"/>
      <c r="IQ4" s="117"/>
      <c r="IR4" s="117"/>
      <c r="IS4" s="117"/>
      <c r="IT4" s="117"/>
      <c r="IU4" s="117"/>
      <c r="IV4" s="117"/>
    </row>
    <row r="5" spans="1:256" s="10" customFormat="1" ht="45">
      <c r="A5" s="108">
        <v>3</v>
      </c>
      <c r="B5" s="118" t="s">
        <v>39</v>
      </c>
      <c r="C5" s="118" t="s">
        <v>31</v>
      </c>
      <c r="D5" s="118" t="s">
        <v>32</v>
      </c>
      <c r="E5" s="10" t="s">
        <v>36</v>
      </c>
      <c r="F5" s="118" t="s">
        <v>37</v>
      </c>
      <c r="G5" s="118" t="s">
        <v>37</v>
      </c>
      <c r="H5" s="118">
        <v>0.1</v>
      </c>
      <c r="I5" s="118">
        <v>0.5</v>
      </c>
      <c r="J5" s="119">
        <v>39867</v>
      </c>
      <c r="K5" s="118" t="s">
        <v>38</v>
      </c>
      <c r="L5" s="119" t="e">
        <f>H5*((J5^2*K5))^(I5)</f>
        <v>#VALUE!</v>
      </c>
      <c r="M5" s="118">
        <v>39867</v>
      </c>
      <c r="N5" s="117" t="s">
        <v>38</v>
      </c>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17"/>
      <c r="BO5" s="117"/>
      <c r="BP5" s="117"/>
      <c r="BQ5" s="117"/>
      <c r="BR5" s="117"/>
      <c r="BS5" s="117"/>
      <c r="BT5" s="117"/>
      <c r="BU5" s="117"/>
      <c r="BV5" s="117"/>
      <c r="BW5" s="117"/>
      <c r="BX5" s="117"/>
      <c r="BY5" s="117"/>
      <c r="BZ5" s="117"/>
      <c r="CA5" s="117"/>
      <c r="CB5" s="117"/>
      <c r="CC5" s="117"/>
      <c r="CD5" s="117"/>
      <c r="CE5" s="117"/>
      <c r="CF5" s="117"/>
      <c r="CG5" s="117"/>
      <c r="CH5" s="117"/>
      <c r="CI5" s="117"/>
      <c r="CJ5" s="117"/>
      <c r="CK5" s="117"/>
      <c r="CL5" s="117"/>
      <c r="CM5" s="117"/>
      <c r="CN5" s="117"/>
      <c r="CO5" s="117"/>
      <c r="CP5" s="117"/>
      <c r="CQ5" s="117"/>
      <c r="CR5" s="117"/>
      <c r="CS5" s="117"/>
      <c r="CT5" s="117"/>
      <c r="CU5" s="117"/>
      <c r="CV5" s="117"/>
      <c r="CW5" s="117"/>
      <c r="CX5" s="117"/>
      <c r="CY5" s="117"/>
      <c r="CZ5" s="117"/>
      <c r="DA5" s="117"/>
      <c r="DB5" s="117"/>
      <c r="DC5" s="117"/>
      <c r="DD5" s="117"/>
      <c r="DE5" s="117"/>
      <c r="DF5" s="117"/>
      <c r="DG5" s="117"/>
      <c r="DH5" s="117"/>
      <c r="DI5" s="117"/>
      <c r="DJ5" s="117"/>
      <c r="DK5" s="117"/>
      <c r="DL5" s="117"/>
      <c r="DM5" s="117"/>
      <c r="DN5" s="117"/>
      <c r="DO5" s="117"/>
      <c r="DP5" s="117"/>
      <c r="DQ5" s="117"/>
      <c r="DR5" s="117"/>
      <c r="DS5" s="117"/>
      <c r="DT5" s="117"/>
      <c r="DU5" s="117"/>
      <c r="DV5" s="117"/>
      <c r="DW5" s="117"/>
      <c r="DX5" s="117"/>
      <c r="DY5" s="117"/>
      <c r="DZ5" s="117"/>
      <c r="EA5" s="117"/>
      <c r="EB5" s="117"/>
      <c r="EC5" s="117"/>
      <c r="ED5" s="117"/>
      <c r="EE5" s="117"/>
      <c r="EF5" s="117"/>
      <c r="EG5" s="117"/>
      <c r="EH5" s="117"/>
      <c r="EI5" s="117"/>
      <c r="EJ5" s="117"/>
      <c r="EK5" s="117"/>
      <c r="EL5" s="117"/>
      <c r="EM5" s="117"/>
      <c r="EN5" s="117"/>
      <c r="EO5" s="117"/>
      <c r="EP5" s="117"/>
      <c r="EQ5" s="117"/>
      <c r="ER5" s="117"/>
      <c r="ES5" s="117"/>
      <c r="ET5" s="117"/>
      <c r="EU5" s="117"/>
      <c r="EV5" s="117"/>
      <c r="EW5" s="117"/>
      <c r="EX5" s="117"/>
      <c r="EY5" s="117"/>
      <c r="EZ5" s="117"/>
      <c r="FA5" s="117"/>
      <c r="FB5" s="117"/>
      <c r="FC5" s="117"/>
      <c r="FD5" s="117"/>
      <c r="FE5" s="117"/>
      <c r="FF5" s="117"/>
      <c r="FG5" s="117"/>
      <c r="FH5" s="117"/>
      <c r="FI5" s="117"/>
      <c r="FJ5" s="117"/>
      <c r="FK5" s="117"/>
      <c r="FL5" s="117"/>
      <c r="FM5" s="117"/>
      <c r="FN5" s="117"/>
      <c r="FO5" s="117"/>
      <c r="FP5" s="117"/>
      <c r="FQ5" s="117"/>
      <c r="FR5" s="117"/>
      <c r="FS5" s="117"/>
      <c r="FT5" s="117"/>
      <c r="FU5" s="117"/>
      <c r="FV5" s="117"/>
      <c r="FW5" s="117"/>
      <c r="FX5" s="117"/>
      <c r="FY5" s="117"/>
      <c r="FZ5" s="117"/>
      <c r="GA5" s="117"/>
      <c r="GB5" s="117"/>
      <c r="GC5" s="117"/>
      <c r="GD5" s="117"/>
      <c r="GE5" s="117"/>
      <c r="GF5" s="117"/>
      <c r="GG5" s="117"/>
      <c r="GH5" s="117"/>
      <c r="GI5" s="117"/>
      <c r="GJ5" s="117"/>
      <c r="GK5" s="117"/>
      <c r="GL5" s="117"/>
      <c r="GM5" s="117"/>
      <c r="GN5" s="117"/>
      <c r="GO5" s="117"/>
      <c r="GP5" s="117"/>
      <c r="GQ5" s="117"/>
      <c r="GR5" s="117"/>
      <c r="GS5" s="117"/>
      <c r="GT5" s="117"/>
      <c r="GU5" s="117"/>
      <c r="GV5" s="117"/>
      <c r="GW5" s="117"/>
      <c r="GX5" s="117"/>
      <c r="GY5" s="117"/>
      <c r="GZ5" s="117"/>
      <c r="HA5" s="117"/>
      <c r="HB5" s="117"/>
      <c r="HC5" s="117"/>
      <c r="HD5" s="117"/>
      <c r="HE5" s="117"/>
      <c r="HF5" s="117"/>
      <c r="HG5" s="117"/>
      <c r="HH5" s="117"/>
      <c r="HI5" s="117"/>
      <c r="HJ5" s="117"/>
      <c r="HK5" s="117"/>
      <c r="HL5" s="117"/>
      <c r="HM5" s="117"/>
      <c r="HN5" s="117"/>
      <c r="HO5" s="117"/>
      <c r="HP5" s="117"/>
      <c r="HQ5" s="117"/>
      <c r="HR5" s="117"/>
      <c r="HS5" s="117"/>
      <c r="HT5" s="117"/>
      <c r="HU5" s="117"/>
      <c r="HV5" s="117"/>
      <c r="HW5" s="117"/>
      <c r="HX5" s="117"/>
      <c r="HY5" s="117"/>
      <c r="HZ5" s="117"/>
      <c r="IA5" s="117"/>
      <c r="IB5" s="117"/>
      <c r="IC5" s="117"/>
      <c r="ID5" s="117"/>
      <c r="IE5" s="117"/>
      <c r="IF5" s="117"/>
      <c r="IG5" s="117"/>
      <c r="IH5" s="117"/>
      <c r="II5" s="117"/>
      <c r="IJ5" s="117"/>
      <c r="IK5" s="117"/>
      <c r="IL5" s="117"/>
      <c r="IM5" s="117"/>
      <c r="IN5" s="117"/>
      <c r="IO5" s="117"/>
      <c r="IP5" s="117"/>
      <c r="IQ5" s="117"/>
      <c r="IR5" s="117"/>
      <c r="IS5" s="117"/>
      <c r="IT5" s="117"/>
      <c r="IU5" s="117"/>
      <c r="IV5" s="117"/>
    </row>
    <row r="6" spans="1:256" s="120" customFormat="1" ht="45">
      <c r="A6" s="117">
        <v>4</v>
      </c>
      <c r="B6" s="118" t="s">
        <v>40</v>
      </c>
      <c r="C6" s="118" t="s">
        <v>31</v>
      </c>
      <c r="D6" s="118" t="s">
        <v>32</v>
      </c>
      <c r="E6" s="10" t="s">
        <v>36</v>
      </c>
      <c r="F6" s="118" t="s">
        <v>37</v>
      </c>
      <c r="G6" s="118" t="s">
        <v>37</v>
      </c>
      <c r="H6" s="118">
        <v>0.1</v>
      </c>
      <c r="I6" s="118">
        <v>0.5</v>
      </c>
      <c r="J6" s="119">
        <v>39867</v>
      </c>
      <c r="K6" s="118" t="s">
        <v>38</v>
      </c>
      <c r="L6" s="119" t="e">
        <f>H6*((J6^2*K6))^(I6)</f>
        <v>#VALUE!</v>
      </c>
      <c r="M6" s="118">
        <v>39867</v>
      </c>
      <c r="N6" s="117" t="s">
        <v>38</v>
      </c>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17"/>
      <c r="BS6" s="117"/>
      <c r="BT6" s="117"/>
      <c r="BU6" s="117"/>
      <c r="BV6" s="117"/>
      <c r="BW6" s="117"/>
      <c r="BX6" s="117"/>
      <c r="BY6" s="117"/>
      <c r="BZ6" s="117"/>
      <c r="CA6" s="117"/>
      <c r="CB6" s="117"/>
      <c r="CC6" s="117"/>
      <c r="CD6" s="117"/>
      <c r="CE6" s="117"/>
      <c r="CF6" s="117"/>
      <c r="CG6" s="117"/>
      <c r="CH6" s="117"/>
      <c r="CI6" s="117"/>
      <c r="CJ6" s="117"/>
      <c r="CK6" s="117"/>
      <c r="CL6" s="117"/>
      <c r="CM6" s="117"/>
      <c r="CN6" s="117"/>
      <c r="CO6" s="117"/>
      <c r="CP6" s="117"/>
      <c r="CQ6" s="117"/>
      <c r="CR6" s="117"/>
      <c r="CS6" s="117"/>
      <c r="CT6" s="117"/>
      <c r="CU6" s="117"/>
      <c r="CV6" s="117"/>
      <c r="CW6" s="117"/>
      <c r="CX6" s="117"/>
      <c r="CY6" s="117"/>
      <c r="CZ6" s="117"/>
      <c r="DA6" s="117"/>
      <c r="DB6" s="117"/>
      <c r="DC6" s="117"/>
      <c r="DD6" s="117"/>
      <c r="DE6" s="117"/>
      <c r="DF6" s="117"/>
      <c r="DG6" s="117"/>
      <c r="DH6" s="117"/>
      <c r="DI6" s="117"/>
      <c r="DJ6" s="117"/>
      <c r="DK6" s="117"/>
      <c r="DL6" s="117"/>
      <c r="DM6" s="117"/>
      <c r="DN6" s="117"/>
      <c r="DO6" s="117"/>
      <c r="DP6" s="117"/>
      <c r="DQ6" s="117"/>
      <c r="DR6" s="117"/>
      <c r="DS6" s="117"/>
      <c r="DT6" s="117"/>
      <c r="DU6" s="117"/>
      <c r="DV6" s="117"/>
      <c r="DW6" s="117"/>
      <c r="DX6" s="117"/>
      <c r="DY6" s="117"/>
      <c r="DZ6" s="117"/>
      <c r="EA6" s="117"/>
      <c r="EB6" s="117"/>
      <c r="EC6" s="117"/>
      <c r="ED6" s="117"/>
      <c r="EE6" s="117"/>
      <c r="EF6" s="117"/>
      <c r="EG6" s="117"/>
      <c r="EH6" s="117"/>
      <c r="EI6" s="117"/>
      <c r="EJ6" s="117"/>
      <c r="EK6" s="117"/>
      <c r="EL6" s="117"/>
      <c r="EM6" s="117"/>
      <c r="EN6" s="117"/>
      <c r="EO6" s="117"/>
      <c r="EP6" s="117"/>
      <c r="EQ6" s="117"/>
      <c r="ER6" s="117"/>
      <c r="ES6" s="117"/>
      <c r="ET6" s="117"/>
      <c r="EU6" s="117"/>
      <c r="EV6" s="117"/>
      <c r="EW6" s="117"/>
      <c r="EX6" s="117"/>
      <c r="EY6" s="117"/>
      <c r="EZ6" s="117"/>
      <c r="FA6" s="117"/>
      <c r="FB6" s="117"/>
      <c r="FC6" s="117"/>
      <c r="FD6" s="117"/>
      <c r="FE6" s="117"/>
      <c r="FF6" s="117"/>
      <c r="FG6" s="117"/>
      <c r="FH6" s="117"/>
      <c r="FI6" s="117"/>
      <c r="FJ6" s="117"/>
      <c r="FK6" s="117"/>
      <c r="FL6" s="117"/>
      <c r="FM6" s="117"/>
      <c r="FN6" s="117"/>
      <c r="FO6" s="117"/>
      <c r="FP6" s="117"/>
      <c r="FQ6" s="117"/>
      <c r="FR6" s="117"/>
      <c r="FS6" s="117"/>
      <c r="FT6" s="117"/>
      <c r="FU6" s="117"/>
      <c r="FV6" s="117"/>
      <c r="FW6" s="117"/>
      <c r="FX6" s="117"/>
      <c r="FY6" s="117"/>
      <c r="FZ6" s="117"/>
      <c r="GA6" s="117"/>
      <c r="GB6" s="117"/>
      <c r="GC6" s="117"/>
      <c r="GD6" s="117"/>
      <c r="GE6" s="117"/>
      <c r="GF6" s="117"/>
      <c r="GG6" s="117"/>
      <c r="GH6" s="117"/>
      <c r="GI6" s="117"/>
      <c r="GJ6" s="117"/>
      <c r="GK6" s="117"/>
      <c r="GL6" s="117"/>
      <c r="GM6" s="117"/>
      <c r="GN6" s="117"/>
      <c r="GO6" s="117"/>
      <c r="GP6" s="117"/>
      <c r="GQ6" s="117"/>
      <c r="GR6" s="117"/>
      <c r="GS6" s="117"/>
      <c r="GT6" s="117"/>
      <c r="GU6" s="117"/>
      <c r="GV6" s="117"/>
      <c r="GW6" s="117"/>
      <c r="GX6" s="117"/>
      <c r="GY6" s="117"/>
      <c r="GZ6" s="117"/>
      <c r="HA6" s="117"/>
      <c r="HB6" s="117"/>
      <c r="HC6" s="117"/>
      <c r="HD6" s="117"/>
      <c r="HE6" s="117"/>
      <c r="HF6" s="117"/>
      <c r="HG6" s="117"/>
      <c r="HH6" s="117"/>
      <c r="HI6" s="117"/>
      <c r="HJ6" s="117"/>
      <c r="HK6" s="117"/>
      <c r="HL6" s="117"/>
      <c r="HM6" s="117"/>
      <c r="HN6" s="117"/>
      <c r="HO6" s="117"/>
      <c r="HP6" s="117"/>
      <c r="HQ6" s="117"/>
      <c r="HR6" s="117"/>
      <c r="HS6" s="117"/>
      <c r="HT6" s="117"/>
      <c r="HU6" s="117"/>
      <c r="HV6" s="117"/>
      <c r="HW6" s="117"/>
      <c r="HX6" s="117"/>
      <c r="HY6" s="117"/>
      <c r="HZ6" s="117"/>
      <c r="IA6" s="117"/>
      <c r="IB6" s="117"/>
      <c r="IC6" s="117"/>
      <c r="ID6" s="117"/>
      <c r="IE6" s="117"/>
      <c r="IF6" s="117"/>
      <c r="IG6" s="117"/>
      <c r="IH6" s="117"/>
      <c r="II6" s="117"/>
      <c r="IJ6" s="117"/>
      <c r="IK6" s="117"/>
      <c r="IL6" s="117"/>
      <c r="IM6" s="117"/>
      <c r="IN6" s="117"/>
      <c r="IO6" s="117"/>
      <c r="IP6" s="117"/>
      <c r="IQ6" s="117"/>
      <c r="IR6" s="117"/>
      <c r="IS6" s="117"/>
      <c r="IT6" s="117"/>
      <c r="IU6" s="117"/>
      <c r="IV6" s="117"/>
    </row>
    <row r="7" spans="1:256" s="10" customFormat="1">
      <c r="A7" s="108">
        <v>5</v>
      </c>
      <c r="B7" s="118" t="s">
        <v>41</v>
      </c>
      <c r="C7" s="118" t="s">
        <v>31</v>
      </c>
      <c r="D7" s="118" t="s">
        <v>32</v>
      </c>
      <c r="E7" s="120" t="s">
        <v>42</v>
      </c>
      <c r="F7" s="118" t="s">
        <v>37</v>
      </c>
      <c r="G7" s="118" t="s">
        <v>37</v>
      </c>
      <c r="H7" s="118">
        <v>4.4999999999999997E-3</v>
      </c>
      <c r="I7" s="118">
        <v>3.6</v>
      </c>
      <c r="J7" s="119">
        <v>39867</v>
      </c>
      <c r="K7" s="118" t="s">
        <v>43</v>
      </c>
      <c r="L7" s="119" t="e">
        <f>H7*J7*K7+I7</f>
        <v>#VALUE!</v>
      </c>
      <c r="M7" s="118">
        <v>39867</v>
      </c>
      <c r="N7" s="117" t="s">
        <v>43</v>
      </c>
      <c r="O7" s="117"/>
      <c r="P7" s="117"/>
      <c r="Q7" s="117"/>
      <c r="R7" s="117"/>
      <c r="S7" s="117"/>
      <c r="T7" s="117"/>
      <c r="U7" s="117"/>
      <c r="V7" s="117"/>
      <c r="W7" s="117"/>
      <c r="X7" s="117"/>
      <c r="Y7" s="117"/>
      <c r="Z7" s="117"/>
      <c r="AA7" s="117"/>
      <c r="AB7" s="117"/>
      <c r="AC7" s="117"/>
      <c r="AD7" s="117"/>
      <c r="AE7" s="117"/>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17"/>
      <c r="BS7" s="117"/>
      <c r="BT7" s="117"/>
      <c r="BU7" s="117"/>
      <c r="BV7" s="117"/>
      <c r="BW7" s="117"/>
      <c r="BX7" s="117"/>
      <c r="BY7" s="117"/>
      <c r="BZ7" s="117"/>
      <c r="CA7" s="117"/>
      <c r="CB7" s="117"/>
      <c r="CC7" s="117"/>
      <c r="CD7" s="117"/>
      <c r="CE7" s="117"/>
      <c r="CF7" s="117"/>
      <c r="CG7" s="117"/>
      <c r="CH7" s="117"/>
      <c r="CI7" s="117"/>
      <c r="CJ7" s="117"/>
      <c r="CK7" s="117"/>
      <c r="CL7" s="117"/>
      <c r="CM7" s="117"/>
      <c r="CN7" s="117"/>
      <c r="CO7" s="117"/>
      <c r="CP7" s="117"/>
      <c r="CQ7" s="117"/>
      <c r="CR7" s="117"/>
      <c r="CS7" s="117"/>
      <c r="CT7" s="117"/>
      <c r="CU7" s="117"/>
      <c r="CV7" s="117"/>
      <c r="CW7" s="117"/>
      <c r="CX7" s="117"/>
      <c r="CY7" s="117"/>
      <c r="CZ7" s="117"/>
      <c r="DA7" s="117"/>
      <c r="DB7" s="117"/>
      <c r="DC7" s="117"/>
      <c r="DD7" s="117"/>
      <c r="DE7" s="117"/>
      <c r="DF7" s="117"/>
      <c r="DG7" s="117"/>
      <c r="DH7" s="117"/>
      <c r="DI7" s="117"/>
      <c r="DJ7" s="117"/>
      <c r="DK7" s="117"/>
      <c r="DL7" s="117"/>
      <c r="DM7" s="117"/>
      <c r="DN7" s="117"/>
      <c r="DO7" s="117"/>
      <c r="DP7" s="117"/>
      <c r="DQ7" s="117"/>
      <c r="DR7" s="117"/>
      <c r="DS7" s="117"/>
      <c r="DT7" s="117"/>
      <c r="DU7" s="117"/>
      <c r="DV7" s="117"/>
      <c r="DW7" s="117"/>
      <c r="DX7" s="117"/>
      <c r="DY7" s="117"/>
      <c r="DZ7" s="117"/>
      <c r="EA7" s="117"/>
      <c r="EB7" s="117"/>
      <c r="EC7" s="117"/>
      <c r="ED7" s="117"/>
      <c r="EE7" s="117"/>
      <c r="EF7" s="117"/>
      <c r="EG7" s="117"/>
      <c r="EH7" s="117"/>
      <c r="EI7" s="117"/>
      <c r="EJ7" s="117"/>
      <c r="EK7" s="117"/>
      <c r="EL7" s="117"/>
      <c r="EM7" s="117"/>
      <c r="EN7" s="117"/>
      <c r="EO7" s="117"/>
      <c r="EP7" s="117"/>
      <c r="EQ7" s="117"/>
      <c r="ER7" s="117"/>
      <c r="ES7" s="117"/>
      <c r="ET7" s="117"/>
      <c r="EU7" s="117"/>
      <c r="EV7" s="117"/>
      <c r="EW7" s="117"/>
      <c r="EX7" s="117"/>
      <c r="EY7" s="117"/>
      <c r="EZ7" s="117"/>
      <c r="FA7" s="117"/>
      <c r="FB7" s="117"/>
      <c r="FC7" s="117"/>
      <c r="FD7" s="117"/>
      <c r="FE7" s="117"/>
      <c r="FF7" s="117"/>
      <c r="FG7" s="117"/>
      <c r="FH7" s="117"/>
      <c r="FI7" s="117"/>
      <c r="FJ7" s="117"/>
      <c r="FK7" s="117"/>
      <c r="FL7" s="117"/>
      <c r="FM7" s="117"/>
      <c r="FN7" s="117"/>
      <c r="FO7" s="117"/>
      <c r="FP7" s="117"/>
      <c r="FQ7" s="117"/>
      <c r="FR7" s="117"/>
      <c r="FS7" s="117"/>
      <c r="FT7" s="117"/>
      <c r="FU7" s="117"/>
      <c r="FV7" s="117"/>
      <c r="FW7" s="117"/>
      <c r="FX7" s="117"/>
      <c r="FY7" s="117"/>
      <c r="FZ7" s="117"/>
      <c r="GA7" s="117"/>
      <c r="GB7" s="117"/>
      <c r="GC7" s="117"/>
      <c r="GD7" s="117"/>
      <c r="GE7" s="117"/>
      <c r="GF7" s="117"/>
      <c r="GG7" s="117"/>
      <c r="GH7" s="117"/>
      <c r="GI7" s="117"/>
      <c r="GJ7" s="117"/>
      <c r="GK7" s="117"/>
      <c r="GL7" s="117"/>
      <c r="GM7" s="117"/>
      <c r="GN7" s="117"/>
      <c r="GO7" s="117"/>
      <c r="GP7" s="117"/>
      <c r="GQ7" s="117"/>
      <c r="GR7" s="117"/>
      <c r="GS7" s="117"/>
      <c r="GT7" s="117"/>
      <c r="GU7" s="117"/>
      <c r="GV7" s="117"/>
      <c r="GW7" s="117"/>
      <c r="GX7" s="117"/>
      <c r="GY7" s="117"/>
      <c r="GZ7" s="117"/>
      <c r="HA7" s="117"/>
      <c r="HB7" s="117"/>
      <c r="HC7" s="117"/>
      <c r="HD7" s="117"/>
      <c r="HE7" s="117"/>
      <c r="HF7" s="117"/>
      <c r="HG7" s="117"/>
      <c r="HH7" s="117"/>
      <c r="HI7" s="117"/>
      <c r="HJ7" s="117"/>
      <c r="HK7" s="117"/>
      <c r="HL7" s="117"/>
      <c r="HM7" s="117"/>
      <c r="HN7" s="117"/>
      <c r="HO7" s="117"/>
      <c r="HP7" s="117"/>
      <c r="HQ7" s="117"/>
      <c r="HR7" s="117"/>
      <c r="HS7" s="117"/>
      <c r="HT7" s="117"/>
      <c r="HU7" s="117"/>
      <c r="HV7" s="117"/>
      <c r="HW7" s="117"/>
      <c r="HX7" s="117"/>
      <c r="HY7" s="117"/>
      <c r="HZ7" s="117"/>
      <c r="IA7" s="117"/>
      <c r="IB7" s="117"/>
      <c r="IC7" s="117"/>
      <c r="ID7" s="117"/>
      <c r="IE7" s="117"/>
      <c r="IF7" s="117"/>
      <c r="IG7" s="117"/>
      <c r="IH7" s="117"/>
      <c r="II7" s="117"/>
      <c r="IJ7" s="117"/>
      <c r="IK7" s="117"/>
      <c r="IL7" s="117"/>
      <c r="IM7" s="117"/>
      <c r="IN7" s="117"/>
      <c r="IO7" s="117"/>
      <c r="IP7" s="117"/>
      <c r="IQ7" s="117"/>
      <c r="IR7" s="117"/>
      <c r="IS7" s="117"/>
      <c r="IT7" s="117"/>
      <c r="IU7" s="117"/>
      <c r="IV7" s="117"/>
    </row>
    <row r="8" spans="1:256" s="7" customFormat="1" ht="45">
      <c r="A8" s="117">
        <v>6</v>
      </c>
      <c r="B8" s="118" t="s">
        <v>44</v>
      </c>
      <c r="C8" s="118" t="s">
        <v>31</v>
      </c>
      <c r="D8" s="118" t="s">
        <v>32</v>
      </c>
      <c r="E8" s="10" t="s">
        <v>36</v>
      </c>
      <c r="F8" s="118" t="s">
        <v>37</v>
      </c>
      <c r="G8" s="118" t="s">
        <v>37</v>
      </c>
      <c r="H8" s="118">
        <v>0.1</v>
      </c>
      <c r="I8" s="118">
        <v>0.5</v>
      </c>
      <c r="J8" s="119">
        <v>39867</v>
      </c>
      <c r="K8" s="118" t="s">
        <v>38</v>
      </c>
      <c r="L8" s="119" t="e">
        <f>H8*((J8^2*K8))^(I8)</f>
        <v>#VALUE!</v>
      </c>
      <c r="M8" s="118">
        <v>39867</v>
      </c>
      <c r="N8" s="117" t="s">
        <v>38</v>
      </c>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7"/>
      <c r="AP8" s="117"/>
      <c r="AQ8" s="117"/>
      <c r="AR8" s="117"/>
      <c r="AS8" s="117"/>
      <c r="AT8" s="117"/>
      <c r="AU8" s="117"/>
      <c r="AV8" s="117"/>
      <c r="AW8" s="117"/>
      <c r="AX8" s="117"/>
      <c r="AY8" s="117"/>
      <c r="AZ8" s="117"/>
      <c r="BA8" s="117"/>
      <c r="BB8" s="117"/>
      <c r="BC8" s="117"/>
      <c r="BD8" s="117"/>
      <c r="BE8" s="117"/>
      <c r="BF8" s="117"/>
      <c r="BG8" s="117"/>
      <c r="BH8" s="117"/>
      <c r="BI8" s="117"/>
      <c r="BJ8" s="117"/>
      <c r="BK8" s="117"/>
      <c r="BL8" s="117"/>
      <c r="BM8" s="117"/>
      <c r="BN8" s="117"/>
      <c r="BO8" s="117"/>
      <c r="BP8" s="117"/>
      <c r="BQ8" s="117"/>
      <c r="BR8" s="117"/>
      <c r="BS8" s="117"/>
      <c r="BT8" s="117"/>
      <c r="BU8" s="117"/>
      <c r="BV8" s="117"/>
      <c r="BW8" s="117"/>
      <c r="BX8" s="117"/>
      <c r="BY8" s="117"/>
      <c r="BZ8" s="117"/>
      <c r="CA8" s="117"/>
      <c r="CB8" s="117"/>
      <c r="CC8" s="117"/>
      <c r="CD8" s="117"/>
      <c r="CE8" s="117"/>
      <c r="CF8" s="117"/>
      <c r="CG8" s="117"/>
      <c r="CH8" s="117"/>
      <c r="CI8" s="117"/>
      <c r="CJ8" s="117"/>
      <c r="CK8" s="117"/>
      <c r="CL8" s="117"/>
      <c r="CM8" s="117"/>
      <c r="CN8" s="117"/>
      <c r="CO8" s="117"/>
      <c r="CP8" s="117"/>
      <c r="CQ8" s="117"/>
      <c r="CR8" s="117"/>
      <c r="CS8" s="117"/>
      <c r="CT8" s="117"/>
      <c r="CU8" s="117"/>
      <c r="CV8" s="117"/>
      <c r="CW8" s="117"/>
      <c r="CX8" s="117"/>
      <c r="CY8" s="117"/>
      <c r="CZ8" s="117"/>
      <c r="DA8" s="117"/>
      <c r="DB8" s="117"/>
      <c r="DC8" s="117"/>
      <c r="DD8" s="117"/>
      <c r="DE8" s="117"/>
      <c r="DF8" s="117"/>
      <c r="DG8" s="117"/>
      <c r="DH8" s="117"/>
      <c r="DI8" s="117"/>
      <c r="DJ8" s="117"/>
      <c r="DK8" s="117"/>
      <c r="DL8" s="117"/>
      <c r="DM8" s="117"/>
      <c r="DN8" s="117"/>
      <c r="DO8" s="117"/>
      <c r="DP8" s="117"/>
      <c r="DQ8" s="117"/>
      <c r="DR8" s="117"/>
      <c r="DS8" s="117"/>
      <c r="DT8" s="117"/>
      <c r="DU8" s="117"/>
      <c r="DV8" s="117"/>
      <c r="DW8" s="117"/>
      <c r="DX8" s="117"/>
      <c r="DY8" s="117"/>
      <c r="DZ8" s="117"/>
      <c r="EA8" s="117"/>
      <c r="EB8" s="117"/>
      <c r="EC8" s="117"/>
      <c r="ED8" s="117"/>
      <c r="EE8" s="117"/>
      <c r="EF8" s="117"/>
      <c r="EG8" s="117"/>
      <c r="EH8" s="117"/>
      <c r="EI8" s="117"/>
      <c r="EJ8" s="117"/>
      <c r="EK8" s="117"/>
      <c r="EL8" s="117"/>
      <c r="EM8" s="117"/>
      <c r="EN8" s="117"/>
      <c r="EO8" s="117"/>
      <c r="EP8" s="117"/>
      <c r="EQ8" s="117"/>
      <c r="ER8" s="117"/>
      <c r="ES8" s="117"/>
      <c r="ET8" s="117"/>
      <c r="EU8" s="117"/>
      <c r="EV8" s="117"/>
      <c r="EW8" s="117"/>
      <c r="EX8" s="117"/>
      <c r="EY8" s="117"/>
      <c r="EZ8" s="117"/>
      <c r="FA8" s="117"/>
      <c r="FB8" s="117"/>
      <c r="FC8" s="117"/>
      <c r="FD8" s="117"/>
      <c r="FE8" s="117"/>
      <c r="FF8" s="117"/>
      <c r="FG8" s="117"/>
      <c r="FH8" s="117"/>
      <c r="FI8" s="117"/>
      <c r="FJ8" s="117"/>
      <c r="FK8" s="117"/>
      <c r="FL8" s="117"/>
      <c r="FM8" s="117"/>
      <c r="FN8" s="117"/>
      <c r="FO8" s="117"/>
      <c r="FP8" s="117"/>
      <c r="FQ8" s="117"/>
      <c r="FR8" s="117"/>
      <c r="FS8" s="117"/>
      <c r="FT8" s="117"/>
      <c r="FU8" s="117"/>
      <c r="FV8" s="117"/>
      <c r="FW8" s="117"/>
      <c r="FX8" s="117"/>
      <c r="FY8" s="117"/>
      <c r="FZ8" s="117"/>
      <c r="GA8" s="117"/>
      <c r="GB8" s="117"/>
      <c r="GC8" s="117"/>
      <c r="GD8" s="117"/>
      <c r="GE8" s="117"/>
      <c r="GF8" s="117"/>
      <c r="GG8" s="117"/>
      <c r="GH8" s="117"/>
      <c r="GI8" s="117"/>
      <c r="GJ8" s="117"/>
      <c r="GK8" s="117"/>
      <c r="GL8" s="117"/>
      <c r="GM8" s="117"/>
      <c r="GN8" s="117"/>
      <c r="GO8" s="117"/>
      <c r="GP8" s="117"/>
      <c r="GQ8" s="117"/>
      <c r="GR8" s="117"/>
      <c r="GS8" s="117"/>
      <c r="GT8" s="117"/>
      <c r="GU8" s="117"/>
      <c r="GV8" s="117"/>
      <c r="GW8" s="117"/>
      <c r="GX8" s="117"/>
      <c r="GY8" s="117"/>
      <c r="GZ8" s="117"/>
      <c r="HA8" s="117"/>
      <c r="HB8" s="117"/>
      <c r="HC8" s="117"/>
      <c r="HD8" s="117"/>
      <c r="HE8" s="117"/>
      <c r="HF8" s="117"/>
      <c r="HG8" s="117"/>
      <c r="HH8" s="117"/>
      <c r="HI8" s="117"/>
      <c r="HJ8" s="117"/>
      <c r="HK8" s="117"/>
      <c r="HL8" s="117"/>
      <c r="HM8" s="117"/>
      <c r="HN8" s="117"/>
      <c r="HO8" s="117"/>
      <c r="HP8" s="117"/>
      <c r="HQ8" s="117"/>
      <c r="HR8" s="117"/>
      <c r="HS8" s="117"/>
      <c r="HT8" s="117"/>
      <c r="HU8" s="117"/>
      <c r="HV8" s="117"/>
      <c r="HW8" s="117"/>
      <c r="HX8" s="117"/>
      <c r="HY8" s="117"/>
      <c r="HZ8" s="117"/>
      <c r="IA8" s="117"/>
      <c r="IB8" s="117"/>
      <c r="IC8" s="117"/>
      <c r="ID8" s="117"/>
      <c r="IE8" s="117"/>
      <c r="IF8" s="117"/>
      <c r="IG8" s="117"/>
      <c r="IH8" s="117"/>
      <c r="II8" s="117"/>
      <c r="IJ8" s="117"/>
      <c r="IK8" s="117"/>
      <c r="IL8" s="117"/>
      <c r="IM8" s="117"/>
      <c r="IN8" s="117"/>
      <c r="IO8" s="117"/>
      <c r="IP8" s="117"/>
      <c r="IQ8" s="117"/>
      <c r="IR8" s="117"/>
      <c r="IS8" s="117"/>
      <c r="IT8" s="117"/>
      <c r="IU8" s="117"/>
      <c r="IV8" s="117"/>
    </row>
    <row r="9" spans="1:256" s="7" customFormat="1" ht="45">
      <c r="A9" s="108">
        <v>7</v>
      </c>
      <c r="B9" s="118" t="s">
        <v>45</v>
      </c>
      <c r="C9" s="118" t="s">
        <v>31</v>
      </c>
      <c r="D9" s="118" t="s">
        <v>32</v>
      </c>
      <c r="E9" s="10" t="s">
        <v>36</v>
      </c>
      <c r="F9" s="118" t="s">
        <v>37</v>
      </c>
      <c r="G9" s="118" t="s">
        <v>37</v>
      </c>
      <c r="H9" s="118">
        <v>0.1</v>
      </c>
      <c r="I9" s="118">
        <v>0.5</v>
      </c>
      <c r="J9" s="119">
        <v>39867</v>
      </c>
      <c r="K9" s="118" t="s">
        <v>38</v>
      </c>
    </row>
    <row r="10" spans="1:256" s="7" customFormat="1" ht="45">
      <c r="A10" s="117">
        <v>8</v>
      </c>
      <c r="B10" s="118" t="s">
        <v>46</v>
      </c>
      <c r="C10" s="118" t="s">
        <v>31</v>
      </c>
      <c r="D10" s="118" t="s">
        <v>32</v>
      </c>
      <c r="E10" s="10" t="s">
        <v>36</v>
      </c>
      <c r="F10" s="118" t="s">
        <v>37</v>
      </c>
      <c r="G10" s="118" t="s">
        <v>37</v>
      </c>
      <c r="H10" s="118">
        <v>0.1</v>
      </c>
      <c r="I10" s="118">
        <v>0.5</v>
      </c>
      <c r="J10" s="119">
        <v>39867</v>
      </c>
      <c r="K10" s="118" t="s">
        <v>38</v>
      </c>
    </row>
    <row r="11" spans="1:256" s="7" customFormat="1" ht="30">
      <c r="A11" s="108">
        <v>9</v>
      </c>
      <c r="B11" s="118" t="s">
        <v>47</v>
      </c>
      <c r="C11" s="118" t="s">
        <v>31</v>
      </c>
      <c r="D11" s="118" t="s">
        <v>32</v>
      </c>
      <c r="E11" s="10" t="s">
        <v>48</v>
      </c>
      <c r="F11" s="118" t="s">
        <v>37</v>
      </c>
      <c r="G11" s="118" t="s">
        <v>37</v>
      </c>
      <c r="H11" s="121">
        <v>1E-4</v>
      </c>
      <c r="I11" s="118">
        <v>7.38</v>
      </c>
      <c r="J11" s="119">
        <v>39882</v>
      </c>
      <c r="K11" s="118" t="s">
        <v>49</v>
      </c>
    </row>
    <row r="12" spans="1:256" s="7" customFormat="1" ht="30">
      <c r="A12" s="117">
        <v>10</v>
      </c>
      <c r="B12" s="118" t="s">
        <v>50</v>
      </c>
      <c r="C12" s="118" t="s">
        <v>31</v>
      </c>
      <c r="D12" s="118" t="s">
        <v>32</v>
      </c>
      <c r="E12" s="10" t="s">
        <v>48</v>
      </c>
      <c r="F12" s="118" t="s">
        <v>37</v>
      </c>
      <c r="G12" s="118" t="s">
        <v>37</v>
      </c>
      <c r="H12" s="121">
        <v>1.2E-4</v>
      </c>
      <c r="I12" s="118">
        <v>13.1</v>
      </c>
      <c r="J12" s="119">
        <v>39882</v>
      </c>
      <c r="K12" s="118" t="s">
        <v>51</v>
      </c>
    </row>
    <row r="13" spans="1:256" s="7" customFormat="1">
      <c r="A13" s="108">
        <v>11</v>
      </c>
      <c r="B13" s="118" t="s">
        <v>52</v>
      </c>
      <c r="C13" s="118" t="s">
        <v>31</v>
      </c>
      <c r="D13" s="118" t="s">
        <v>32</v>
      </c>
      <c r="E13" s="120" t="s">
        <v>42</v>
      </c>
      <c r="F13" s="118" t="s">
        <v>37</v>
      </c>
      <c r="G13" s="118" t="s">
        <v>37</v>
      </c>
      <c r="H13" s="118">
        <v>4.4999999999999997E-3</v>
      </c>
      <c r="I13" s="118">
        <v>3.6</v>
      </c>
      <c r="J13" s="119">
        <v>39867</v>
      </c>
      <c r="K13" s="118" t="s">
        <v>53</v>
      </c>
    </row>
    <row r="14" spans="1:256" s="7" customFormat="1">
      <c r="A14" s="117">
        <v>12</v>
      </c>
      <c r="B14" s="118" t="s">
        <v>54</v>
      </c>
      <c r="C14" s="118" t="s">
        <v>31</v>
      </c>
      <c r="D14" s="118" t="s">
        <v>32</v>
      </c>
      <c r="E14" s="120" t="s">
        <v>55</v>
      </c>
      <c r="F14" s="118" t="s">
        <v>37</v>
      </c>
      <c r="G14" s="118"/>
      <c r="H14" s="122">
        <v>0.03</v>
      </c>
      <c r="I14" s="122">
        <v>5</v>
      </c>
      <c r="J14" s="119"/>
      <c r="K14" s="118" t="s">
        <v>56</v>
      </c>
    </row>
    <row r="15" spans="1:256" s="7" customFormat="1">
      <c r="A15" s="108">
        <v>13</v>
      </c>
      <c r="B15" s="118" t="s">
        <v>57</v>
      </c>
      <c r="C15" s="27" t="s">
        <v>31</v>
      </c>
      <c r="D15" s="118" t="s">
        <v>32</v>
      </c>
      <c r="E15" s="10" t="s">
        <v>42</v>
      </c>
      <c r="F15" s="118" t="s">
        <v>37</v>
      </c>
      <c r="G15" s="118" t="s">
        <v>37</v>
      </c>
      <c r="H15" s="118">
        <v>4.4999999999999997E-3</v>
      </c>
      <c r="I15" s="118">
        <v>10.45</v>
      </c>
      <c r="J15" s="119">
        <v>39867</v>
      </c>
      <c r="K15" s="118" t="s">
        <v>58</v>
      </c>
    </row>
    <row r="16" spans="1:256" s="7" customFormat="1">
      <c r="A16" s="117">
        <v>14</v>
      </c>
      <c r="B16" s="118" t="s">
        <v>59</v>
      </c>
      <c r="C16" s="27" t="s">
        <v>31</v>
      </c>
      <c r="D16" s="118" t="s">
        <v>32</v>
      </c>
      <c r="E16" s="10" t="s">
        <v>42</v>
      </c>
      <c r="F16" s="118" t="s">
        <v>37</v>
      </c>
      <c r="G16" s="118" t="s">
        <v>37</v>
      </c>
      <c r="H16" s="118">
        <v>4.4999999999999997E-3</v>
      </c>
      <c r="I16" s="118">
        <v>10.45</v>
      </c>
      <c r="J16" s="119">
        <v>39867</v>
      </c>
      <c r="K16" s="118" t="s">
        <v>58</v>
      </c>
    </row>
    <row r="17" spans="1:11" s="7" customFormat="1">
      <c r="A17" s="108">
        <v>15</v>
      </c>
      <c r="B17" s="118" t="s">
        <v>60</v>
      </c>
      <c r="C17" s="118" t="s">
        <v>31</v>
      </c>
      <c r="D17" s="118" t="s">
        <v>32</v>
      </c>
      <c r="E17" s="10" t="s">
        <v>42</v>
      </c>
      <c r="F17" s="118" t="s">
        <v>37</v>
      </c>
      <c r="G17" s="118" t="s">
        <v>37</v>
      </c>
      <c r="H17" s="118">
        <v>0.02</v>
      </c>
      <c r="I17" s="118">
        <v>0.15</v>
      </c>
      <c r="J17" s="119">
        <v>39867</v>
      </c>
      <c r="K17" s="118" t="s">
        <v>61</v>
      </c>
    </row>
    <row r="18" spans="1:11" s="7" customFormat="1" ht="30">
      <c r="A18" s="117">
        <v>16</v>
      </c>
      <c r="B18" s="118" t="s">
        <v>62</v>
      </c>
      <c r="C18" s="118" t="s">
        <v>31</v>
      </c>
      <c r="D18" s="118" t="s">
        <v>32</v>
      </c>
      <c r="E18" s="10" t="s">
        <v>48</v>
      </c>
      <c r="F18" s="118" t="s">
        <v>37</v>
      </c>
      <c r="G18" s="118" t="s">
        <v>37</v>
      </c>
      <c r="H18" s="118">
        <v>2.9999999999999997E-4</v>
      </c>
      <c r="I18" s="118">
        <v>0.13</v>
      </c>
      <c r="J18" s="119">
        <v>39867</v>
      </c>
      <c r="K18" s="118" t="s">
        <v>63</v>
      </c>
    </row>
    <row r="19" spans="1:11" s="7" customFormat="1">
      <c r="A19" s="108">
        <v>17</v>
      </c>
      <c r="B19" s="118" t="s">
        <v>64</v>
      </c>
      <c r="C19" s="118" t="s">
        <v>65</v>
      </c>
      <c r="D19" s="118" t="s">
        <v>32</v>
      </c>
      <c r="E19" s="10">
        <v>0</v>
      </c>
      <c r="F19" s="118" t="s">
        <v>34</v>
      </c>
      <c r="G19" s="118"/>
      <c r="H19" s="118"/>
      <c r="I19" s="118"/>
      <c r="J19" s="119"/>
      <c r="K19" s="118" t="s">
        <v>66</v>
      </c>
    </row>
    <row r="20" spans="1:11" s="7" customFormat="1">
      <c r="A20" s="117">
        <v>18</v>
      </c>
      <c r="B20" s="118" t="s">
        <v>67</v>
      </c>
      <c r="C20" s="118" t="s">
        <v>31</v>
      </c>
      <c r="D20" s="118" t="s">
        <v>32</v>
      </c>
      <c r="E20" s="120" t="s">
        <v>55</v>
      </c>
      <c r="F20" s="118" t="s">
        <v>37</v>
      </c>
      <c r="G20" s="118"/>
      <c r="H20" s="122">
        <v>0.05</v>
      </c>
      <c r="I20" s="122">
        <v>3.8</v>
      </c>
      <c r="J20" s="119"/>
      <c r="K20" s="118" t="s">
        <v>68</v>
      </c>
    </row>
    <row r="21" spans="1:11" s="7" customFormat="1">
      <c r="A21" s="108">
        <v>19</v>
      </c>
      <c r="B21" s="118" t="s">
        <v>69</v>
      </c>
      <c r="C21" s="118" t="s">
        <v>31</v>
      </c>
      <c r="D21" s="118" t="s">
        <v>32</v>
      </c>
      <c r="E21" s="120" t="s">
        <v>55</v>
      </c>
      <c r="F21" s="118" t="s">
        <v>37</v>
      </c>
      <c r="G21" s="118"/>
      <c r="H21" s="122">
        <v>0.02</v>
      </c>
      <c r="I21" s="122">
        <v>1.216</v>
      </c>
      <c r="J21" s="119"/>
      <c r="K21" s="118" t="s">
        <v>68</v>
      </c>
    </row>
    <row r="22" spans="1:11" s="7" customFormat="1">
      <c r="A22" s="117">
        <v>20</v>
      </c>
      <c r="B22" s="118" t="s">
        <v>70</v>
      </c>
      <c r="C22" s="118" t="s">
        <v>31</v>
      </c>
      <c r="D22" s="118" t="s">
        <v>32</v>
      </c>
      <c r="E22" s="120" t="s">
        <v>55</v>
      </c>
      <c r="F22" s="118" t="s">
        <v>37</v>
      </c>
      <c r="G22" s="118"/>
      <c r="H22" s="122">
        <v>0.05</v>
      </c>
      <c r="I22" s="122">
        <v>5</v>
      </c>
      <c r="J22" s="119"/>
      <c r="K22" s="118" t="s">
        <v>68</v>
      </c>
    </row>
    <row r="23" spans="1:11" s="7" customFormat="1" ht="45">
      <c r="A23" s="108">
        <v>21</v>
      </c>
      <c r="B23" s="118" t="s">
        <v>71</v>
      </c>
      <c r="C23" s="118" t="s">
        <v>31</v>
      </c>
      <c r="D23" s="118" t="s">
        <v>32</v>
      </c>
      <c r="E23" s="10" t="s">
        <v>36</v>
      </c>
      <c r="F23" s="118" t="s">
        <v>37</v>
      </c>
      <c r="G23" s="118" t="s">
        <v>37</v>
      </c>
      <c r="H23" s="118">
        <v>0.4</v>
      </c>
      <c r="I23" s="118">
        <v>0.5</v>
      </c>
      <c r="J23" s="119">
        <v>39867</v>
      </c>
      <c r="K23" s="118" t="s">
        <v>72</v>
      </c>
    </row>
    <row r="24" spans="1:11" s="7" customFormat="1" ht="45">
      <c r="A24" s="117">
        <v>22</v>
      </c>
      <c r="B24" s="118" t="s">
        <v>73</v>
      </c>
      <c r="C24" s="118" t="s">
        <v>31</v>
      </c>
      <c r="D24" s="118" t="s">
        <v>32</v>
      </c>
      <c r="E24" s="10" t="s">
        <v>36</v>
      </c>
      <c r="F24" s="118" t="s">
        <v>37</v>
      </c>
      <c r="G24" s="118" t="s">
        <v>37</v>
      </c>
      <c r="H24" s="118">
        <v>0.4</v>
      </c>
      <c r="I24" s="118">
        <v>0.5</v>
      </c>
      <c r="J24" s="119">
        <v>39867</v>
      </c>
      <c r="K24" s="118" t="s">
        <v>72</v>
      </c>
    </row>
    <row r="25" spans="1:11" s="7" customFormat="1" ht="45">
      <c r="A25" s="108">
        <v>23</v>
      </c>
      <c r="B25" s="118" t="s">
        <v>74</v>
      </c>
      <c r="C25" s="118" t="s">
        <v>31</v>
      </c>
      <c r="D25" s="118" t="s">
        <v>32</v>
      </c>
      <c r="E25" s="10" t="s">
        <v>36</v>
      </c>
      <c r="F25" s="118" t="s">
        <v>37</v>
      </c>
      <c r="G25" s="118" t="s">
        <v>37</v>
      </c>
      <c r="H25" s="118">
        <v>0.4</v>
      </c>
      <c r="I25" s="118">
        <v>0.5</v>
      </c>
      <c r="J25" s="119">
        <v>39867</v>
      </c>
      <c r="K25" s="118" t="s">
        <v>72</v>
      </c>
    </row>
    <row r="26" spans="1:11" s="7" customFormat="1" ht="45">
      <c r="A26" s="117">
        <v>24</v>
      </c>
      <c r="B26" s="118" t="s">
        <v>75</v>
      </c>
      <c r="C26" s="118" t="s">
        <v>31</v>
      </c>
      <c r="D26" s="118" t="s">
        <v>32</v>
      </c>
      <c r="E26" s="10" t="s">
        <v>36</v>
      </c>
      <c r="F26" s="118" t="s">
        <v>37</v>
      </c>
      <c r="G26" s="118" t="s">
        <v>37</v>
      </c>
      <c r="H26" s="118">
        <v>0.4</v>
      </c>
      <c r="I26" s="118">
        <v>0.5</v>
      </c>
      <c r="J26" s="119">
        <v>39867</v>
      </c>
      <c r="K26" s="118" t="s">
        <v>72</v>
      </c>
    </row>
    <row r="27" spans="1:11" s="7" customFormat="1" ht="45">
      <c r="A27" s="108">
        <v>25</v>
      </c>
      <c r="B27" s="118" t="s">
        <v>76</v>
      </c>
      <c r="C27" s="118" t="s">
        <v>31</v>
      </c>
      <c r="D27" s="118" t="s">
        <v>32</v>
      </c>
      <c r="E27" s="10" t="s">
        <v>36</v>
      </c>
      <c r="F27" s="118" t="s">
        <v>37</v>
      </c>
      <c r="G27" s="118" t="s">
        <v>37</v>
      </c>
      <c r="H27" s="118">
        <v>0.4</v>
      </c>
      <c r="I27" s="118">
        <v>0.5</v>
      </c>
      <c r="J27" s="119">
        <v>39867</v>
      </c>
      <c r="K27" s="118" t="s">
        <v>72</v>
      </c>
    </row>
    <row r="28" spans="1:11" s="7" customFormat="1" ht="45">
      <c r="A28" s="117">
        <v>26</v>
      </c>
      <c r="B28" s="118" t="s">
        <v>77</v>
      </c>
      <c r="C28" s="118" t="s">
        <v>31</v>
      </c>
      <c r="D28" s="118" t="s">
        <v>32</v>
      </c>
      <c r="E28" s="10" t="s">
        <v>36</v>
      </c>
      <c r="F28" s="118" t="s">
        <v>37</v>
      </c>
      <c r="G28" s="118" t="s">
        <v>37</v>
      </c>
      <c r="H28" s="118">
        <v>0.4</v>
      </c>
      <c r="I28" s="118">
        <v>0.5</v>
      </c>
      <c r="J28" s="119">
        <v>39867</v>
      </c>
      <c r="K28" s="118" t="s">
        <v>72</v>
      </c>
    </row>
    <row r="29" spans="1:11" s="7" customFormat="1">
      <c r="A29" s="108">
        <v>27</v>
      </c>
      <c r="B29" s="118" t="s">
        <v>78</v>
      </c>
      <c r="C29" s="118" t="s">
        <v>31</v>
      </c>
      <c r="D29" s="118" t="s">
        <v>32</v>
      </c>
      <c r="E29" s="10" t="s">
        <v>42</v>
      </c>
      <c r="F29" s="118" t="s">
        <v>37</v>
      </c>
      <c r="G29" s="118" t="s">
        <v>37</v>
      </c>
      <c r="H29" s="118">
        <v>8.9999999999999993E-3</v>
      </c>
      <c r="I29" s="118">
        <v>20.9</v>
      </c>
      <c r="J29" s="119">
        <v>39867</v>
      </c>
      <c r="K29" s="118" t="s">
        <v>72</v>
      </c>
    </row>
    <row r="30" spans="1:11" s="7" customFormat="1">
      <c r="A30" s="117">
        <v>28</v>
      </c>
      <c r="B30" s="118" t="s">
        <v>79</v>
      </c>
      <c r="C30" s="118" t="s">
        <v>31</v>
      </c>
      <c r="D30" s="118" t="s">
        <v>32</v>
      </c>
      <c r="E30" s="10" t="s">
        <v>42</v>
      </c>
      <c r="F30" s="118" t="s">
        <v>37</v>
      </c>
      <c r="G30" s="118" t="s">
        <v>37</v>
      </c>
      <c r="H30" s="118">
        <v>8.9999999999999993E-3</v>
      </c>
      <c r="I30" s="118">
        <v>20.9</v>
      </c>
      <c r="J30" s="119">
        <v>39867</v>
      </c>
      <c r="K30" s="118" t="s">
        <v>72</v>
      </c>
    </row>
    <row r="31" spans="1:11" s="7" customFormat="1">
      <c r="A31" s="108">
        <v>29</v>
      </c>
      <c r="B31" s="118" t="s">
        <v>80</v>
      </c>
      <c r="C31" s="118" t="s">
        <v>81</v>
      </c>
      <c r="D31" s="118" t="s">
        <v>6</v>
      </c>
      <c r="E31" s="123">
        <v>45</v>
      </c>
      <c r="F31" s="118" t="s">
        <v>34</v>
      </c>
      <c r="G31" s="118"/>
      <c r="H31" s="118"/>
      <c r="I31" s="118"/>
      <c r="J31" s="119"/>
      <c r="K31" s="27"/>
    </row>
    <row r="32" spans="1:11" s="7" customFormat="1">
      <c r="A32" s="117">
        <v>30</v>
      </c>
      <c r="B32" s="118" t="s">
        <v>82</v>
      </c>
      <c r="C32" s="118" t="s">
        <v>81</v>
      </c>
      <c r="D32" s="118" t="s">
        <v>6</v>
      </c>
      <c r="E32" s="123">
        <v>47.5</v>
      </c>
      <c r="F32" s="118" t="s">
        <v>34</v>
      </c>
      <c r="G32" s="118"/>
      <c r="H32" s="118"/>
      <c r="I32" s="118"/>
      <c r="J32" s="119">
        <v>39886</v>
      </c>
      <c r="K32" s="27"/>
    </row>
    <row r="33" spans="1:11" s="7" customFormat="1">
      <c r="A33" s="108">
        <v>31</v>
      </c>
      <c r="B33" s="118" t="s">
        <v>83</v>
      </c>
      <c r="C33" s="118" t="s">
        <v>81</v>
      </c>
      <c r="D33" s="118" t="s">
        <v>6</v>
      </c>
      <c r="E33" s="123">
        <v>50</v>
      </c>
      <c r="F33" s="118" t="s">
        <v>34</v>
      </c>
      <c r="G33" s="118"/>
      <c r="H33" s="118"/>
      <c r="I33" s="118"/>
      <c r="J33" s="119">
        <v>39886</v>
      </c>
      <c r="K33" s="27"/>
    </row>
    <row r="34" spans="1:11" s="7" customFormat="1">
      <c r="A34" s="117">
        <v>32</v>
      </c>
      <c r="B34" s="118" t="s">
        <v>1323</v>
      </c>
      <c r="C34" s="118" t="s">
        <v>249</v>
      </c>
      <c r="D34" s="118" t="s">
        <v>6</v>
      </c>
      <c r="E34" s="123">
        <v>3534</v>
      </c>
      <c r="F34" s="118" t="s">
        <v>34</v>
      </c>
      <c r="G34" s="118"/>
      <c r="H34" s="118"/>
      <c r="I34" s="118"/>
      <c r="J34" s="119">
        <v>40286</v>
      </c>
      <c r="K34" s="27"/>
    </row>
    <row r="35" spans="1:11" s="7" customFormat="1">
      <c r="A35" s="108">
        <v>33</v>
      </c>
      <c r="B35" s="118" t="s">
        <v>1324</v>
      </c>
      <c r="C35" s="118" t="s">
        <v>249</v>
      </c>
      <c r="D35" s="118" t="s">
        <v>6</v>
      </c>
      <c r="E35" s="123">
        <v>4158</v>
      </c>
      <c r="F35" s="118" t="s">
        <v>34</v>
      </c>
      <c r="G35" s="118"/>
      <c r="H35" s="118"/>
      <c r="I35" s="118"/>
      <c r="J35" s="119">
        <v>40286</v>
      </c>
      <c r="K35" s="27"/>
    </row>
    <row r="36" spans="1:11" s="7" customFormat="1">
      <c r="A36" s="117">
        <v>34</v>
      </c>
      <c r="B36" s="118" t="s">
        <v>84</v>
      </c>
      <c r="C36" s="27" t="s">
        <v>85</v>
      </c>
      <c r="D36" s="27" t="s">
        <v>6</v>
      </c>
      <c r="E36" s="124">
        <v>270</v>
      </c>
      <c r="F36" s="27" t="s">
        <v>34</v>
      </c>
      <c r="G36" s="27"/>
      <c r="H36" s="27"/>
      <c r="I36" s="27"/>
      <c r="J36" s="125"/>
      <c r="K36" s="27"/>
    </row>
    <row r="37" spans="1:11" s="7" customFormat="1">
      <c r="A37" s="108">
        <v>35</v>
      </c>
      <c r="B37" s="118" t="s">
        <v>1325</v>
      </c>
      <c r="C37" s="27" t="s">
        <v>85</v>
      </c>
      <c r="D37" s="27" t="s">
        <v>6</v>
      </c>
      <c r="E37" s="124">
        <v>300</v>
      </c>
      <c r="F37" s="27" t="s">
        <v>34</v>
      </c>
      <c r="G37" s="27"/>
      <c r="H37" s="27"/>
      <c r="I37" s="27"/>
      <c r="J37" s="125">
        <v>39972</v>
      </c>
      <c r="K37" s="27"/>
    </row>
    <row r="38" spans="1:11" s="7" customFormat="1">
      <c r="A38" s="117">
        <v>36</v>
      </c>
      <c r="B38" s="118" t="s">
        <v>86</v>
      </c>
      <c r="C38" s="27" t="s">
        <v>65</v>
      </c>
      <c r="D38" s="27" t="s">
        <v>6</v>
      </c>
      <c r="E38" s="124">
        <v>0</v>
      </c>
      <c r="F38" s="27" t="s">
        <v>34</v>
      </c>
      <c r="G38" s="27"/>
      <c r="H38" s="27"/>
      <c r="I38" s="27"/>
      <c r="J38" s="125"/>
      <c r="K38" s="27"/>
    </row>
    <row r="39" spans="1:11" s="7" customFormat="1">
      <c r="A39" s="108">
        <v>37</v>
      </c>
      <c r="B39" s="118" t="s">
        <v>1326</v>
      </c>
      <c r="C39" s="27" t="s">
        <v>1327</v>
      </c>
      <c r="D39" s="27" t="s">
        <v>6</v>
      </c>
      <c r="E39" s="124">
        <v>65</v>
      </c>
      <c r="F39" s="27" t="s">
        <v>34</v>
      </c>
      <c r="G39" s="27"/>
      <c r="H39" s="27"/>
      <c r="I39" s="27"/>
      <c r="J39" s="125">
        <v>40321</v>
      </c>
      <c r="K39" s="27"/>
    </row>
    <row r="40" spans="1:11" s="7" customFormat="1">
      <c r="A40" s="117">
        <v>38</v>
      </c>
      <c r="B40" s="118" t="s">
        <v>1328</v>
      </c>
      <c r="C40" s="27" t="s">
        <v>1327</v>
      </c>
      <c r="D40" s="27" t="s">
        <v>6</v>
      </c>
      <c r="E40" s="124">
        <v>73</v>
      </c>
      <c r="F40" s="27" t="s">
        <v>34</v>
      </c>
      <c r="G40" s="27"/>
      <c r="H40" s="27"/>
      <c r="I40" s="27"/>
      <c r="J40" s="125">
        <v>40321</v>
      </c>
      <c r="K40" s="27"/>
    </row>
    <row r="41" spans="1:11" s="7" customFormat="1">
      <c r="A41" s="108">
        <v>39</v>
      </c>
      <c r="B41" s="118" t="s">
        <v>87</v>
      </c>
      <c r="C41" s="27" t="s">
        <v>88</v>
      </c>
      <c r="D41" s="27" t="s">
        <v>6</v>
      </c>
      <c r="E41" s="124">
        <v>28.4</v>
      </c>
      <c r="F41" s="27" t="s">
        <v>34</v>
      </c>
      <c r="G41" s="27"/>
      <c r="H41" s="27"/>
      <c r="I41" s="27"/>
      <c r="J41" s="125">
        <v>39936</v>
      </c>
      <c r="K41" s="27"/>
    </row>
    <row r="42" spans="1:11" s="7" customFormat="1">
      <c r="A42" s="117">
        <v>40</v>
      </c>
      <c r="B42" s="118" t="s">
        <v>89</v>
      </c>
      <c r="C42" s="118" t="s">
        <v>81</v>
      </c>
      <c r="D42" s="118" t="s">
        <v>6</v>
      </c>
      <c r="E42" s="124">
        <v>30</v>
      </c>
      <c r="F42" s="118" t="s">
        <v>34</v>
      </c>
      <c r="G42" s="118"/>
      <c r="H42" s="118"/>
      <c r="I42" s="118"/>
      <c r="J42" s="119"/>
      <c r="K42" s="118"/>
    </row>
    <row r="43" spans="1:11" s="7" customFormat="1">
      <c r="A43" s="108">
        <v>41</v>
      </c>
      <c r="B43" s="118" t="s">
        <v>90</v>
      </c>
      <c r="C43" s="118" t="s">
        <v>81</v>
      </c>
      <c r="D43" s="118" t="s">
        <v>6</v>
      </c>
      <c r="E43" s="124">
        <v>30</v>
      </c>
      <c r="F43" s="118" t="s">
        <v>34</v>
      </c>
      <c r="G43" s="118"/>
      <c r="H43" s="118"/>
      <c r="I43" s="118"/>
      <c r="J43" s="119"/>
      <c r="K43" s="118"/>
    </row>
    <row r="44" spans="1:11" s="7" customFormat="1">
      <c r="A44" s="117">
        <v>42</v>
      </c>
      <c r="B44" s="118" t="s">
        <v>91</v>
      </c>
      <c r="C44" s="118" t="s">
        <v>81</v>
      </c>
      <c r="D44" s="118" t="s">
        <v>6</v>
      </c>
      <c r="E44" s="124">
        <v>312.5</v>
      </c>
      <c r="F44" s="118" t="s">
        <v>34</v>
      </c>
      <c r="G44" s="118"/>
      <c r="H44" s="118"/>
      <c r="I44" s="118"/>
      <c r="J44" s="119"/>
      <c r="K44" s="118"/>
    </row>
    <row r="45" spans="1:11" s="7" customFormat="1">
      <c r="A45" s="108">
        <v>43</v>
      </c>
      <c r="B45" s="118" t="s">
        <v>92</v>
      </c>
      <c r="C45" s="118" t="s">
        <v>81</v>
      </c>
      <c r="D45" s="118" t="s">
        <v>6</v>
      </c>
      <c r="E45" s="124">
        <v>325</v>
      </c>
      <c r="F45" s="118" t="s">
        <v>34</v>
      </c>
      <c r="G45" s="118"/>
      <c r="H45" s="118"/>
      <c r="I45" s="118"/>
      <c r="J45" s="119"/>
      <c r="K45" s="118"/>
    </row>
    <row r="46" spans="1:11" s="7" customFormat="1">
      <c r="A46" s="117">
        <v>44</v>
      </c>
      <c r="B46" s="118" t="s">
        <v>93</v>
      </c>
      <c r="C46" s="118" t="s">
        <v>31</v>
      </c>
      <c r="D46" s="118" t="s">
        <v>6</v>
      </c>
      <c r="E46" s="10">
        <v>32</v>
      </c>
      <c r="F46" s="118" t="s">
        <v>34</v>
      </c>
      <c r="G46" s="118"/>
      <c r="H46" s="118"/>
      <c r="I46" s="118"/>
      <c r="J46" s="119">
        <v>39887</v>
      </c>
      <c r="K46" s="27"/>
    </row>
    <row r="47" spans="1:11" s="7" customFormat="1">
      <c r="A47" s="108">
        <v>45</v>
      </c>
      <c r="B47" s="118" t="s">
        <v>1329</v>
      </c>
      <c r="C47" s="118" t="s">
        <v>85</v>
      </c>
      <c r="D47" s="118" t="s">
        <v>510</v>
      </c>
      <c r="E47" s="126">
        <v>80</v>
      </c>
      <c r="F47" s="118"/>
      <c r="G47" s="118"/>
      <c r="H47" s="118"/>
      <c r="I47" s="118"/>
      <c r="J47" s="119">
        <v>39922</v>
      </c>
      <c r="K47" s="27"/>
    </row>
    <row r="48" spans="1:11" s="7" customFormat="1" ht="30">
      <c r="A48" s="117">
        <v>46</v>
      </c>
      <c r="B48" s="118" t="s">
        <v>1330</v>
      </c>
      <c r="C48" s="118" t="s">
        <v>513</v>
      </c>
      <c r="D48" s="118" t="s">
        <v>510</v>
      </c>
      <c r="E48" s="126">
        <v>22</v>
      </c>
      <c r="F48" s="118" t="s">
        <v>34</v>
      </c>
      <c r="G48" s="118"/>
      <c r="H48" s="118"/>
      <c r="I48" s="118"/>
      <c r="J48" s="119">
        <v>39925</v>
      </c>
      <c r="K48" s="27"/>
    </row>
    <row r="49" spans="1:11" s="7" customFormat="1" ht="30">
      <c r="A49" s="108">
        <v>47</v>
      </c>
      <c r="B49" s="118" t="s">
        <v>1331</v>
      </c>
      <c r="C49" s="118" t="s">
        <v>85</v>
      </c>
      <c r="D49" s="118" t="s">
        <v>6</v>
      </c>
      <c r="E49" s="124">
        <v>103</v>
      </c>
      <c r="F49" s="118" t="s">
        <v>34</v>
      </c>
      <c r="G49" s="118"/>
      <c r="H49" s="118"/>
      <c r="I49" s="118"/>
      <c r="J49" s="119">
        <v>40286</v>
      </c>
      <c r="K49" s="27"/>
    </row>
    <row r="50" spans="1:11" s="7" customFormat="1">
      <c r="A50" s="117">
        <v>48</v>
      </c>
      <c r="B50" s="118" t="s">
        <v>1332</v>
      </c>
      <c r="C50" s="118" t="s">
        <v>1327</v>
      </c>
      <c r="D50" s="118" t="s">
        <v>6</v>
      </c>
      <c r="E50" s="124">
        <v>73</v>
      </c>
      <c r="F50" s="118" t="s">
        <v>34</v>
      </c>
      <c r="G50" s="118"/>
      <c r="H50" s="118"/>
      <c r="I50" s="118"/>
      <c r="J50" s="119">
        <v>40321</v>
      </c>
      <c r="K50" s="27"/>
    </row>
    <row r="51" spans="1:11" s="7" customFormat="1">
      <c r="A51" s="108">
        <v>49</v>
      </c>
      <c r="B51" s="118" t="s">
        <v>94</v>
      </c>
      <c r="C51" s="27" t="s">
        <v>65</v>
      </c>
      <c r="D51" s="27" t="s">
        <v>6</v>
      </c>
      <c r="E51" s="123">
        <v>5</v>
      </c>
      <c r="F51" s="27" t="s">
        <v>34</v>
      </c>
      <c r="G51" s="27"/>
      <c r="H51" s="27"/>
      <c r="I51" s="27"/>
      <c r="J51" s="125"/>
      <c r="K51" s="27"/>
    </row>
    <row r="52" spans="1:11" s="7" customFormat="1">
      <c r="A52" s="117">
        <v>50</v>
      </c>
      <c r="B52" s="118" t="s">
        <v>95</v>
      </c>
      <c r="C52" s="27" t="s">
        <v>85</v>
      </c>
      <c r="D52" s="27" t="s">
        <v>6</v>
      </c>
      <c r="E52" s="123">
        <v>125</v>
      </c>
      <c r="F52" s="27" t="s">
        <v>34</v>
      </c>
      <c r="G52" s="27"/>
      <c r="H52" s="27"/>
      <c r="I52" s="27"/>
      <c r="J52" s="125"/>
      <c r="K52" s="27"/>
    </row>
    <row r="53" spans="1:11" s="7" customFormat="1">
      <c r="A53" s="108">
        <v>51</v>
      </c>
      <c r="B53" s="118" t="s">
        <v>96</v>
      </c>
      <c r="C53" s="27" t="s">
        <v>85</v>
      </c>
      <c r="D53" s="27" t="s">
        <v>6</v>
      </c>
      <c r="E53" s="123">
        <v>77.5</v>
      </c>
      <c r="F53" s="27" t="s">
        <v>34</v>
      </c>
      <c r="G53" s="27"/>
      <c r="H53" s="27"/>
      <c r="I53" s="27"/>
      <c r="J53" s="125"/>
      <c r="K53" s="27"/>
    </row>
    <row r="54" spans="1:11" s="7" customFormat="1">
      <c r="A54" s="117">
        <v>52</v>
      </c>
      <c r="B54" s="118" t="s">
        <v>97</v>
      </c>
      <c r="C54" s="27" t="s">
        <v>85</v>
      </c>
      <c r="D54" s="27" t="s">
        <v>6</v>
      </c>
      <c r="E54" s="123">
        <v>112.5</v>
      </c>
      <c r="F54" s="27" t="s">
        <v>34</v>
      </c>
      <c r="G54" s="27"/>
      <c r="H54" s="27"/>
      <c r="I54" s="27"/>
      <c r="J54" s="125"/>
      <c r="K54" s="27"/>
    </row>
    <row r="55" spans="1:11" s="7" customFormat="1">
      <c r="A55" s="108">
        <v>53</v>
      </c>
      <c r="B55" s="118" t="s">
        <v>98</v>
      </c>
      <c r="C55" s="27" t="s">
        <v>85</v>
      </c>
      <c r="D55" s="27" t="s">
        <v>6</v>
      </c>
      <c r="E55" s="123">
        <v>200</v>
      </c>
      <c r="F55" s="27" t="s">
        <v>34</v>
      </c>
      <c r="G55" s="27"/>
      <c r="H55" s="27"/>
      <c r="I55" s="27"/>
      <c r="J55" s="125"/>
      <c r="K55" s="27"/>
    </row>
    <row r="56" spans="1:11" s="7" customFormat="1">
      <c r="A56" s="117">
        <v>54</v>
      </c>
      <c r="B56" s="118" t="s">
        <v>99</v>
      </c>
      <c r="C56" s="27" t="s">
        <v>85</v>
      </c>
      <c r="D56" s="27" t="s">
        <v>6</v>
      </c>
      <c r="E56" s="123">
        <v>490</v>
      </c>
      <c r="F56" s="27" t="s">
        <v>34</v>
      </c>
      <c r="G56" s="27"/>
      <c r="H56" s="27"/>
      <c r="I56" s="27"/>
      <c r="J56" s="125"/>
      <c r="K56" s="27"/>
    </row>
    <row r="57" spans="1:11" s="7" customFormat="1">
      <c r="A57" s="108">
        <v>55</v>
      </c>
      <c r="B57" s="118" t="s">
        <v>100</v>
      </c>
      <c r="C57" s="27" t="s">
        <v>85</v>
      </c>
      <c r="D57" s="27" t="s">
        <v>6</v>
      </c>
      <c r="E57" s="123">
        <v>100</v>
      </c>
      <c r="F57" s="27" t="s">
        <v>34</v>
      </c>
      <c r="G57" s="27"/>
      <c r="H57" s="27"/>
      <c r="I57" s="27"/>
      <c r="J57" s="125"/>
      <c r="K57" s="27"/>
    </row>
    <row r="58" spans="1:11" s="7" customFormat="1">
      <c r="A58" s="117">
        <v>56</v>
      </c>
      <c r="B58" s="118" t="s">
        <v>1333</v>
      </c>
      <c r="C58" s="27" t="s">
        <v>85</v>
      </c>
      <c r="D58" s="27" t="s">
        <v>6</v>
      </c>
      <c r="E58" s="123">
        <v>340.5</v>
      </c>
      <c r="F58" s="27" t="s">
        <v>34</v>
      </c>
      <c r="G58" s="27"/>
      <c r="H58" s="27"/>
      <c r="I58" s="27"/>
      <c r="J58" s="125">
        <v>40321</v>
      </c>
      <c r="K58" s="27"/>
    </row>
    <row r="59" spans="1:11" s="7" customFormat="1">
      <c r="A59" s="108">
        <v>57</v>
      </c>
      <c r="B59" s="118" t="s">
        <v>102</v>
      </c>
      <c r="C59" s="27" t="s">
        <v>103</v>
      </c>
      <c r="D59" s="27" t="s">
        <v>6</v>
      </c>
      <c r="E59" s="123">
        <v>50</v>
      </c>
      <c r="F59" s="27" t="s">
        <v>34</v>
      </c>
      <c r="G59" s="27"/>
      <c r="H59" s="27"/>
      <c r="I59" s="27"/>
      <c r="J59" s="125"/>
      <c r="K59" s="27"/>
    </row>
    <row r="60" spans="1:11" s="7" customFormat="1">
      <c r="A60" s="117">
        <v>58</v>
      </c>
      <c r="B60" s="118" t="s">
        <v>104</v>
      </c>
      <c r="C60" s="27" t="s">
        <v>103</v>
      </c>
      <c r="D60" s="27" t="s">
        <v>6</v>
      </c>
      <c r="E60" s="123">
        <v>450</v>
      </c>
      <c r="F60" s="27" t="s">
        <v>34</v>
      </c>
      <c r="G60" s="27"/>
      <c r="H60" s="27"/>
      <c r="I60" s="27"/>
      <c r="J60" s="125"/>
      <c r="K60" s="27"/>
    </row>
    <row r="61" spans="1:11" s="7" customFormat="1">
      <c r="A61" s="108">
        <v>59</v>
      </c>
      <c r="B61" s="118" t="s">
        <v>105</v>
      </c>
      <c r="C61" s="118" t="s">
        <v>103</v>
      </c>
      <c r="D61" s="118" t="s">
        <v>6</v>
      </c>
      <c r="E61" s="124">
        <v>70</v>
      </c>
      <c r="F61" s="118" t="s">
        <v>34</v>
      </c>
      <c r="G61" s="118"/>
      <c r="H61" s="118"/>
      <c r="I61" s="118"/>
      <c r="J61" s="119">
        <v>39867</v>
      </c>
      <c r="K61" s="27"/>
    </row>
    <row r="62" spans="1:11" s="7" customFormat="1">
      <c r="A62" s="117">
        <v>60</v>
      </c>
      <c r="B62" s="118" t="s">
        <v>106</v>
      </c>
      <c r="C62" s="118" t="s">
        <v>103</v>
      </c>
      <c r="D62" s="118" t="s">
        <v>6</v>
      </c>
      <c r="E62" s="124">
        <v>70</v>
      </c>
      <c r="F62" s="118" t="s">
        <v>34</v>
      </c>
      <c r="G62" s="118"/>
      <c r="H62" s="118"/>
      <c r="I62" s="118"/>
      <c r="J62" s="119">
        <v>39909</v>
      </c>
      <c r="K62" s="27"/>
    </row>
    <row r="63" spans="1:11" s="7" customFormat="1">
      <c r="A63" s="108">
        <v>61</v>
      </c>
      <c r="B63" s="118" t="s">
        <v>107</v>
      </c>
      <c r="C63" s="27" t="s">
        <v>103</v>
      </c>
      <c r="D63" s="27" t="s">
        <v>6</v>
      </c>
      <c r="E63" s="123">
        <v>70</v>
      </c>
      <c r="F63" s="27" t="s">
        <v>34</v>
      </c>
      <c r="G63" s="27"/>
      <c r="H63" s="27"/>
      <c r="I63" s="27"/>
      <c r="J63" s="125"/>
      <c r="K63" s="27"/>
    </row>
    <row r="64" spans="1:11" s="7" customFormat="1">
      <c r="A64" s="117">
        <v>62</v>
      </c>
      <c r="B64" s="118" t="s">
        <v>108</v>
      </c>
      <c r="C64" s="27" t="s">
        <v>103</v>
      </c>
      <c r="D64" s="27" t="s">
        <v>6</v>
      </c>
      <c r="E64" s="123">
        <v>70</v>
      </c>
      <c r="F64" s="27" t="s">
        <v>34</v>
      </c>
      <c r="G64" s="27"/>
      <c r="H64" s="118"/>
      <c r="I64" s="118"/>
      <c r="J64" s="119">
        <v>39868</v>
      </c>
      <c r="K64" s="27"/>
    </row>
    <row r="65" spans="1:11" s="7" customFormat="1">
      <c r="A65" s="108">
        <v>63</v>
      </c>
      <c r="B65" s="118" t="s">
        <v>109</v>
      </c>
      <c r="C65" s="27" t="s">
        <v>103</v>
      </c>
      <c r="D65" s="27" t="s">
        <v>6</v>
      </c>
      <c r="E65" s="123">
        <v>70</v>
      </c>
      <c r="F65" s="27" t="s">
        <v>34</v>
      </c>
      <c r="G65" s="27"/>
      <c r="H65" s="27"/>
      <c r="I65" s="27"/>
      <c r="J65" s="125"/>
      <c r="K65" s="27"/>
    </row>
    <row r="66" spans="1:11" s="7" customFormat="1">
      <c r="A66" s="117">
        <v>64</v>
      </c>
      <c r="B66" s="118" t="s">
        <v>110</v>
      </c>
      <c r="C66" s="27" t="s">
        <v>111</v>
      </c>
      <c r="D66" s="27" t="s">
        <v>6</v>
      </c>
      <c r="E66" s="123">
        <v>162</v>
      </c>
      <c r="F66" s="27" t="s">
        <v>34</v>
      </c>
      <c r="G66" s="27"/>
      <c r="H66" s="27"/>
      <c r="I66" s="27"/>
      <c r="J66" s="125">
        <v>39899</v>
      </c>
      <c r="K66" s="27"/>
    </row>
    <row r="67" spans="1:11" s="7" customFormat="1">
      <c r="A67" s="108">
        <v>65</v>
      </c>
      <c r="B67" s="118" t="s">
        <v>112</v>
      </c>
      <c r="C67" s="27" t="s">
        <v>111</v>
      </c>
      <c r="D67" s="27" t="s">
        <v>6</v>
      </c>
      <c r="E67" s="123">
        <v>94</v>
      </c>
      <c r="F67" s="27" t="s">
        <v>34</v>
      </c>
      <c r="G67" s="27"/>
      <c r="H67" s="27"/>
      <c r="I67" s="27"/>
      <c r="J67" s="125">
        <v>39899</v>
      </c>
      <c r="K67" s="27"/>
    </row>
    <row r="68" spans="1:11" s="7" customFormat="1">
      <c r="A68" s="117">
        <v>66</v>
      </c>
      <c r="B68" s="118" t="s">
        <v>113</v>
      </c>
      <c r="C68" s="27" t="s">
        <v>111</v>
      </c>
      <c r="D68" s="27" t="s">
        <v>6</v>
      </c>
      <c r="E68" s="123">
        <v>94</v>
      </c>
      <c r="F68" s="27" t="s">
        <v>34</v>
      </c>
      <c r="G68" s="27"/>
      <c r="H68" s="27"/>
      <c r="I68" s="27"/>
      <c r="J68" s="125">
        <v>39899</v>
      </c>
      <c r="K68" s="27"/>
    </row>
    <row r="69" spans="1:11" s="7" customFormat="1">
      <c r="A69" s="108">
        <v>67</v>
      </c>
      <c r="B69" s="118" t="s">
        <v>114</v>
      </c>
      <c r="C69" s="27" t="s">
        <v>115</v>
      </c>
      <c r="D69" s="27" t="s">
        <v>6</v>
      </c>
      <c r="E69" s="123">
        <v>55</v>
      </c>
      <c r="F69" s="27" t="s">
        <v>34</v>
      </c>
      <c r="G69" s="27"/>
      <c r="H69" s="27"/>
      <c r="I69" s="27"/>
      <c r="J69" s="125"/>
      <c r="K69" s="27"/>
    </row>
    <row r="70" spans="1:11" s="7" customFormat="1">
      <c r="A70" s="117">
        <v>68</v>
      </c>
      <c r="B70" s="118" t="s">
        <v>116</v>
      </c>
      <c r="C70" s="27" t="s">
        <v>115</v>
      </c>
      <c r="D70" s="27" t="s">
        <v>6</v>
      </c>
      <c r="E70" s="123">
        <v>30</v>
      </c>
      <c r="F70" s="27" t="s">
        <v>34</v>
      </c>
      <c r="G70" s="27"/>
      <c r="H70" s="27"/>
      <c r="I70" s="27"/>
      <c r="J70" s="125"/>
      <c r="K70" s="27"/>
    </row>
    <row r="71" spans="1:11" s="7" customFormat="1">
      <c r="A71" s="108">
        <v>69</v>
      </c>
      <c r="B71" s="118" t="s">
        <v>117</v>
      </c>
      <c r="C71" s="27" t="s">
        <v>118</v>
      </c>
      <c r="D71" s="27" t="s">
        <v>6</v>
      </c>
      <c r="E71" s="123">
        <v>65</v>
      </c>
      <c r="F71" s="27" t="s">
        <v>34</v>
      </c>
      <c r="G71" s="27"/>
      <c r="H71" s="27"/>
      <c r="I71" s="27"/>
      <c r="J71" s="125"/>
      <c r="K71" s="27"/>
    </row>
    <row r="72" spans="1:11" s="7" customFormat="1">
      <c r="A72" s="117">
        <v>70</v>
      </c>
      <c r="B72" s="118" t="s">
        <v>1334</v>
      </c>
      <c r="C72" s="27" t="s">
        <v>118</v>
      </c>
      <c r="D72" s="27" t="s">
        <v>6</v>
      </c>
      <c r="E72" s="123">
        <v>240</v>
      </c>
      <c r="F72" s="27" t="s">
        <v>34</v>
      </c>
      <c r="G72" s="27"/>
      <c r="H72" s="27"/>
      <c r="I72" s="27"/>
      <c r="J72" s="125">
        <v>40288</v>
      </c>
      <c r="K72" s="27" t="s">
        <v>1335</v>
      </c>
    </row>
    <row r="73" spans="1:11" s="7" customFormat="1">
      <c r="A73" s="108">
        <v>71</v>
      </c>
      <c r="B73" s="118" t="s">
        <v>1336</v>
      </c>
      <c r="C73" s="27" t="s">
        <v>118</v>
      </c>
      <c r="D73" s="27" t="s">
        <v>6</v>
      </c>
      <c r="E73" s="123">
        <v>77.5</v>
      </c>
      <c r="F73" s="27" t="s">
        <v>34</v>
      </c>
      <c r="G73" s="27"/>
      <c r="H73" s="27"/>
      <c r="I73" s="27"/>
      <c r="J73" s="125">
        <v>40257</v>
      </c>
      <c r="K73" s="27"/>
    </row>
    <row r="74" spans="1:11" s="7" customFormat="1">
      <c r="A74" s="117">
        <v>72</v>
      </c>
      <c r="B74" s="118" t="s">
        <v>119</v>
      </c>
      <c r="C74" s="27" t="s">
        <v>118</v>
      </c>
      <c r="D74" s="27" t="s">
        <v>6</v>
      </c>
      <c r="E74" s="123">
        <v>96</v>
      </c>
      <c r="F74" s="27" t="s">
        <v>34</v>
      </c>
      <c r="G74" s="27"/>
      <c r="H74" s="27"/>
      <c r="I74" s="27"/>
      <c r="J74" s="125"/>
      <c r="K74" s="27"/>
    </row>
    <row r="75" spans="1:11" s="7" customFormat="1">
      <c r="A75" s="108">
        <v>73</v>
      </c>
      <c r="B75" s="118" t="s">
        <v>1337</v>
      </c>
      <c r="C75" s="27" t="s">
        <v>118</v>
      </c>
      <c r="D75" s="27" t="s">
        <v>6</v>
      </c>
      <c r="E75" s="123">
        <v>97</v>
      </c>
      <c r="F75" s="27" t="s">
        <v>34</v>
      </c>
      <c r="G75" s="27"/>
      <c r="H75" s="27"/>
      <c r="I75" s="27"/>
      <c r="J75" s="125">
        <v>40257</v>
      </c>
      <c r="K75" s="27"/>
    </row>
    <row r="76" spans="1:11" s="7" customFormat="1">
      <c r="A76" s="117">
        <v>74</v>
      </c>
      <c r="B76" s="118" t="s">
        <v>1338</v>
      </c>
      <c r="C76" s="27" t="s">
        <v>1339</v>
      </c>
      <c r="D76" s="27" t="s">
        <v>6</v>
      </c>
      <c r="E76" s="123">
        <v>226</v>
      </c>
      <c r="F76" s="27" t="s">
        <v>34</v>
      </c>
      <c r="G76" s="27"/>
      <c r="H76" s="27"/>
      <c r="I76" s="27"/>
      <c r="J76" s="125">
        <v>40257</v>
      </c>
      <c r="K76" s="27"/>
    </row>
    <row r="77" spans="1:11" s="7" customFormat="1">
      <c r="A77" s="108">
        <v>75</v>
      </c>
      <c r="B77" s="118" t="s">
        <v>120</v>
      </c>
      <c r="C77" s="27" t="s">
        <v>31</v>
      </c>
      <c r="D77" s="27" t="s">
        <v>6</v>
      </c>
      <c r="E77" s="127" t="s">
        <v>33</v>
      </c>
      <c r="F77" s="27" t="s">
        <v>34</v>
      </c>
      <c r="G77" s="27"/>
      <c r="H77" s="27"/>
      <c r="I77" s="27"/>
      <c r="J77" s="125">
        <v>39868</v>
      </c>
      <c r="K77" s="27"/>
    </row>
    <row r="78" spans="1:11" s="7" customFormat="1">
      <c r="A78" s="117">
        <v>76</v>
      </c>
      <c r="B78" s="118" t="s">
        <v>121</v>
      </c>
      <c r="C78" s="128" t="s">
        <v>122</v>
      </c>
      <c r="D78" s="27" t="s">
        <v>6</v>
      </c>
      <c r="E78" s="129">
        <v>82</v>
      </c>
      <c r="F78" s="27" t="s">
        <v>34</v>
      </c>
      <c r="G78" s="27"/>
      <c r="H78" s="27"/>
      <c r="I78" s="27"/>
      <c r="J78" s="125"/>
      <c r="K78" s="27"/>
    </row>
    <row r="79" spans="1:11" s="7" customFormat="1">
      <c r="A79" s="108">
        <v>77</v>
      </c>
      <c r="B79" s="118" t="s">
        <v>123</v>
      </c>
      <c r="C79" s="128" t="s">
        <v>122</v>
      </c>
      <c r="D79" s="27" t="s">
        <v>6</v>
      </c>
      <c r="E79" s="129">
        <v>96</v>
      </c>
      <c r="F79" s="27" t="s">
        <v>34</v>
      </c>
      <c r="G79" s="27"/>
      <c r="H79" s="27"/>
      <c r="I79" s="27"/>
      <c r="J79" s="125"/>
      <c r="K79" s="27"/>
    </row>
    <row r="80" spans="1:11" s="7" customFormat="1">
      <c r="A80" s="117">
        <v>78</v>
      </c>
      <c r="B80" s="118" t="s">
        <v>124</v>
      </c>
      <c r="C80" s="128" t="s">
        <v>122</v>
      </c>
      <c r="D80" s="27" t="s">
        <v>6</v>
      </c>
      <c r="E80" s="129">
        <v>109</v>
      </c>
      <c r="F80" s="27" t="s">
        <v>34</v>
      </c>
      <c r="G80" s="27"/>
      <c r="H80" s="27"/>
      <c r="I80" s="27"/>
      <c r="J80" s="125"/>
      <c r="K80" s="27"/>
    </row>
    <row r="81" spans="1:11" s="7" customFormat="1">
      <c r="A81" s="108">
        <v>79</v>
      </c>
      <c r="B81" s="118" t="s">
        <v>125</v>
      </c>
      <c r="C81" s="128" t="s">
        <v>122</v>
      </c>
      <c r="D81" s="27" t="s">
        <v>6</v>
      </c>
      <c r="E81" s="129">
        <v>109</v>
      </c>
      <c r="F81" s="27" t="s">
        <v>34</v>
      </c>
      <c r="G81" s="27"/>
      <c r="H81" s="27"/>
      <c r="I81" s="27"/>
      <c r="J81" s="125"/>
      <c r="K81" s="27"/>
    </row>
    <row r="82" spans="1:11" s="7" customFormat="1">
      <c r="A82" s="117">
        <v>80</v>
      </c>
      <c r="B82" s="118" t="s">
        <v>126</v>
      </c>
      <c r="C82" s="118" t="s">
        <v>127</v>
      </c>
      <c r="D82" s="118" t="s">
        <v>6</v>
      </c>
      <c r="E82" s="124">
        <v>66</v>
      </c>
      <c r="F82" s="118" t="s">
        <v>34</v>
      </c>
      <c r="G82" s="118"/>
      <c r="H82" s="118"/>
      <c r="I82" s="118"/>
      <c r="J82" s="119">
        <v>39873</v>
      </c>
      <c r="K82" s="27" t="s">
        <v>128</v>
      </c>
    </row>
    <row r="83" spans="1:11" s="7" customFormat="1" ht="30">
      <c r="A83" s="108">
        <v>81</v>
      </c>
      <c r="B83" s="118" t="s">
        <v>129</v>
      </c>
      <c r="C83" s="118" t="s">
        <v>130</v>
      </c>
      <c r="D83" s="118" t="s">
        <v>6</v>
      </c>
      <c r="E83" s="124">
        <v>600</v>
      </c>
      <c r="F83" s="118" t="s">
        <v>34</v>
      </c>
      <c r="G83" s="118"/>
      <c r="H83" s="118"/>
      <c r="I83" s="118"/>
      <c r="J83" s="119">
        <v>39922</v>
      </c>
      <c r="K83" s="27"/>
    </row>
    <row r="84" spans="1:11" s="7" customFormat="1" ht="30">
      <c r="A84" s="117">
        <v>82</v>
      </c>
      <c r="B84" s="118" t="s">
        <v>131</v>
      </c>
      <c r="C84" s="118" t="s">
        <v>130</v>
      </c>
      <c r="D84" s="118" t="s">
        <v>6</v>
      </c>
      <c r="E84" s="124">
        <v>385</v>
      </c>
      <c r="F84" s="118" t="s">
        <v>34</v>
      </c>
      <c r="G84" s="118"/>
      <c r="H84" s="118"/>
      <c r="I84" s="118"/>
      <c r="J84" s="119">
        <v>39922</v>
      </c>
      <c r="K84" s="27"/>
    </row>
    <row r="85" spans="1:11" s="7" customFormat="1" ht="30">
      <c r="A85" s="108">
        <v>83</v>
      </c>
      <c r="B85" s="118" t="s">
        <v>132</v>
      </c>
      <c r="C85" s="118" t="s">
        <v>130</v>
      </c>
      <c r="D85" s="118" t="s">
        <v>6</v>
      </c>
      <c r="E85" s="124">
        <v>225</v>
      </c>
      <c r="F85" s="118" t="s">
        <v>34</v>
      </c>
      <c r="G85" s="118"/>
      <c r="H85" s="118"/>
      <c r="I85" s="118"/>
      <c r="J85" s="119">
        <v>39922</v>
      </c>
      <c r="K85" s="27"/>
    </row>
    <row r="86" spans="1:11" s="7" customFormat="1" ht="30">
      <c r="A86" s="117">
        <v>84</v>
      </c>
      <c r="B86" s="118" t="s">
        <v>133</v>
      </c>
      <c r="C86" s="118" t="s">
        <v>130</v>
      </c>
      <c r="D86" s="118" t="s">
        <v>6</v>
      </c>
      <c r="E86" s="124">
        <v>225</v>
      </c>
      <c r="F86" s="118" t="s">
        <v>34</v>
      </c>
      <c r="G86" s="118"/>
      <c r="H86" s="118"/>
      <c r="I86" s="118"/>
      <c r="J86" s="119">
        <v>39922</v>
      </c>
      <c r="K86" s="27"/>
    </row>
    <row r="87" spans="1:11" s="7" customFormat="1">
      <c r="A87" s="108">
        <v>85</v>
      </c>
      <c r="B87" s="118" t="s">
        <v>1340</v>
      </c>
      <c r="C87" s="118" t="s">
        <v>1341</v>
      </c>
      <c r="D87" s="118" t="s">
        <v>6</v>
      </c>
      <c r="E87" s="124">
        <v>207</v>
      </c>
      <c r="F87" s="118" t="s">
        <v>34</v>
      </c>
      <c r="G87" s="118"/>
      <c r="H87" s="118"/>
      <c r="I87" s="118"/>
      <c r="J87" s="119">
        <v>40321</v>
      </c>
      <c r="K87" s="27" t="s">
        <v>1342</v>
      </c>
    </row>
    <row r="88" spans="1:11" s="7" customFormat="1">
      <c r="A88" s="117">
        <v>86</v>
      </c>
      <c r="B88" s="118" t="s">
        <v>1343</v>
      </c>
      <c r="C88" s="118" t="s">
        <v>1341</v>
      </c>
      <c r="D88" s="118" t="s">
        <v>6</v>
      </c>
      <c r="E88" s="124">
        <v>257</v>
      </c>
      <c r="F88" s="118" t="s">
        <v>34</v>
      </c>
      <c r="G88" s="118"/>
      <c r="H88" s="118"/>
      <c r="I88" s="118"/>
      <c r="J88" s="119">
        <v>40321</v>
      </c>
      <c r="K88" s="27" t="s">
        <v>1342</v>
      </c>
    </row>
    <row r="89" spans="1:11" s="7" customFormat="1">
      <c r="A89" s="108">
        <v>87</v>
      </c>
      <c r="B89" s="118" t="s">
        <v>134</v>
      </c>
      <c r="C89" s="27" t="s">
        <v>65</v>
      </c>
      <c r="D89" s="118" t="s">
        <v>6</v>
      </c>
      <c r="E89" s="130">
        <v>0</v>
      </c>
      <c r="F89" s="27" t="s">
        <v>34</v>
      </c>
      <c r="G89" s="27"/>
      <c r="H89" s="27"/>
      <c r="I89" s="27"/>
      <c r="J89" s="125"/>
      <c r="K89" s="27"/>
    </row>
    <row r="90" spans="1:11" s="7" customFormat="1">
      <c r="A90" s="117">
        <v>88</v>
      </c>
      <c r="B90" s="118" t="s">
        <v>135</v>
      </c>
      <c r="C90" s="118" t="s">
        <v>136</v>
      </c>
      <c r="D90" s="118" t="s">
        <v>6</v>
      </c>
      <c r="E90" s="10">
        <v>75</v>
      </c>
      <c r="F90" s="118" t="s">
        <v>34</v>
      </c>
      <c r="G90" s="118"/>
      <c r="H90" s="118"/>
      <c r="I90" s="118"/>
      <c r="J90" s="119">
        <v>39874</v>
      </c>
      <c r="K90" s="27"/>
    </row>
    <row r="91" spans="1:11" s="7" customFormat="1">
      <c r="A91" s="108">
        <v>89</v>
      </c>
      <c r="B91" s="118" t="s">
        <v>137</v>
      </c>
      <c r="C91" s="27" t="s">
        <v>138</v>
      </c>
      <c r="D91" s="27" t="s">
        <v>6</v>
      </c>
      <c r="E91" s="123">
        <v>50</v>
      </c>
      <c r="F91" s="27" t="s">
        <v>34</v>
      </c>
      <c r="G91" s="27"/>
      <c r="H91" s="27"/>
      <c r="I91" s="27"/>
      <c r="J91" s="125"/>
      <c r="K91" s="27"/>
    </row>
    <row r="92" spans="1:11" s="7" customFormat="1">
      <c r="A92" s="117">
        <v>90</v>
      </c>
      <c r="B92" s="118" t="s">
        <v>139</v>
      </c>
      <c r="C92" s="27" t="s">
        <v>138</v>
      </c>
      <c r="D92" s="27" t="s">
        <v>6</v>
      </c>
      <c r="E92" s="123">
        <v>78</v>
      </c>
      <c r="F92" s="27" t="s">
        <v>34</v>
      </c>
      <c r="G92" s="27"/>
      <c r="H92" s="27"/>
      <c r="I92" s="27"/>
      <c r="J92" s="125"/>
      <c r="K92" s="27"/>
    </row>
    <row r="93" spans="1:11" s="7" customFormat="1">
      <c r="A93" s="108">
        <v>91</v>
      </c>
      <c r="B93" s="118" t="s">
        <v>140</v>
      </c>
      <c r="C93" s="27" t="s">
        <v>138</v>
      </c>
      <c r="D93" s="27" t="s">
        <v>6</v>
      </c>
      <c r="E93" s="123">
        <v>50</v>
      </c>
      <c r="F93" s="27" t="s">
        <v>34</v>
      </c>
      <c r="G93" s="27"/>
      <c r="H93" s="27"/>
      <c r="I93" s="27"/>
      <c r="J93" s="125"/>
      <c r="K93" s="27"/>
    </row>
    <row r="94" spans="1:11" s="7" customFormat="1">
      <c r="A94" s="117">
        <v>92</v>
      </c>
      <c r="B94" s="118" t="s">
        <v>141</v>
      </c>
      <c r="C94" s="27" t="s">
        <v>138</v>
      </c>
      <c r="D94" s="27" t="s">
        <v>6</v>
      </c>
      <c r="E94" s="123">
        <v>110</v>
      </c>
      <c r="F94" s="27" t="s">
        <v>34</v>
      </c>
      <c r="G94" s="27"/>
      <c r="H94" s="27"/>
      <c r="I94" s="27"/>
      <c r="J94" s="125"/>
      <c r="K94" s="27"/>
    </row>
    <row r="95" spans="1:11" s="7" customFormat="1">
      <c r="A95" s="108">
        <v>93</v>
      </c>
      <c r="B95" s="118" t="s">
        <v>1344</v>
      </c>
      <c r="C95" s="27" t="s">
        <v>138</v>
      </c>
      <c r="D95" s="27" t="s">
        <v>6</v>
      </c>
      <c r="E95" s="131">
        <v>53</v>
      </c>
      <c r="F95" s="27" t="s">
        <v>34</v>
      </c>
      <c r="G95" s="27"/>
      <c r="H95" s="27"/>
      <c r="I95" s="27"/>
      <c r="J95" s="125">
        <v>40286</v>
      </c>
      <c r="K95" s="27"/>
    </row>
    <row r="96" spans="1:11" s="7" customFormat="1">
      <c r="A96" s="117">
        <v>94</v>
      </c>
      <c r="B96" s="118" t="s">
        <v>142</v>
      </c>
      <c r="C96" s="27" t="s">
        <v>138</v>
      </c>
      <c r="D96" s="27" t="s">
        <v>6</v>
      </c>
      <c r="E96" s="123">
        <v>68</v>
      </c>
      <c r="F96" s="27" t="s">
        <v>34</v>
      </c>
      <c r="G96" s="27"/>
      <c r="H96" s="27"/>
      <c r="I96" s="27"/>
      <c r="J96" s="125"/>
      <c r="K96" s="27"/>
    </row>
    <row r="97" spans="1:11" s="7" customFormat="1">
      <c r="A97" s="108">
        <v>95</v>
      </c>
      <c r="B97" s="118" t="s">
        <v>143</v>
      </c>
      <c r="C97" s="27" t="s">
        <v>138</v>
      </c>
      <c r="D97" s="27" t="s">
        <v>6</v>
      </c>
      <c r="E97" s="123">
        <v>105</v>
      </c>
      <c r="F97" s="27" t="s">
        <v>34</v>
      </c>
      <c r="G97" s="27"/>
      <c r="H97" s="27"/>
      <c r="I97" s="27"/>
      <c r="J97" s="125"/>
      <c r="K97" s="27"/>
    </row>
    <row r="98" spans="1:11" s="7" customFormat="1">
      <c r="A98" s="117">
        <v>96</v>
      </c>
      <c r="B98" s="118" t="s">
        <v>144</v>
      </c>
      <c r="C98" s="27" t="s">
        <v>138</v>
      </c>
      <c r="D98" s="27" t="s">
        <v>6</v>
      </c>
      <c r="E98" s="123">
        <v>98</v>
      </c>
      <c r="F98" s="27" t="s">
        <v>34</v>
      </c>
      <c r="G98" s="27"/>
      <c r="H98" s="27"/>
      <c r="I98" s="27"/>
      <c r="J98" s="125"/>
      <c r="K98" s="27"/>
    </row>
    <row r="99" spans="1:11" s="7" customFormat="1">
      <c r="A99" s="108">
        <v>97</v>
      </c>
      <c r="B99" s="118" t="s">
        <v>145</v>
      </c>
      <c r="C99" s="27" t="s">
        <v>138</v>
      </c>
      <c r="D99" s="27" t="s">
        <v>6</v>
      </c>
      <c r="E99" s="123">
        <v>58</v>
      </c>
      <c r="F99" s="27" t="s">
        <v>34</v>
      </c>
      <c r="G99" s="27"/>
      <c r="H99" s="27"/>
      <c r="I99" s="27"/>
      <c r="J99" s="125"/>
      <c r="K99" s="27"/>
    </row>
    <row r="100" spans="1:11" s="7" customFormat="1">
      <c r="A100" s="117">
        <v>98</v>
      </c>
      <c r="B100" s="118" t="s">
        <v>146</v>
      </c>
      <c r="C100" s="27" t="s">
        <v>138</v>
      </c>
      <c r="D100" s="27" t="s">
        <v>6</v>
      </c>
      <c r="E100" s="123">
        <v>70</v>
      </c>
      <c r="F100" s="27" t="s">
        <v>34</v>
      </c>
      <c r="G100" s="27"/>
      <c r="H100" s="27"/>
      <c r="I100" s="27"/>
      <c r="J100" s="125"/>
      <c r="K100" s="27"/>
    </row>
    <row r="101" spans="1:11" s="7" customFormat="1">
      <c r="A101" s="108">
        <v>99</v>
      </c>
      <c r="B101" s="118" t="s">
        <v>147</v>
      </c>
      <c r="C101" s="27" t="s">
        <v>138</v>
      </c>
      <c r="D101" s="27" t="s">
        <v>6</v>
      </c>
      <c r="E101" s="123">
        <v>46</v>
      </c>
      <c r="F101" s="27" t="s">
        <v>34</v>
      </c>
      <c r="G101" s="27"/>
      <c r="H101" s="118"/>
      <c r="I101" s="118"/>
      <c r="J101" s="119"/>
      <c r="K101" s="27"/>
    </row>
    <row r="102" spans="1:11" s="7" customFormat="1">
      <c r="A102" s="117">
        <v>100</v>
      </c>
      <c r="B102" s="118" t="s">
        <v>1345</v>
      </c>
      <c r="C102" s="27" t="s">
        <v>1346</v>
      </c>
      <c r="D102" s="27" t="s">
        <v>6</v>
      </c>
      <c r="E102" s="123">
        <v>91</v>
      </c>
      <c r="F102" s="27" t="s">
        <v>34</v>
      </c>
      <c r="G102" s="27"/>
      <c r="H102" s="118"/>
      <c r="I102" s="118"/>
      <c r="J102" s="119">
        <v>40257</v>
      </c>
      <c r="K102" s="27"/>
    </row>
    <row r="103" spans="1:11" s="7" customFormat="1">
      <c r="A103" s="108">
        <v>101</v>
      </c>
      <c r="B103" s="118" t="s">
        <v>148</v>
      </c>
      <c r="C103" s="118" t="s">
        <v>31</v>
      </c>
      <c r="D103" s="118" t="s">
        <v>6</v>
      </c>
      <c r="E103" s="124">
        <v>0</v>
      </c>
      <c r="F103" s="118" t="s">
        <v>34</v>
      </c>
      <c r="G103" s="118"/>
      <c r="H103" s="118"/>
      <c r="I103" s="118"/>
      <c r="J103" s="119"/>
      <c r="K103" s="27"/>
    </row>
    <row r="104" spans="1:11" s="7" customFormat="1">
      <c r="A104" s="117">
        <v>102</v>
      </c>
      <c r="B104" s="118" t="s">
        <v>149</v>
      </c>
      <c r="C104" s="27" t="s">
        <v>31</v>
      </c>
      <c r="D104" s="27" t="s">
        <v>6</v>
      </c>
      <c r="E104" s="10">
        <v>8</v>
      </c>
      <c r="F104" s="27" t="s">
        <v>34</v>
      </c>
      <c r="G104" s="27"/>
      <c r="H104" s="27"/>
      <c r="I104" s="27"/>
      <c r="J104" s="125">
        <v>39880</v>
      </c>
      <c r="K104" s="27"/>
    </row>
    <row r="105" spans="1:11" s="7" customFormat="1">
      <c r="A105" s="108">
        <v>103</v>
      </c>
      <c r="B105" s="118" t="s">
        <v>150</v>
      </c>
      <c r="C105" s="27" t="s">
        <v>31</v>
      </c>
      <c r="D105" s="27" t="s">
        <v>6</v>
      </c>
      <c r="E105" s="132">
        <v>4.0000000000000002E-4</v>
      </c>
      <c r="F105" s="27" t="s">
        <v>151</v>
      </c>
      <c r="G105" s="27"/>
      <c r="H105" s="27"/>
      <c r="I105" s="27"/>
      <c r="J105" s="125"/>
      <c r="K105" s="27" t="s">
        <v>152</v>
      </c>
    </row>
    <row r="106" spans="1:11" s="7" customFormat="1">
      <c r="A106" s="117">
        <v>104</v>
      </c>
      <c r="B106" s="118" t="s">
        <v>153</v>
      </c>
      <c r="C106" s="27" t="s">
        <v>31</v>
      </c>
      <c r="D106" s="27" t="s">
        <v>6</v>
      </c>
      <c r="E106" s="132">
        <v>1.1999999999999999E-3</v>
      </c>
      <c r="F106" s="27" t="s">
        <v>151</v>
      </c>
      <c r="G106" s="27"/>
      <c r="H106" s="27"/>
      <c r="I106" s="27"/>
      <c r="J106" s="125"/>
      <c r="K106" s="27" t="s">
        <v>154</v>
      </c>
    </row>
    <row r="107" spans="1:11" s="7" customFormat="1">
      <c r="A107" s="108">
        <v>105</v>
      </c>
      <c r="B107" s="118" t="s">
        <v>155</v>
      </c>
      <c r="C107" s="27" t="s">
        <v>31</v>
      </c>
      <c r="D107" s="27" t="s">
        <v>6</v>
      </c>
      <c r="E107" s="132">
        <v>2.0000000000000001E-4</v>
      </c>
      <c r="F107" s="27" t="s">
        <v>151</v>
      </c>
      <c r="G107" s="27"/>
      <c r="H107" s="27"/>
      <c r="I107" s="27"/>
      <c r="J107" s="125"/>
      <c r="K107" s="27" t="s">
        <v>156</v>
      </c>
    </row>
    <row r="108" spans="1:11" s="7" customFormat="1">
      <c r="A108" s="117">
        <v>106</v>
      </c>
      <c r="B108" s="118" t="s">
        <v>157</v>
      </c>
      <c r="C108" s="27" t="s">
        <v>31</v>
      </c>
      <c r="D108" s="27" t="s">
        <v>6</v>
      </c>
      <c r="E108" s="124">
        <v>0</v>
      </c>
      <c r="F108" s="27" t="s">
        <v>34</v>
      </c>
      <c r="G108" s="27"/>
      <c r="H108" s="27"/>
      <c r="I108" s="27"/>
      <c r="J108" s="125"/>
      <c r="K108" s="27" t="s">
        <v>158</v>
      </c>
    </row>
    <row r="109" spans="1:11" s="7" customFormat="1">
      <c r="A109" s="108">
        <v>107</v>
      </c>
      <c r="B109" s="118" t="s">
        <v>159</v>
      </c>
      <c r="C109" s="118"/>
      <c r="D109" s="118" t="s">
        <v>6</v>
      </c>
      <c r="E109" s="124">
        <v>43</v>
      </c>
      <c r="F109" s="118" t="s">
        <v>34</v>
      </c>
      <c r="G109" s="118"/>
      <c r="H109" s="118"/>
      <c r="I109" s="118"/>
      <c r="J109" s="119">
        <v>39873</v>
      </c>
      <c r="K109" s="27"/>
    </row>
    <row r="110" spans="1:11" s="7" customFormat="1">
      <c r="A110" s="117">
        <v>108</v>
      </c>
      <c r="B110" s="118" t="s">
        <v>160</v>
      </c>
      <c r="C110" s="27" t="s">
        <v>85</v>
      </c>
      <c r="D110" s="27" t="s">
        <v>6</v>
      </c>
      <c r="E110" s="123">
        <v>81.5</v>
      </c>
      <c r="F110" s="27" t="s">
        <v>34</v>
      </c>
      <c r="G110" s="27"/>
      <c r="H110" s="27"/>
      <c r="I110" s="27"/>
      <c r="J110" s="125"/>
      <c r="K110" s="27"/>
    </row>
    <row r="111" spans="1:11" s="7" customFormat="1">
      <c r="A111" s="108">
        <v>109</v>
      </c>
      <c r="B111" s="118" t="s">
        <v>161</v>
      </c>
      <c r="C111" s="27" t="s">
        <v>85</v>
      </c>
      <c r="D111" s="27" t="s">
        <v>6</v>
      </c>
      <c r="E111" s="123">
        <v>97</v>
      </c>
      <c r="F111" s="27" t="s">
        <v>34</v>
      </c>
      <c r="G111" s="27"/>
      <c r="H111" s="27"/>
      <c r="I111" s="27"/>
      <c r="J111" s="125">
        <v>39922</v>
      </c>
      <c r="K111" s="27"/>
    </row>
    <row r="112" spans="1:11" s="7" customFormat="1">
      <c r="A112" s="117">
        <v>110</v>
      </c>
      <c r="B112" s="118" t="s">
        <v>162</v>
      </c>
      <c r="C112" s="27" t="s">
        <v>85</v>
      </c>
      <c r="D112" s="27" t="s">
        <v>6</v>
      </c>
      <c r="E112" s="123">
        <v>117.5</v>
      </c>
      <c r="F112" s="27" t="s">
        <v>34</v>
      </c>
      <c r="G112" s="27"/>
      <c r="H112" s="27"/>
      <c r="I112" s="27"/>
      <c r="J112" s="125"/>
      <c r="K112" s="27"/>
    </row>
    <row r="113" spans="1:11" s="7" customFormat="1">
      <c r="A113" s="108">
        <v>111</v>
      </c>
      <c r="B113" s="118" t="s">
        <v>1347</v>
      </c>
      <c r="C113" s="27" t="s">
        <v>85</v>
      </c>
      <c r="D113" s="27" t="s">
        <v>6</v>
      </c>
      <c r="E113" s="123">
        <v>68.5</v>
      </c>
      <c r="F113" s="27" t="s">
        <v>34</v>
      </c>
      <c r="G113" s="27"/>
      <c r="H113" s="27"/>
      <c r="I113" s="27"/>
      <c r="J113" s="125">
        <v>40307</v>
      </c>
      <c r="K113" s="27"/>
    </row>
    <row r="114" spans="1:11" s="7" customFormat="1">
      <c r="A114" s="117">
        <v>112</v>
      </c>
      <c r="B114" s="118" t="s">
        <v>163</v>
      </c>
      <c r="C114" s="27" t="s">
        <v>85</v>
      </c>
      <c r="D114" s="27" t="s">
        <v>6</v>
      </c>
      <c r="E114" s="123">
        <v>203.5</v>
      </c>
      <c r="F114" s="27" t="s">
        <v>34</v>
      </c>
      <c r="G114" s="27"/>
      <c r="H114" s="27"/>
      <c r="I114" s="27"/>
      <c r="J114" s="125"/>
      <c r="K114" s="27"/>
    </row>
    <row r="115" spans="1:11" s="7" customFormat="1">
      <c r="A115" s="108">
        <v>113</v>
      </c>
      <c r="B115" s="118" t="s">
        <v>164</v>
      </c>
      <c r="C115" s="27" t="s">
        <v>85</v>
      </c>
      <c r="D115" s="27" t="s">
        <v>6</v>
      </c>
      <c r="E115" s="123">
        <v>260</v>
      </c>
      <c r="F115" s="27" t="s">
        <v>34</v>
      </c>
      <c r="G115" s="27"/>
      <c r="H115" s="27"/>
      <c r="I115" s="27"/>
      <c r="J115" s="125"/>
      <c r="K115" s="27"/>
    </row>
    <row r="116" spans="1:11" s="7" customFormat="1">
      <c r="A116" s="117">
        <v>114</v>
      </c>
      <c r="B116" s="118" t="s">
        <v>165</v>
      </c>
      <c r="C116" s="27" t="s">
        <v>85</v>
      </c>
      <c r="D116" s="27" t="s">
        <v>6</v>
      </c>
      <c r="E116" s="123">
        <v>203.5</v>
      </c>
      <c r="F116" s="27" t="s">
        <v>34</v>
      </c>
      <c r="G116" s="27"/>
      <c r="H116" s="27"/>
      <c r="I116" s="27"/>
      <c r="J116" s="125"/>
      <c r="K116" s="27"/>
    </row>
    <row r="117" spans="1:11" s="7" customFormat="1">
      <c r="A117" s="108">
        <v>115</v>
      </c>
      <c r="B117" s="118" t="s">
        <v>1348</v>
      </c>
      <c r="C117" s="27" t="s">
        <v>85</v>
      </c>
      <c r="D117" s="27" t="s">
        <v>6</v>
      </c>
      <c r="E117" s="123">
        <v>174.5</v>
      </c>
      <c r="F117" s="27" t="s">
        <v>34</v>
      </c>
      <c r="G117" s="27"/>
      <c r="H117" s="27"/>
      <c r="I117" s="27"/>
      <c r="J117" s="125">
        <v>40321</v>
      </c>
      <c r="K117" s="27"/>
    </row>
    <row r="118" spans="1:11" s="7" customFormat="1">
      <c r="A118" s="117">
        <v>116</v>
      </c>
      <c r="B118" s="118" t="s">
        <v>1349</v>
      </c>
      <c r="C118" s="27" t="s">
        <v>1350</v>
      </c>
      <c r="D118" s="27" t="s">
        <v>6</v>
      </c>
      <c r="E118" s="123">
        <v>45</v>
      </c>
      <c r="F118" s="27" t="s">
        <v>34</v>
      </c>
      <c r="G118" s="27"/>
      <c r="H118" s="27"/>
      <c r="I118" s="27"/>
      <c r="J118" s="125">
        <v>40238</v>
      </c>
      <c r="K118" s="27"/>
    </row>
    <row r="119" spans="1:11" s="7" customFormat="1">
      <c r="A119" s="108">
        <v>117</v>
      </c>
      <c r="B119" s="118" t="s">
        <v>166</v>
      </c>
      <c r="C119" s="118" t="s">
        <v>103</v>
      </c>
      <c r="D119" s="118" t="s">
        <v>6</v>
      </c>
      <c r="E119" s="124">
        <v>26</v>
      </c>
      <c r="F119" s="118" t="s">
        <v>167</v>
      </c>
      <c r="G119" s="118"/>
      <c r="H119" s="118"/>
      <c r="I119" s="118"/>
      <c r="J119" s="119"/>
      <c r="K119" s="118"/>
    </row>
    <row r="120" spans="1:11" s="7" customFormat="1">
      <c r="A120" s="117">
        <v>118</v>
      </c>
      <c r="B120" s="118" t="s">
        <v>1351</v>
      </c>
      <c r="C120" s="118" t="s">
        <v>103</v>
      </c>
      <c r="D120" s="118" t="s">
        <v>6</v>
      </c>
      <c r="E120" s="124">
        <v>26</v>
      </c>
      <c r="F120" s="118" t="s">
        <v>167</v>
      </c>
      <c r="G120" s="118"/>
      <c r="H120" s="118"/>
      <c r="I120" s="118"/>
      <c r="J120" s="119">
        <v>39965</v>
      </c>
      <c r="K120" s="118"/>
    </row>
    <row r="121" spans="1:11" s="7" customFormat="1">
      <c r="A121" s="108">
        <v>119</v>
      </c>
      <c r="B121" s="118" t="s">
        <v>168</v>
      </c>
      <c r="C121" s="118" t="s">
        <v>103</v>
      </c>
      <c r="D121" s="118" t="s">
        <v>6</v>
      </c>
      <c r="E121" s="124">
        <v>46.5</v>
      </c>
      <c r="F121" s="118" t="s">
        <v>167</v>
      </c>
      <c r="G121" s="118"/>
      <c r="H121" s="118"/>
      <c r="I121" s="118"/>
      <c r="J121" s="119"/>
      <c r="K121" s="27"/>
    </row>
    <row r="122" spans="1:11" s="7" customFormat="1" ht="30">
      <c r="A122" s="117">
        <v>120</v>
      </c>
      <c r="B122" s="118" t="s">
        <v>1352</v>
      </c>
      <c r="C122" s="118" t="s">
        <v>103</v>
      </c>
      <c r="D122" s="118" t="s">
        <v>6</v>
      </c>
      <c r="E122" s="124">
        <v>205</v>
      </c>
      <c r="F122" s="118" t="s">
        <v>167</v>
      </c>
      <c r="G122" s="118"/>
      <c r="H122" s="118"/>
      <c r="I122" s="118"/>
      <c r="J122" s="119">
        <v>39972</v>
      </c>
      <c r="K122" s="27"/>
    </row>
    <row r="123" spans="1:11" s="7" customFormat="1">
      <c r="A123" s="108">
        <v>121</v>
      </c>
      <c r="B123" s="118" t="s">
        <v>169</v>
      </c>
      <c r="C123" s="118" t="s">
        <v>103</v>
      </c>
      <c r="D123" s="118" t="s">
        <v>6</v>
      </c>
      <c r="E123" s="133">
        <v>317</v>
      </c>
      <c r="F123" s="118" t="s">
        <v>34</v>
      </c>
      <c r="G123" s="118"/>
      <c r="H123" s="118"/>
      <c r="I123" s="118"/>
      <c r="J123" s="119">
        <v>39901</v>
      </c>
      <c r="K123" s="27" t="s">
        <v>170</v>
      </c>
    </row>
    <row r="124" spans="1:11" s="7" customFormat="1">
      <c r="A124" s="117">
        <v>122</v>
      </c>
      <c r="B124" s="118" t="s">
        <v>171</v>
      </c>
      <c r="C124" s="118" t="s">
        <v>103</v>
      </c>
      <c r="D124" s="118" t="s">
        <v>6</v>
      </c>
      <c r="E124" s="133">
        <v>167.5</v>
      </c>
      <c r="F124" s="118" t="s">
        <v>34</v>
      </c>
      <c r="G124" s="118"/>
      <c r="H124" s="118"/>
      <c r="I124" s="118"/>
      <c r="J124" s="119">
        <v>39901</v>
      </c>
      <c r="K124" s="27" t="s">
        <v>172</v>
      </c>
    </row>
    <row r="125" spans="1:11" s="7" customFormat="1">
      <c r="A125" s="108">
        <v>123</v>
      </c>
      <c r="B125" s="118" t="s">
        <v>173</v>
      </c>
      <c r="C125" s="118" t="s">
        <v>103</v>
      </c>
      <c r="D125" s="118" t="s">
        <v>6</v>
      </c>
      <c r="E125" s="133">
        <v>193</v>
      </c>
      <c r="F125" s="118" t="s">
        <v>34</v>
      </c>
      <c r="G125" s="118"/>
      <c r="H125" s="118"/>
      <c r="I125" s="118"/>
      <c r="J125" s="119">
        <v>39901</v>
      </c>
      <c r="K125" s="27" t="s">
        <v>174</v>
      </c>
    </row>
    <row r="126" spans="1:11" s="7" customFormat="1">
      <c r="A126" s="117">
        <v>124</v>
      </c>
      <c r="B126" s="118" t="s">
        <v>175</v>
      </c>
      <c r="C126" s="118" t="s">
        <v>176</v>
      </c>
      <c r="D126" s="118" t="s">
        <v>6</v>
      </c>
      <c r="E126" s="124">
        <v>51</v>
      </c>
      <c r="F126" s="118" t="s">
        <v>34</v>
      </c>
      <c r="G126" s="118"/>
      <c r="H126" s="118"/>
      <c r="I126" s="118"/>
      <c r="J126" s="119">
        <v>39873</v>
      </c>
      <c r="K126" s="27"/>
    </row>
    <row r="127" spans="1:11" s="7" customFormat="1">
      <c r="A127" s="108">
        <v>125</v>
      </c>
      <c r="B127" s="118" t="s">
        <v>177</v>
      </c>
      <c r="C127" s="27" t="s">
        <v>178</v>
      </c>
      <c r="D127" s="27" t="s">
        <v>6</v>
      </c>
      <c r="E127" s="124">
        <v>44</v>
      </c>
      <c r="F127" s="27" t="s">
        <v>34</v>
      </c>
      <c r="G127" s="27"/>
      <c r="H127" s="27"/>
      <c r="I127" s="27"/>
      <c r="J127" s="125">
        <v>40028</v>
      </c>
      <c r="K127" s="27"/>
    </row>
    <row r="128" spans="1:11" s="7" customFormat="1">
      <c r="A128" s="117">
        <v>126</v>
      </c>
      <c r="B128" s="118" t="s">
        <v>1353</v>
      </c>
      <c r="C128" s="27" t="s">
        <v>1354</v>
      </c>
      <c r="D128" s="27" t="s">
        <v>6</v>
      </c>
      <c r="E128" s="124">
        <v>127.2</v>
      </c>
      <c r="F128" s="27" t="s">
        <v>34</v>
      </c>
      <c r="G128" s="27"/>
      <c r="H128" s="27"/>
      <c r="I128" s="27"/>
      <c r="J128" s="125">
        <v>40286</v>
      </c>
      <c r="K128" s="27"/>
    </row>
    <row r="129" spans="1:11" s="7" customFormat="1">
      <c r="A129" s="108">
        <v>127</v>
      </c>
      <c r="B129" s="118" t="s">
        <v>1355</v>
      </c>
      <c r="C129" s="27" t="s">
        <v>1356</v>
      </c>
      <c r="D129" s="27" t="s">
        <v>6</v>
      </c>
      <c r="E129" s="124">
        <v>28</v>
      </c>
      <c r="F129" s="27" t="s">
        <v>34</v>
      </c>
      <c r="G129" s="27"/>
      <c r="H129" s="27"/>
      <c r="I129" s="27"/>
      <c r="J129" s="125">
        <v>40257</v>
      </c>
      <c r="K129" s="27"/>
    </row>
    <row r="130" spans="1:11" s="7" customFormat="1">
      <c r="A130" s="117">
        <v>128</v>
      </c>
      <c r="B130" s="118" t="s">
        <v>1357</v>
      </c>
      <c r="C130" s="27" t="s">
        <v>118</v>
      </c>
      <c r="D130" s="27" t="s">
        <v>6</v>
      </c>
      <c r="E130" s="124">
        <v>81</v>
      </c>
      <c r="F130" s="27" t="s">
        <v>34</v>
      </c>
      <c r="G130" s="27"/>
      <c r="H130" s="27"/>
      <c r="I130" s="27"/>
      <c r="J130" s="125">
        <v>40286</v>
      </c>
      <c r="K130" s="27"/>
    </row>
    <row r="131" spans="1:11" s="7" customFormat="1">
      <c r="A131" s="108">
        <v>129</v>
      </c>
      <c r="B131" s="118" t="s">
        <v>1358</v>
      </c>
      <c r="C131" s="27" t="s">
        <v>1339</v>
      </c>
      <c r="D131" s="27" t="s">
        <v>6</v>
      </c>
      <c r="E131" s="124">
        <v>55</v>
      </c>
      <c r="F131" s="27" t="s">
        <v>34</v>
      </c>
      <c r="G131" s="27"/>
      <c r="H131" s="27"/>
      <c r="I131" s="27"/>
      <c r="J131" s="125">
        <v>40257</v>
      </c>
      <c r="K131" s="27"/>
    </row>
    <row r="132" spans="1:11" s="7" customFormat="1">
      <c r="A132" s="117">
        <v>130</v>
      </c>
      <c r="B132" s="118" t="s">
        <v>1359</v>
      </c>
      <c r="C132" s="27" t="s">
        <v>1339</v>
      </c>
      <c r="D132" s="27" t="s">
        <v>6</v>
      </c>
      <c r="E132" s="124">
        <v>222.5</v>
      </c>
      <c r="F132" s="27" t="s">
        <v>34</v>
      </c>
      <c r="G132" s="27"/>
      <c r="H132" s="27"/>
      <c r="I132" s="27"/>
      <c r="J132" s="125">
        <v>40257</v>
      </c>
      <c r="K132" s="27"/>
    </row>
    <row r="133" spans="1:11" s="7" customFormat="1">
      <c r="A133" s="108">
        <v>131</v>
      </c>
      <c r="B133" s="118" t="s">
        <v>1360</v>
      </c>
      <c r="C133" s="27" t="s">
        <v>1339</v>
      </c>
      <c r="D133" s="27" t="s">
        <v>6</v>
      </c>
      <c r="E133" s="124">
        <v>222.5</v>
      </c>
      <c r="F133" s="27" t="s">
        <v>34</v>
      </c>
      <c r="G133" s="27"/>
      <c r="H133" s="27"/>
      <c r="I133" s="27"/>
      <c r="J133" s="125">
        <v>40257</v>
      </c>
      <c r="K133" s="27"/>
    </row>
    <row r="134" spans="1:11" s="7" customFormat="1">
      <c r="A134" s="117">
        <v>132</v>
      </c>
      <c r="B134" s="118" t="s">
        <v>179</v>
      </c>
      <c r="C134" s="27" t="s">
        <v>180</v>
      </c>
      <c r="D134" s="27" t="s">
        <v>6</v>
      </c>
      <c r="E134" s="124">
        <v>32.5</v>
      </c>
      <c r="F134" s="27"/>
      <c r="G134" s="27"/>
      <c r="H134" s="27"/>
      <c r="I134" s="27"/>
      <c r="J134" s="125">
        <v>39898</v>
      </c>
      <c r="K134" s="27"/>
    </row>
    <row r="135" spans="1:11" s="7" customFormat="1">
      <c r="A135" s="108">
        <v>133</v>
      </c>
      <c r="B135" s="118" t="s">
        <v>181</v>
      </c>
      <c r="C135" s="128" t="s">
        <v>122</v>
      </c>
      <c r="D135" s="27" t="s">
        <v>6</v>
      </c>
      <c r="E135" s="129">
        <v>55</v>
      </c>
      <c r="F135" s="27"/>
      <c r="G135" s="27"/>
      <c r="H135" s="27"/>
      <c r="I135" s="27"/>
      <c r="J135" s="125"/>
      <c r="K135" s="27"/>
    </row>
    <row r="136" spans="1:11" s="7" customFormat="1">
      <c r="A136" s="117">
        <v>134</v>
      </c>
      <c r="B136" s="118" t="s">
        <v>182</v>
      </c>
      <c r="C136" s="128" t="s">
        <v>122</v>
      </c>
      <c r="D136" s="27" t="s">
        <v>6</v>
      </c>
      <c r="E136" s="129">
        <v>57</v>
      </c>
      <c r="F136" s="27"/>
      <c r="G136" s="27"/>
      <c r="H136" s="27"/>
      <c r="I136" s="27"/>
      <c r="J136" s="125"/>
      <c r="K136" s="27"/>
    </row>
    <row r="137" spans="1:11" s="7" customFormat="1">
      <c r="A137" s="108">
        <v>135</v>
      </c>
      <c r="B137" s="118" t="s">
        <v>183</v>
      </c>
      <c r="C137" s="118" t="s">
        <v>122</v>
      </c>
      <c r="D137" s="118" t="s">
        <v>6</v>
      </c>
      <c r="E137" s="124">
        <v>55</v>
      </c>
      <c r="F137" s="118" t="s">
        <v>34</v>
      </c>
      <c r="G137" s="118"/>
      <c r="H137" s="118"/>
      <c r="I137" s="118"/>
      <c r="J137" s="119">
        <v>39873</v>
      </c>
      <c r="K137" s="27"/>
    </row>
    <row r="138" spans="1:11" s="7" customFormat="1">
      <c r="A138" s="117">
        <v>136</v>
      </c>
      <c r="B138" s="118" t="s">
        <v>184</v>
      </c>
      <c r="C138" s="118" t="s">
        <v>65</v>
      </c>
      <c r="D138" s="118" t="s">
        <v>6</v>
      </c>
      <c r="E138" s="134">
        <v>0</v>
      </c>
      <c r="F138" s="118" t="s">
        <v>34</v>
      </c>
      <c r="G138" s="118"/>
      <c r="H138" s="118"/>
      <c r="I138" s="118"/>
      <c r="J138" s="119"/>
      <c r="K138" s="118"/>
    </row>
    <row r="139" spans="1:11" s="7" customFormat="1">
      <c r="A139" s="108">
        <v>137</v>
      </c>
      <c r="B139" s="118" t="s">
        <v>1361</v>
      </c>
      <c r="C139" s="118" t="s">
        <v>1362</v>
      </c>
      <c r="D139" s="118" t="s">
        <v>6</v>
      </c>
      <c r="E139" s="134">
        <v>65</v>
      </c>
      <c r="F139" s="118" t="s">
        <v>34</v>
      </c>
      <c r="G139" s="118"/>
      <c r="H139" s="118"/>
      <c r="I139" s="118"/>
      <c r="J139" s="119">
        <v>40321</v>
      </c>
      <c r="K139" s="118"/>
    </row>
    <row r="140" spans="1:11" s="7" customFormat="1">
      <c r="A140" s="117">
        <v>138</v>
      </c>
      <c r="B140" s="118" t="s">
        <v>185</v>
      </c>
      <c r="C140" s="118" t="s">
        <v>81</v>
      </c>
      <c r="D140" s="118" t="s">
        <v>6</v>
      </c>
      <c r="E140" s="134">
        <v>27.5</v>
      </c>
      <c r="F140" s="118" t="s">
        <v>34</v>
      </c>
      <c r="G140" s="118"/>
      <c r="H140" s="118"/>
      <c r="I140" s="118"/>
      <c r="J140" s="119"/>
      <c r="K140" s="118"/>
    </row>
    <row r="141" spans="1:11" s="7" customFormat="1">
      <c r="A141" s="108">
        <v>139</v>
      </c>
      <c r="B141" s="118" t="s">
        <v>186</v>
      </c>
      <c r="C141" s="118" t="s">
        <v>81</v>
      </c>
      <c r="D141" s="118" t="s">
        <v>6</v>
      </c>
      <c r="E141" s="134">
        <v>39.5</v>
      </c>
      <c r="F141" s="118" t="s">
        <v>34</v>
      </c>
      <c r="G141" s="118"/>
      <c r="H141" s="118"/>
      <c r="I141" s="118"/>
      <c r="J141" s="119"/>
      <c r="K141" s="118"/>
    </row>
    <row r="142" spans="1:11" s="7" customFormat="1">
      <c r="A142" s="117">
        <v>140</v>
      </c>
      <c r="B142" s="118" t="s">
        <v>187</v>
      </c>
      <c r="C142" s="118" t="s">
        <v>81</v>
      </c>
      <c r="D142" s="118" t="s">
        <v>6</v>
      </c>
      <c r="E142" s="134">
        <v>49.5</v>
      </c>
      <c r="F142" s="118" t="s">
        <v>34</v>
      </c>
      <c r="G142" s="118"/>
      <c r="H142" s="118"/>
      <c r="I142" s="118"/>
      <c r="J142" s="119"/>
      <c r="K142" s="118"/>
    </row>
    <row r="143" spans="1:11" s="7" customFormat="1">
      <c r="A143" s="108">
        <v>141</v>
      </c>
      <c r="B143" s="118" t="s">
        <v>188</v>
      </c>
      <c r="C143" s="118" t="s">
        <v>81</v>
      </c>
      <c r="D143" s="118" t="s">
        <v>6</v>
      </c>
      <c r="E143" s="134">
        <v>62.5</v>
      </c>
      <c r="F143" s="118" t="s">
        <v>34</v>
      </c>
      <c r="G143" s="118"/>
      <c r="H143" s="118"/>
      <c r="I143" s="118"/>
      <c r="J143" s="119"/>
      <c r="K143" s="118"/>
    </row>
    <row r="144" spans="1:11" s="7" customFormat="1">
      <c r="A144" s="117">
        <v>142</v>
      </c>
      <c r="B144" s="118" t="s">
        <v>189</v>
      </c>
      <c r="C144" s="118" t="s">
        <v>81</v>
      </c>
      <c r="D144" s="118" t="s">
        <v>6</v>
      </c>
      <c r="E144" s="134">
        <v>197.5</v>
      </c>
      <c r="F144" s="118" t="s">
        <v>34</v>
      </c>
      <c r="G144" s="118"/>
      <c r="H144" s="118"/>
      <c r="I144" s="118"/>
      <c r="J144" s="119"/>
      <c r="K144" s="118"/>
    </row>
    <row r="145" spans="1:11" s="7" customFormat="1">
      <c r="A145" s="108">
        <v>143</v>
      </c>
      <c r="B145" s="118" t="s">
        <v>1363</v>
      </c>
      <c r="C145" s="118" t="s">
        <v>1364</v>
      </c>
      <c r="D145" s="118" t="s">
        <v>6</v>
      </c>
      <c r="E145" s="134">
        <v>30.5</v>
      </c>
      <c r="F145" s="118" t="s">
        <v>34</v>
      </c>
      <c r="G145" s="118"/>
      <c r="H145" s="118"/>
      <c r="I145" s="118"/>
      <c r="J145" s="119">
        <v>40321</v>
      </c>
      <c r="K145" s="118"/>
    </row>
    <row r="146" spans="1:11" s="7" customFormat="1">
      <c r="A146" s="117">
        <v>144</v>
      </c>
      <c r="B146" s="118" t="s">
        <v>1365</v>
      </c>
      <c r="C146" s="118" t="s">
        <v>138</v>
      </c>
      <c r="D146" s="118" t="s">
        <v>6</v>
      </c>
      <c r="E146" s="124">
        <v>27</v>
      </c>
      <c r="F146" s="118" t="s">
        <v>34</v>
      </c>
      <c r="G146" s="118"/>
      <c r="H146" s="118"/>
      <c r="I146" s="118"/>
      <c r="J146" s="119">
        <v>40238</v>
      </c>
      <c r="K146" s="118"/>
    </row>
    <row r="147" spans="1:11" s="7" customFormat="1">
      <c r="A147" s="108">
        <v>145</v>
      </c>
      <c r="B147" s="118" t="s">
        <v>190</v>
      </c>
      <c r="C147" s="118" t="s">
        <v>138</v>
      </c>
      <c r="D147" s="118" t="s">
        <v>6</v>
      </c>
      <c r="E147" s="124">
        <v>27</v>
      </c>
      <c r="F147" s="118" t="s">
        <v>34</v>
      </c>
      <c r="G147" s="118"/>
      <c r="H147" s="118"/>
      <c r="I147" s="118"/>
      <c r="J147" s="119">
        <v>39934</v>
      </c>
      <c r="K147" s="27"/>
    </row>
    <row r="148" spans="1:11" s="7" customFormat="1">
      <c r="A148" s="117">
        <v>146</v>
      </c>
      <c r="B148" s="118" t="s">
        <v>191</v>
      </c>
      <c r="C148" s="118" t="s">
        <v>138</v>
      </c>
      <c r="D148" s="118" t="s">
        <v>6</v>
      </c>
      <c r="E148" s="124">
        <v>39.4</v>
      </c>
      <c r="F148" s="118" t="s">
        <v>34</v>
      </c>
      <c r="G148" s="118"/>
      <c r="H148" s="118"/>
      <c r="I148" s="118"/>
      <c r="J148" s="119">
        <v>39868</v>
      </c>
      <c r="K148" s="27"/>
    </row>
    <row r="149" spans="1:11" s="7" customFormat="1">
      <c r="A149" s="108">
        <v>147</v>
      </c>
      <c r="B149" s="118" t="s">
        <v>1366</v>
      </c>
      <c r="C149" s="118" t="s">
        <v>138</v>
      </c>
      <c r="D149" s="118" t="s">
        <v>6</v>
      </c>
      <c r="E149" s="124">
        <v>26</v>
      </c>
      <c r="F149" s="118" t="s">
        <v>34</v>
      </c>
      <c r="G149" s="118"/>
      <c r="H149" s="118"/>
      <c r="I149" s="118"/>
      <c r="J149" s="119">
        <v>40257</v>
      </c>
      <c r="K149" s="27"/>
    </row>
    <row r="150" spans="1:11" s="7" customFormat="1">
      <c r="A150" s="117">
        <v>148</v>
      </c>
      <c r="B150" s="118" t="s">
        <v>1367</v>
      </c>
      <c r="C150" s="118" t="s">
        <v>138</v>
      </c>
      <c r="D150" s="118" t="s">
        <v>6</v>
      </c>
      <c r="E150" s="124">
        <v>43</v>
      </c>
      <c r="F150" s="118" t="s">
        <v>34</v>
      </c>
      <c r="G150" s="118"/>
      <c r="H150" s="118"/>
      <c r="I150" s="118"/>
      <c r="J150" s="119">
        <v>40238</v>
      </c>
      <c r="K150" s="27"/>
    </row>
    <row r="151" spans="1:11" s="7" customFormat="1">
      <c r="A151" s="108">
        <v>149</v>
      </c>
      <c r="B151" s="118" t="s">
        <v>192</v>
      </c>
      <c r="C151" s="27" t="s">
        <v>31</v>
      </c>
      <c r="D151" s="27" t="s">
        <v>6</v>
      </c>
      <c r="E151" s="135">
        <v>35</v>
      </c>
      <c r="F151" s="27" t="s">
        <v>34</v>
      </c>
      <c r="G151" s="27"/>
      <c r="H151" s="27"/>
      <c r="I151" s="27"/>
      <c r="J151" s="125"/>
      <c r="K151" s="27"/>
    </row>
    <row r="152" spans="1:11" s="7" customFormat="1">
      <c r="A152" s="117">
        <v>150</v>
      </c>
      <c r="B152" s="118" t="s">
        <v>193</v>
      </c>
      <c r="C152" s="118" t="s">
        <v>81</v>
      </c>
      <c r="D152" s="118" t="s">
        <v>6</v>
      </c>
      <c r="E152" s="134">
        <v>49.5</v>
      </c>
      <c r="F152" s="118" t="s">
        <v>34</v>
      </c>
      <c r="G152" s="118"/>
      <c r="H152" s="118"/>
      <c r="I152" s="118"/>
      <c r="J152" s="119"/>
      <c r="K152" s="118"/>
    </row>
    <row r="153" spans="1:11" s="7" customFormat="1">
      <c r="A153" s="108">
        <v>151</v>
      </c>
      <c r="B153" s="118" t="s">
        <v>194</v>
      </c>
      <c r="C153" s="118" t="s">
        <v>81</v>
      </c>
      <c r="D153" s="118" t="s">
        <v>6</v>
      </c>
      <c r="E153" s="134">
        <v>49.5</v>
      </c>
      <c r="F153" s="118" t="s">
        <v>34</v>
      </c>
      <c r="G153" s="118"/>
      <c r="H153" s="118"/>
      <c r="I153" s="118"/>
      <c r="J153" s="119"/>
      <c r="K153" s="118"/>
    </row>
    <row r="154" spans="1:11" s="7" customFormat="1">
      <c r="A154" s="117">
        <v>152</v>
      </c>
      <c r="B154" s="118" t="s">
        <v>195</v>
      </c>
      <c r="C154" s="118" t="s">
        <v>81</v>
      </c>
      <c r="D154" s="118" t="s">
        <v>6</v>
      </c>
      <c r="E154" s="134">
        <v>49.5</v>
      </c>
      <c r="F154" s="118" t="s">
        <v>34</v>
      </c>
      <c r="G154" s="118"/>
      <c r="H154" s="118"/>
      <c r="I154" s="118"/>
      <c r="J154" s="119"/>
      <c r="K154" s="118"/>
    </row>
    <row r="155" spans="1:11" s="7" customFormat="1">
      <c r="A155" s="108">
        <v>153</v>
      </c>
      <c r="B155" s="118" t="s">
        <v>196</v>
      </c>
      <c r="C155" s="118" t="s">
        <v>81</v>
      </c>
      <c r="D155" s="118" t="s">
        <v>6</v>
      </c>
      <c r="E155" s="134">
        <v>49.5</v>
      </c>
      <c r="F155" s="118" t="s">
        <v>34</v>
      </c>
      <c r="G155" s="118"/>
      <c r="H155" s="118"/>
      <c r="I155" s="118"/>
      <c r="J155" s="119"/>
      <c r="K155" s="118"/>
    </row>
    <row r="156" spans="1:11" s="7" customFormat="1">
      <c r="A156" s="117">
        <v>154</v>
      </c>
      <c r="B156" s="118" t="s">
        <v>197</v>
      </c>
      <c r="C156" s="118" t="s">
        <v>81</v>
      </c>
      <c r="D156" s="118" t="s">
        <v>6</v>
      </c>
      <c r="E156" s="123">
        <v>97.5</v>
      </c>
      <c r="F156" s="118" t="s">
        <v>34</v>
      </c>
      <c r="G156" s="118"/>
      <c r="H156" s="118"/>
      <c r="I156" s="118"/>
      <c r="J156" s="119">
        <v>39886</v>
      </c>
      <c r="K156" s="27"/>
    </row>
    <row r="157" spans="1:11" s="7" customFormat="1">
      <c r="A157" s="108">
        <v>155</v>
      </c>
      <c r="B157" s="118" t="s">
        <v>198</v>
      </c>
      <c r="C157" s="118" t="s">
        <v>81</v>
      </c>
      <c r="D157" s="118" t="s">
        <v>6</v>
      </c>
      <c r="E157" s="123">
        <v>33.25</v>
      </c>
      <c r="F157" s="118" t="s">
        <v>34</v>
      </c>
      <c r="G157" s="118"/>
      <c r="H157" s="118"/>
      <c r="I157" s="118"/>
      <c r="J157" s="119"/>
      <c r="K157" s="27"/>
    </row>
    <row r="158" spans="1:11" s="7" customFormat="1">
      <c r="A158" s="117">
        <v>156</v>
      </c>
      <c r="B158" s="118" t="s">
        <v>199</v>
      </c>
      <c r="C158" s="27" t="s">
        <v>200</v>
      </c>
      <c r="D158" s="27" t="s">
        <v>6</v>
      </c>
      <c r="E158" s="124">
        <v>35</v>
      </c>
      <c r="F158" s="27" t="s">
        <v>34</v>
      </c>
      <c r="G158" s="27"/>
      <c r="H158" s="27"/>
      <c r="I158" s="27"/>
      <c r="J158" s="125">
        <v>40028</v>
      </c>
      <c r="K158" s="27"/>
    </row>
    <row r="159" spans="1:11" s="7" customFormat="1">
      <c r="A159" s="108">
        <v>157</v>
      </c>
      <c r="B159" s="118" t="s">
        <v>201</v>
      </c>
      <c r="C159" s="118" t="s">
        <v>31</v>
      </c>
      <c r="D159" s="27" t="s">
        <v>6</v>
      </c>
      <c r="E159" s="10">
        <v>5</v>
      </c>
      <c r="F159" s="118" t="s">
        <v>34</v>
      </c>
      <c r="G159" s="118"/>
      <c r="H159" s="118"/>
      <c r="I159" s="118"/>
      <c r="J159" s="119">
        <v>39866</v>
      </c>
      <c r="K159" s="136" t="s">
        <v>202</v>
      </c>
    </row>
    <row r="160" spans="1:11" s="7" customFormat="1">
      <c r="A160" s="117">
        <v>158</v>
      </c>
      <c r="B160" s="118" t="s">
        <v>1368</v>
      </c>
      <c r="C160" s="118" t="s">
        <v>31</v>
      </c>
      <c r="D160" s="27" t="s">
        <v>1369</v>
      </c>
      <c r="E160" s="10">
        <v>0</v>
      </c>
      <c r="F160" s="118" t="s">
        <v>34</v>
      </c>
      <c r="G160" s="118"/>
      <c r="H160" s="118"/>
      <c r="I160" s="118"/>
      <c r="J160" s="119">
        <v>40263</v>
      </c>
      <c r="K160" s="136" t="s">
        <v>158</v>
      </c>
    </row>
    <row r="161" spans="1:11" s="7" customFormat="1">
      <c r="A161" s="108">
        <v>159</v>
      </c>
      <c r="B161" s="118" t="s">
        <v>1370</v>
      </c>
      <c r="C161" s="118" t="s">
        <v>31</v>
      </c>
      <c r="D161" s="27" t="s">
        <v>1369</v>
      </c>
      <c r="E161" s="10">
        <v>0</v>
      </c>
      <c r="F161" s="118" t="s">
        <v>34</v>
      </c>
      <c r="G161" s="118"/>
      <c r="H161" s="118"/>
      <c r="I161" s="118"/>
      <c r="J161" s="119">
        <v>40263</v>
      </c>
      <c r="K161" s="136" t="s">
        <v>158</v>
      </c>
    </row>
    <row r="162" spans="1:11" s="7" customFormat="1">
      <c r="A162" s="117">
        <v>160</v>
      </c>
      <c r="B162" s="118" t="s">
        <v>1371</v>
      </c>
      <c r="C162" s="118" t="s">
        <v>31</v>
      </c>
      <c r="D162" s="27" t="s">
        <v>1369</v>
      </c>
      <c r="E162" s="10">
        <v>0</v>
      </c>
      <c r="F162" s="118" t="s">
        <v>34</v>
      </c>
      <c r="G162" s="118"/>
      <c r="H162" s="118"/>
      <c r="I162" s="118"/>
      <c r="J162" s="119">
        <v>40263</v>
      </c>
      <c r="K162" s="136" t="s">
        <v>158</v>
      </c>
    </row>
    <row r="163" spans="1:11" s="7" customFormat="1">
      <c r="A163" s="108">
        <v>161</v>
      </c>
      <c r="B163" s="118" t="s">
        <v>1372</v>
      </c>
      <c r="C163" s="118" t="s">
        <v>31</v>
      </c>
      <c r="D163" s="27" t="s">
        <v>1369</v>
      </c>
      <c r="E163" s="10">
        <v>0</v>
      </c>
      <c r="F163" s="118" t="s">
        <v>34</v>
      </c>
      <c r="G163" s="118"/>
      <c r="H163" s="118"/>
      <c r="I163" s="118"/>
      <c r="J163" s="119">
        <v>40263</v>
      </c>
      <c r="K163" s="136" t="s">
        <v>158</v>
      </c>
    </row>
    <row r="164" spans="1:11" s="7" customFormat="1">
      <c r="A164" s="117">
        <v>162</v>
      </c>
      <c r="B164" s="118" t="s">
        <v>1373</v>
      </c>
      <c r="C164" s="118" t="s">
        <v>31</v>
      </c>
      <c r="D164" s="27" t="s">
        <v>1369</v>
      </c>
      <c r="E164" s="10">
        <v>0</v>
      </c>
      <c r="F164" s="118" t="s">
        <v>34</v>
      </c>
      <c r="G164" s="118"/>
      <c r="H164" s="118"/>
      <c r="I164" s="118"/>
      <c r="J164" s="119">
        <v>40263</v>
      </c>
      <c r="K164" s="136" t="s">
        <v>158</v>
      </c>
    </row>
    <row r="165" spans="1:11" s="7" customFormat="1">
      <c r="A165" s="108">
        <v>163</v>
      </c>
      <c r="B165" s="118" t="s">
        <v>203</v>
      </c>
      <c r="C165" s="118" t="s">
        <v>31</v>
      </c>
      <c r="D165" s="118" t="s">
        <v>204</v>
      </c>
      <c r="E165" s="120">
        <v>0</v>
      </c>
      <c r="F165" s="118" t="s">
        <v>205</v>
      </c>
      <c r="G165" s="118"/>
      <c r="H165" s="118"/>
      <c r="I165" s="118"/>
      <c r="J165" s="119"/>
      <c r="K165" s="136" t="s">
        <v>206</v>
      </c>
    </row>
    <row r="166" spans="1:11" s="7" customFormat="1">
      <c r="A166" s="117">
        <v>164</v>
      </c>
      <c r="B166" s="118" t="s">
        <v>207</v>
      </c>
      <c r="C166" s="118" t="s">
        <v>31</v>
      </c>
      <c r="D166" s="118" t="s">
        <v>204</v>
      </c>
      <c r="E166" s="120">
        <v>150</v>
      </c>
      <c r="F166" s="118" t="s">
        <v>208</v>
      </c>
      <c r="G166" s="118"/>
      <c r="H166" s="118"/>
      <c r="I166" s="118"/>
      <c r="J166" s="119"/>
      <c r="K166" s="136" t="s">
        <v>209</v>
      </c>
    </row>
    <row r="167" spans="1:11" s="7" customFormat="1">
      <c r="A167" s="108">
        <v>165</v>
      </c>
      <c r="B167" s="118" t="s">
        <v>210</v>
      </c>
      <c r="C167" s="118" t="s">
        <v>31</v>
      </c>
      <c r="D167" s="118" t="s">
        <v>204</v>
      </c>
      <c r="E167" s="120">
        <v>200</v>
      </c>
      <c r="F167" s="118" t="s">
        <v>208</v>
      </c>
      <c r="G167" s="118"/>
      <c r="H167" s="118"/>
      <c r="I167" s="118"/>
      <c r="J167" s="119"/>
      <c r="K167" s="136" t="s">
        <v>209</v>
      </c>
    </row>
    <row r="168" spans="1:11" s="7" customFormat="1">
      <c r="A168" s="117">
        <v>166</v>
      </c>
      <c r="B168" s="118" t="s">
        <v>1374</v>
      </c>
      <c r="C168" s="118" t="s">
        <v>31</v>
      </c>
      <c r="D168" s="118" t="s">
        <v>204</v>
      </c>
      <c r="E168" s="132">
        <v>9.1999999999999998E-3</v>
      </c>
      <c r="F168" s="118" t="s">
        <v>151</v>
      </c>
      <c r="G168" s="118"/>
      <c r="H168" s="118"/>
      <c r="I168" s="118"/>
      <c r="J168" s="119">
        <v>39922</v>
      </c>
      <c r="K168" s="136" t="s">
        <v>1375</v>
      </c>
    </row>
    <row r="169" spans="1:11" s="7" customFormat="1">
      <c r="A169" s="108">
        <v>167</v>
      </c>
      <c r="B169" s="118" t="s">
        <v>1376</v>
      </c>
      <c r="C169" s="118" t="s">
        <v>31</v>
      </c>
      <c r="D169" s="118" t="s">
        <v>204</v>
      </c>
      <c r="E169" s="132">
        <v>1.1999999999999999E-3</v>
      </c>
      <c r="F169" s="118" t="s">
        <v>151</v>
      </c>
      <c r="G169" s="118"/>
      <c r="H169" s="118"/>
      <c r="I169" s="118"/>
      <c r="J169" s="119">
        <v>39922</v>
      </c>
      <c r="K169" s="136" t="s">
        <v>1377</v>
      </c>
    </row>
    <row r="170" spans="1:11" s="7" customFormat="1">
      <c r="A170" s="117">
        <v>168</v>
      </c>
      <c r="B170" s="118" t="s">
        <v>1378</v>
      </c>
      <c r="C170" s="118" t="s">
        <v>31</v>
      </c>
      <c r="D170" s="118" t="s">
        <v>204</v>
      </c>
      <c r="E170" s="132">
        <v>9.1999999999999998E-3</v>
      </c>
      <c r="F170" s="118" t="s">
        <v>151</v>
      </c>
      <c r="G170" s="118"/>
      <c r="H170" s="118"/>
      <c r="I170" s="118"/>
      <c r="J170" s="119">
        <v>39922</v>
      </c>
      <c r="K170" s="136" t="s">
        <v>1375</v>
      </c>
    </row>
    <row r="171" spans="1:11" s="7" customFormat="1">
      <c r="A171" s="108">
        <v>169</v>
      </c>
      <c r="B171" s="118" t="s">
        <v>211</v>
      </c>
      <c r="C171" s="118" t="s">
        <v>31</v>
      </c>
      <c r="D171" s="118" t="s">
        <v>212</v>
      </c>
      <c r="E171" s="124">
        <v>0</v>
      </c>
      <c r="F171" s="27" t="s">
        <v>34</v>
      </c>
      <c r="G171" s="27"/>
      <c r="H171" s="27"/>
      <c r="I171" s="27"/>
      <c r="J171" s="125">
        <v>39880</v>
      </c>
      <c r="K171" s="136" t="s">
        <v>158</v>
      </c>
    </row>
    <row r="172" spans="1:11" s="7" customFormat="1">
      <c r="A172" s="117">
        <v>170</v>
      </c>
      <c r="B172" s="118" t="s">
        <v>213</v>
      </c>
      <c r="C172" s="118" t="s">
        <v>31</v>
      </c>
      <c r="D172" s="118" t="s">
        <v>212</v>
      </c>
      <c r="E172" s="124">
        <v>0</v>
      </c>
      <c r="F172" s="27" t="s">
        <v>34</v>
      </c>
      <c r="G172" s="27"/>
      <c r="H172" s="27"/>
      <c r="I172" s="27"/>
      <c r="J172" s="125">
        <v>39880</v>
      </c>
      <c r="K172" s="136" t="s">
        <v>158</v>
      </c>
    </row>
    <row r="173" spans="1:11" s="7" customFormat="1">
      <c r="A173" s="108">
        <v>171</v>
      </c>
      <c r="B173" s="118" t="s">
        <v>1379</v>
      </c>
      <c r="C173" s="118" t="s">
        <v>1380</v>
      </c>
      <c r="D173" s="118" t="s">
        <v>212</v>
      </c>
      <c r="E173" s="124">
        <v>2</v>
      </c>
      <c r="F173" s="27" t="s">
        <v>34</v>
      </c>
      <c r="G173" s="27"/>
      <c r="H173" s="27"/>
      <c r="I173" s="27"/>
      <c r="J173" s="125">
        <v>39925</v>
      </c>
      <c r="K173" s="136" t="s">
        <v>214</v>
      </c>
    </row>
    <row r="174" spans="1:11" s="7" customFormat="1" ht="30">
      <c r="A174" s="117">
        <v>172</v>
      </c>
      <c r="B174" s="118" t="s">
        <v>1381</v>
      </c>
      <c r="C174" s="118" t="s">
        <v>1380</v>
      </c>
      <c r="D174" s="118" t="s">
        <v>212</v>
      </c>
      <c r="E174" s="124">
        <v>2</v>
      </c>
      <c r="F174" s="27" t="s">
        <v>34</v>
      </c>
      <c r="G174" s="27"/>
      <c r="H174" s="27"/>
      <c r="I174" s="27"/>
      <c r="J174" s="125">
        <v>39925</v>
      </c>
      <c r="K174" s="136" t="s">
        <v>214</v>
      </c>
    </row>
    <row r="175" spans="1:11" s="7" customFormat="1">
      <c r="A175" s="108">
        <v>173</v>
      </c>
      <c r="B175" s="118" t="s">
        <v>215</v>
      </c>
      <c r="C175" s="118" t="s">
        <v>31</v>
      </c>
      <c r="D175" s="118" t="s">
        <v>204</v>
      </c>
      <c r="E175" s="120">
        <v>100</v>
      </c>
      <c r="F175" s="118" t="s">
        <v>208</v>
      </c>
      <c r="G175" s="118"/>
      <c r="H175" s="118"/>
      <c r="I175" s="118"/>
      <c r="J175" s="119"/>
      <c r="K175" s="136" t="s">
        <v>216</v>
      </c>
    </row>
    <row r="176" spans="1:11" s="7" customFormat="1">
      <c r="A176" s="117">
        <v>174</v>
      </c>
      <c r="B176" s="118" t="s">
        <v>217</v>
      </c>
      <c r="C176" s="118" t="s">
        <v>31</v>
      </c>
      <c r="D176" s="118" t="s">
        <v>204</v>
      </c>
      <c r="E176" s="120">
        <v>50</v>
      </c>
      <c r="F176" s="118" t="s">
        <v>208</v>
      </c>
      <c r="G176" s="118"/>
      <c r="H176" s="118"/>
      <c r="I176" s="118"/>
      <c r="J176" s="119"/>
      <c r="K176" s="136" t="s">
        <v>218</v>
      </c>
    </row>
    <row r="177" spans="1:11" s="7" customFormat="1">
      <c r="A177" s="108">
        <v>175</v>
      </c>
      <c r="B177" s="118" t="s">
        <v>219</v>
      </c>
      <c r="C177" s="118" t="s">
        <v>31</v>
      </c>
      <c r="D177" s="118" t="s">
        <v>204</v>
      </c>
      <c r="E177" s="124">
        <v>10</v>
      </c>
      <c r="F177" s="118" t="s">
        <v>208</v>
      </c>
      <c r="G177" s="118"/>
      <c r="H177" s="118"/>
      <c r="I177" s="118"/>
      <c r="J177" s="119">
        <v>39873</v>
      </c>
      <c r="K177" s="136" t="s">
        <v>218</v>
      </c>
    </row>
    <row r="178" spans="1:11" s="7" customFormat="1">
      <c r="A178" s="117">
        <v>176</v>
      </c>
      <c r="B178" s="118" t="s">
        <v>220</v>
      </c>
      <c r="C178" s="118" t="s">
        <v>31</v>
      </c>
      <c r="D178" s="118" t="s">
        <v>204</v>
      </c>
      <c r="E178" s="120">
        <v>125</v>
      </c>
      <c r="F178" s="118" t="s">
        <v>208</v>
      </c>
      <c r="G178" s="118"/>
      <c r="H178" s="118"/>
      <c r="I178" s="118"/>
      <c r="J178" s="119"/>
      <c r="K178" s="136" t="s">
        <v>218</v>
      </c>
    </row>
    <row r="179" spans="1:11" s="7" customFormat="1">
      <c r="A179" s="108">
        <v>177</v>
      </c>
      <c r="B179" s="118" t="s">
        <v>221</v>
      </c>
      <c r="C179" s="118" t="s">
        <v>31</v>
      </c>
      <c r="D179" s="118" t="s">
        <v>204</v>
      </c>
      <c r="E179" s="130">
        <v>20</v>
      </c>
      <c r="F179" s="118" t="s">
        <v>208</v>
      </c>
      <c r="G179" s="118"/>
      <c r="H179" s="118"/>
      <c r="I179" s="118"/>
      <c r="J179" s="119">
        <v>39898</v>
      </c>
      <c r="K179" s="136"/>
    </row>
    <row r="180" spans="1:11" s="7" customFormat="1">
      <c r="A180" s="117">
        <v>178</v>
      </c>
      <c r="B180" s="118" t="s">
        <v>1382</v>
      </c>
      <c r="C180" s="118" t="s">
        <v>31</v>
      </c>
      <c r="D180" s="118" t="s">
        <v>204</v>
      </c>
      <c r="E180" s="120">
        <v>35</v>
      </c>
      <c r="F180" s="118" t="s">
        <v>208</v>
      </c>
      <c r="G180" s="118"/>
      <c r="H180" s="118"/>
      <c r="I180" s="118"/>
      <c r="J180" s="119">
        <v>40288</v>
      </c>
      <c r="K180" s="136" t="s">
        <v>1383</v>
      </c>
    </row>
    <row r="181" spans="1:11" s="7" customFormat="1">
      <c r="A181" s="108">
        <v>179</v>
      </c>
      <c r="B181" s="118" t="s">
        <v>222</v>
      </c>
      <c r="C181" s="118" t="s">
        <v>31</v>
      </c>
      <c r="D181" s="118" t="s">
        <v>204</v>
      </c>
      <c r="E181" s="120">
        <v>125</v>
      </c>
      <c r="F181" s="118" t="s">
        <v>208</v>
      </c>
      <c r="G181" s="118"/>
      <c r="H181" s="118"/>
      <c r="I181" s="118"/>
      <c r="J181" s="119"/>
      <c r="K181" s="136" t="s">
        <v>218</v>
      </c>
    </row>
    <row r="182" spans="1:11" s="7" customFormat="1">
      <c r="A182" s="117">
        <v>180</v>
      </c>
      <c r="B182" s="118" t="s">
        <v>223</v>
      </c>
      <c r="C182" s="118" t="s">
        <v>65</v>
      </c>
      <c r="D182" s="118" t="s">
        <v>224</v>
      </c>
      <c r="E182" s="137">
        <v>125</v>
      </c>
      <c r="F182" s="118" t="s">
        <v>34</v>
      </c>
      <c r="G182" s="118"/>
      <c r="H182" s="118"/>
      <c r="I182" s="118"/>
      <c r="J182" s="119">
        <v>39874</v>
      </c>
      <c r="K182" s="136" t="s">
        <v>225</v>
      </c>
    </row>
    <row r="183" spans="1:11" s="7" customFormat="1">
      <c r="A183" s="108">
        <v>181</v>
      </c>
      <c r="B183" s="118" t="s">
        <v>226</v>
      </c>
      <c r="C183" s="118" t="s">
        <v>65</v>
      </c>
      <c r="D183" s="118" t="s">
        <v>224</v>
      </c>
      <c r="E183" s="137">
        <v>125</v>
      </c>
      <c r="F183" s="118" t="s">
        <v>34</v>
      </c>
      <c r="G183" s="118"/>
      <c r="H183" s="118"/>
      <c r="I183" s="118"/>
      <c r="J183" s="119">
        <v>39874</v>
      </c>
      <c r="K183" s="136" t="s">
        <v>227</v>
      </c>
    </row>
    <row r="184" spans="1:11" s="7" customFormat="1">
      <c r="A184" s="117">
        <v>182</v>
      </c>
      <c r="B184" s="118" t="s">
        <v>228</v>
      </c>
      <c r="C184" s="118" t="s">
        <v>65</v>
      </c>
      <c r="D184" s="118" t="s">
        <v>224</v>
      </c>
      <c r="E184" s="137">
        <v>5</v>
      </c>
      <c r="F184" s="118" t="s">
        <v>34</v>
      </c>
      <c r="G184" s="118"/>
      <c r="H184" s="118"/>
      <c r="I184" s="118"/>
      <c r="J184" s="119">
        <v>39874</v>
      </c>
      <c r="K184" s="136" t="s">
        <v>229</v>
      </c>
    </row>
    <row r="185" spans="1:11" s="7" customFormat="1">
      <c r="A185" s="108">
        <v>183</v>
      </c>
      <c r="B185" s="118" t="s">
        <v>230</v>
      </c>
      <c r="C185" s="118" t="s">
        <v>65</v>
      </c>
      <c r="D185" s="118" t="s">
        <v>224</v>
      </c>
      <c r="E185" s="137">
        <v>10</v>
      </c>
      <c r="F185" s="118" t="s">
        <v>34</v>
      </c>
      <c r="G185" s="118"/>
      <c r="H185" s="118"/>
      <c r="I185" s="118"/>
      <c r="J185" s="119">
        <v>39874</v>
      </c>
      <c r="K185" s="136" t="s">
        <v>231</v>
      </c>
    </row>
    <row r="186" spans="1:11" s="7" customFormat="1">
      <c r="A186" s="117">
        <v>184</v>
      </c>
      <c r="B186" s="118" t="s">
        <v>232</v>
      </c>
      <c r="C186" s="118" t="s">
        <v>65</v>
      </c>
      <c r="D186" s="118" t="s">
        <v>224</v>
      </c>
      <c r="E186" s="137">
        <v>20</v>
      </c>
      <c r="F186" s="118" t="s">
        <v>34</v>
      </c>
      <c r="G186" s="118"/>
      <c r="H186" s="118"/>
      <c r="I186" s="118"/>
      <c r="J186" s="119">
        <v>39874</v>
      </c>
      <c r="K186" s="136" t="s">
        <v>233</v>
      </c>
    </row>
    <row r="187" spans="1:11" s="7" customFormat="1">
      <c r="A187" s="108">
        <v>185</v>
      </c>
      <c r="B187" s="118" t="s">
        <v>232</v>
      </c>
      <c r="C187" s="118" t="s">
        <v>65</v>
      </c>
      <c r="D187" s="118" t="s">
        <v>224</v>
      </c>
      <c r="E187" s="137">
        <v>5</v>
      </c>
      <c r="F187" s="118" t="s">
        <v>34</v>
      </c>
      <c r="G187" s="118"/>
      <c r="H187" s="118"/>
      <c r="I187" s="118"/>
      <c r="J187" s="119">
        <v>39874</v>
      </c>
      <c r="K187" s="136" t="s">
        <v>234</v>
      </c>
    </row>
    <row r="188" spans="1:11" s="7" customFormat="1">
      <c r="A188" s="117">
        <v>186</v>
      </c>
      <c r="B188" s="118" t="s">
        <v>235</v>
      </c>
      <c r="C188" s="118" t="s">
        <v>65</v>
      </c>
      <c r="D188" s="118" t="s">
        <v>224</v>
      </c>
      <c r="E188" s="137">
        <v>150</v>
      </c>
      <c r="F188" s="118" t="s">
        <v>34</v>
      </c>
      <c r="G188" s="118"/>
      <c r="H188" s="118"/>
      <c r="I188" s="118"/>
      <c r="J188" s="119">
        <v>39874</v>
      </c>
      <c r="K188" s="136" t="s">
        <v>229</v>
      </c>
    </row>
    <row r="189" spans="1:11" s="7" customFormat="1">
      <c r="A189" s="108">
        <v>187</v>
      </c>
      <c r="B189" s="118" t="s">
        <v>236</v>
      </c>
      <c r="C189" s="118" t="s">
        <v>65</v>
      </c>
      <c r="D189" s="118" t="s">
        <v>224</v>
      </c>
      <c r="E189" s="137">
        <v>25</v>
      </c>
      <c r="F189" s="118" t="s">
        <v>34</v>
      </c>
      <c r="G189" s="118"/>
      <c r="H189" s="118"/>
      <c r="I189" s="118"/>
      <c r="J189" s="119">
        <v>39874</v>
      </c>
      <c r="K189" s="136" t="s">
        <v>237</v>
      </c>
    </row>
    <row r="190" spans="1:11" s="7" customFormat="1">
      <c r="A190" s="117">
        <v>188</v>
      </c>
      <c r="B190" s="118" t="s">
        <v>238</v>
      </c>
      <c r="C190" s="118" t="s">
        <v>31</v>
      </c>
      <c r="D190" s="118" t="s">
        <v>224</v>
      </c>
      <c r="E190" s="137">
        <v>200</v>
      </c>
      <c r="F190" s="118" t="s">
        <v>34</v>
      </c>
      <c r="G190" s="118"/>
      <c r="H190" s="118"/>
      <c r="I190" s="118"/>
      <c r="J190" s="119"/>
      <c r="K190" s="136"/>
    </row>
    <row r="191" spans="1:11" s="7" customFormat="1">
      <c r="A191" s="108">
        <v>189</v>
      </c>
      <c r="B191" s="118" t="s">
        <v>239</v>
      </c>
      <c r="C191" s="118" t="s">
        <v>31</v>
      </c>
      <c r="D191" s="118" t="s">
        <v>224</v>
      </c>
      <c r="E191" s="137">
        <v>200</v>
      </c>
      <c r="F191" s="118" t="s">
        <v>34</v>
      </c>
      <c r="G191" s="118"/>
      <c r="H191" s="118"/>
      <c r="I191" s="118"/>
      <c r="J191" s="119"/>
      <c r="K191" s="136"/>
    </row>
    <row r="192" spans="1:11" s="7" customFormat="1">
      <c r="A192" s="117">
        <v>190</v>
      </c>
      <c r="B192" s="118" t="s">
        <v>1384</v>
      </c>
      <c r="C192" s="118" t="s">
        <v>1385</v>
      </c>
      <c r="D192" s="118" t="s">
        <v>224</v>
      </c>
      <c r="E192" s="137">
        <v>700</v>
      </c>
      <c r="F192" s="118" t="s">
        <v>597</v>
      </c>
      <c r="G192" s="118"/>
      <c r="H192" s="118"/>
      <c r="I192" s="118"/>
      <c r="J192" s="119">
        <v>40321</v>
      </c>
      <c r="K192" s="136" t="s">
        <v>1386</v>
      </c>
    </row>
    <row r="193" spans="1:11" s="7" customFormat="1">
      <c r="A193" s="108">
        <v>191</v>
      </c>
      <c r="B193" s="118" t="s">
        <v>240</v>
      </c>
      <c r="C193" s="118" t="s">
        <v>241</v>
      </c>
      <c r="D193" s="118" t="s">
        <v>224</v>
      </c>
      <c r="E193" s="137">
        <v>3700</v>
      </c>
      <c r="F193" s="118" t="s">
        <v>34</v>
      </c>
      <c r="G193" s="118"/>
      <c r="H193" s="118"/>
      <c r="I193" s="118"/>
      <c r="J193" s="119">
        <v>39922</v>
      </c>
      <c r="K193" s="136"/>
    </row>
    <row r="194" spans="1:11" s="7" customFormat="1">
      <c r="A194" s="117">
        <v>192</v>
      </c>
      <c r="B194" s="118" t="s">
        <v>242</v>
      </c>
      <c r="C194" s="118" t="s">
        <v>241</v>
      </c>
      <c r="D194" s="118" t="s">
        <v>224</v>
      </c>
      <c r="E194" s="137">
        <v>3900</v>
      </c>
      <c r="F194" s="118" t="s">
        <v>34</v>
      </c>
      <c r="G194" s="118"/>
      <c r="H194" s="118"/>
      <c r="I194" s="118"/>
      <c r="J194" s="119">
        <v>39922</v>
      </c>
      <c r="K194" s="136"/>
    </row>
    <row r="195" spans="1:11" s="7" customFormat="1">
      <c r="A195" s="108">
        <v>193</v>
      </c>
      <c r="B195" s="118" t="s">
        <v>243</v>
      </c>
      <c r="C195" s="118" t="s">
        <v>244</v>
      </c>
      <c r="D195" s="118" t="s">
        <v>224</v>
      </c>
      <c r="E195" s="10">
        <v>725</v>
      </c>
      <c r="F195" s="118" t="s">
        <v>34</v>
      </c>
      <c r="G195" s="118"/>
      <c r="H195" s="118"/>
      <c r="I195" s="118"/>
      <c r="J195" s="119"/>
      <c r="K195" s="136"/>
    </row>
    <row r="196" spans="1:11" s="7" customFormat="1">
      <c r="A196" s="117">
        <v>194</v>
      </c>
      <c r="B196" s="118" t="s">
        <v>245</v>
      </c>
      <c r="C196" s="118" t="s">
        <v>244</v>
      </c>
      <c r="D196" s="118" t="s">
        <v>224</v>
      </c>
      <c r="E196" s="134">
        <v>751.92499999999995</v>
      </c>
      <c r="F196" s="118" t="s">
        <v>34</v>
      </c>
      <c r="G196" s="118"/>
      <c r="H196" s="118"/>
      <c r="I196" s="118"/>
      <c r="J196" s="119"/>
      <c r="K196" s="136"/>
    </row>
    <row r="197" spans="1:11" s="7" customFormat="1">
      <c r="A197" s="108">
        <v>195</v>
      </c>
      <c r="B197" s="118" t="s">
        <v>246</v>
      </c>
      <c r="C197" s="118" t="s">
        <v>247</v>
      </c>
      <c r="D197" s="118" t="s">
        <v>224</v>
      </c>
      <c r="E197" s="134">
        <v>1150</v>
      </c>
      <c r="F197" s="118" t="s">
        <v>34</v>
      </c>
      <c r="G197" s="118"/>
      <c r="H197" s="118"/>
      <c r="I197" s="118"/>
      <c r="J197" s="119">
        <v>39922</v>
      </c>
      <c r="K197" s="136"/>
    </row>
    <row r="198" spans="1:11" s="7" customFormat="1">
      <c r="A198" s="117">
        <v>196</v>
      </c>
      <c r="B198" s="118" t="s">
        <v>1387</v>
      </c>
      <c r="C198" s="118" t="s">
        <v>249</v>
      </c>
      <c r="D198" s="118" t="s">
        <v>224</v>
      </c>
      <c r="E198" s="134">
        <v>1200</v>
      </c>
      <c r="F198" s="118" t="s">
        <v>34</v>
      </c>
      <c r="G198" s="118"/>
      <c r="H198" s="118"/>
      <c r="I198" s="118"/>
      <c r="J198" s="119">
        <v>40321</v>
      </c>
      <c r="K198" s="136"/>
    </row>
    <row r="199" spans="1:11" s="7" customFormat="1">
      <c r="A199" s="108">
        <v>197</v>
      </c>
      <c r="B199" s="118" t="s">
        <v>1388</v>
      </c>
      <c r="C199" s="118" t="s">
        <v>249</v>
      </c>
      <c r="D199" s="118" t="s">
        <v>224</v>
      </c>
      <c r="E199" s="134">
        <v>952</v>
      </c>
      <c r="F199" s="118" t="s">
        <v>34</v>
      </c>
      <c r="G199" s="118"/>
      <c r="H199" s="118"/>
      <c r="I199" s="118"/>
      <c r="J199" s="119">
        <v>39937</v>
      </c>
      <c r="K199" s="136"/>
    </row>
    <row r="200" spans="1:11" s="7" customFormat="1">
      <c r="A200" s="117">
        <v>198</v>
      </c>
      <c r="B200" s="118" t="s">
        <v>248</v>
      </c>
      <c r="C200" s="118" t="s">
        <v>249</v>
      </c>
      <c r="D200" s="118" t="s">
        <v>224</v>
      </c>
      <c r="E200" s="134">
        <v>1100</v>
      </c>
      <c r="F200" s="118" t="s">
        <v>34</v>
      </c>
      <c r="G200" s="118"/>
      <c r="H200" s="118"/>
      <c r="I200" s="118"/>
      <c r="J200" s="119">
        <v>39926</v>
      </c>
      <c r="K200" s="136"/>
    </row>
    <row r="201" spans="1:11" s="7" customFormat="1">
      <c r="A201" s="108">
        <v>199</v>
      </c>
      <c r="B201" s="118" t="s">
        <v>250</v>
      </c>
      <c r="C201" s="118" t="s">
        <v>249</v>
      </c>
      <c r="D201" s="118" t="s">
        <v>224</v>
      </c>
      <c r="E201" s="134">
        <v>1400</v>
      </c>
      <c r="F201" s="118" t="s">
        <v>34</v>
      </c>
      <c r="G201" s="118"/>
      <c r="H201" s="118"/>
      <c r="I201" s="118"/>
      <c r="J201" s="119">
        <v>39906</v>
      </c>
      <c r="K201" s="136"/>
    </row>
    <row r="202" spans="1:11" s="7" customFormat="1">
      <c r="A202" s="117">
        <v>200</v>
      </c>
      <c r="B202" s="118" t="s">
        <v>1389</v>
      </c>
      <c r="C202" s="118" t="s">
        <v>251</v>
      </c>
      <c r="D202" s="118" t="s">
        <v>224</v>
      </c>
      <c r="E202" s="124">
        <v>495</v>
      </c>
      <c r="F202" s="118" t="s">
        <v>34</v>
      </c>
      <c r="G202" s="10"/>
      <c r="H202" s="118"/>
      <c r="I202" s="118"/>
      <c r="J202" s="119">
        <v>40288</v>
      </c>
      <c r="K202" s="136"/>
    </row>
    <row r="203" spans="1:11" s="7" customFormat="1">
      <c r="A203" s="108">
        <v>201</v>
      </c>
      <c r="B203" s="118" t="s">
        <v>252</v>
      </c>
      <c r="C203" s="118" t="s">
        <v>251</v>
      </c>
      <c r="D203" s="118" t="s">
        <v>224</v>
      </c>
      <c r="E203" s="124">
        <v>750</v>
      </c>
      <c r="F203" s="118" t="s">
        <v>34</v>
      </c>
      <c r="G203" s="124"/>
      <c r="H203" s="118"/>
      <c r="I203" s="118"/>
      <c r="J203" s="119">
        <v>40288</v>
      </c>
      <c r="K203" s="136"/>
    </row>
    <row r="204" spans="1:11" s="7" customFormat="1">
      <c r="A204" s="117">
        <v>202</v>
      </c>
      <c r="B204" s="118" t="s">
        <v>1390</v>
      </c>
      <c r="C204" s="118" t="s">
        <v>251</v>
      </c>
      <c r="D204" s="118" t="s">
        <v>224</v>
      </c>
      <c r="E204" s="124">
        <v>850</v>
      </c>
      <c r="F204" s="118" t="s">
        <v>34</v>
      </c>
      <c r="G204" s="118"/>
      <c r="H204" s="118"/>
      <c r="I204" s="118"/>
      <c r="J204" s="119">
        <v>40288</v>
      </c>
      <c r="K204" s="136"/>
    </row>
    <row r="205" spans="1:11" s="7" customFormat="1">
      <c r="A205" s="108">
        <v>203</v>
      </c>
      <c r="B205" s="118" t="s">
        <v>1391</v>
      </c>
      <c r="C205" s="118" t="s">
        <v>251</v>
      </c>
      <c r="D205" s="118" t="s">
        <v>224</v>
      </c>
      <c r="E205" s="124">
        <v>950</v>
      </c>
      <c r="F205" s="118" t="s">
        <v>34</v>
      </c>
      <c r="G205" s="118"/>
      <c r="H205" s="118"/>
      <c r="I205" s="118"/>
      <c r="J205" s="119">
        <v>40288</v>
      </c>
      <c r="K205" s="136"/>
    </row>
    <row r="206" spans="1:11" s="7" customFormat="1">
      <c r="A206" s="117">
        <v>204</v>
      </c>
      <c r="B206" s="118" t="s">
        <v>253</v>
      </c>
      <c r="C206" s="118" t="s">
        <v>254</v>
      </c>
      <c r="D206" s="118" t="s">
        <v>224</v>
      </c>
      <c r="E206" s="134">
        <v>175</v>
      </c>
      <c r="F206" s="118" t="s">
        <v>34</v>
      </c>
      <c r="G206" s="118"/>
      <c r="H206" s="118"/>
      <c r="I206" s="118"/>
      <c r="J206" s="119"/>
      <c r="K206" s="136" t="s">
        <v>255</v>
      </c>
    </row>
    <row r="207" spans="1:11" s="7" customFormat="1">
      <c r="A207" s="108">
        <v>205</v>
      </c>
      <c r="B207" s="118" t="s">
        <v>256</v>
      </c>
      <c r="C207" s="118" t="s">
        <v>257</v>
      </c>
      <c r="D207" s="118" t="s">
        <v>224</v>
      </c>
      <c r="E207" s="134">
        <v>1000</v>
      </c>
      <c r="F207" s="118" t="s">
        <v>34</v>
      </c>
      <c r="G207" s="118"/>
      <c r="H207" s="118"/>
      <c r="I207" s="118"/>
      <c r="J207" s="119"/>
      <c r="K207" s="136"/>
    </row>
    <row r="208" spans="1:11" s="7" customFormat="1">
      <c r="A208" s="117">
        <v>206</v>
      </c>
      <c r="B208" s="118" t="s">
        <v>1392</v>
      </c>
      <c r="C208" s="118" t="s">
        <v>1393</v>
      </c>
      <c r="D208" s="118" t="s">
        <v>224</v>
      </c>
      <c r="E208" s="134">
        <v>1250</v>
      </c>
      <c r="F208" s="118" t="s">
        <v>34</v>
      </c>
      <c r="G208" s="118"/>
      <c r="H208" s="118"/>
      <c r="I208" s="118"/>
      <c r="J208" s="119">
        <v>40238</v>
      </c>
      <c r="K208" s="136"/>
    </row>
    <row r="209" spans="1:11" s="7" customFormat="1">
      <c r="A209" s="108">
        <v>207</v>
      </c>
      <c r="B209" s="118" t="s">
        <v>258</v>
      </c>
      <c r="C209" s="118" t="s">
        <v>259</v>
      </c>
      <c r="D209" s="118" t="s">
        <v>224</v>
      </c>
      <c r="E209" s="134">
        <v>966</v>
      </c>
      <c r="F209" s="118" t="s">
        <v>34</v>
      </c>
      <c r="G209" s="118"/>
      <c r="H209" s="118"/>
      <c r="I209" s="118"/>
      <c r="J209" s="119"/>
      <c r="K209" s="136" t="s">
        <v>260</v>
      </c>
    </row>
    <row r="210" spans="1:11" s="7" customFormat="1">
      <c r="A210" s="117">
        <v>208</v>
      </c>
      <c r="B210" s="118" t="s">
        <v>261</v>
      </c>
      <c r="C210" s="118" t="s">
        <v>259</v>
      </c>
      <c r="D210" s="118" t="s">
        <v>224</v>
      </c>
      <c r="E210" s="134">
        <v>590</v>
      </c>
      <c r="F210" s="118" t="s">
        <v>34</v>
      </c>
      <c r="G210" s="118"/>
      <c r="H210" s="118"/>
      <c r="I210" s="118"/>
      <c r="J210" s="119"/>
      <c r="K210" s="136" t="s">
        <v>262</v>
      </c>
    </row>
    <row r="211" spans="1:11" s="7" customFormat="1">
      <c r="A211" s="108">
        <v>209</v>
      </c>
      <c r="B211" s="118" t="s">
        <v>263</v>
      </c>
      <c r="C211" s="118" t="s">
        <v>259</v>
      </c>
      <c r="D211" s="118" t="s">
        <v>224</v>
      </c>
      <c r="E211" s="134">
        <v>762</v>
      </c>
      <c r="F211" s="118" t="s">
        <v>34</v>
      </c>
      <c r="G211" s="118"/>
      <c r="H211" s="118"/>
      <c r="I211" s="118"/>
      <c r="J211" s="119"/>
      <c r="K211" s="136" t="s">
        <v>264</v>
      </c>
    </row>
    <row r="212" spans="1:11" s="7" customFormat="1">
      <c r="A212" s="117">
        <v>210</v>
      </c>
      <c r="B212" s="118" t="s">
        <v>1394</v>
      </c>
      <c r="C212" s="118" t="s">
        <v>259</v>
      </c>
      <c r="D212" s="118" t="s">
        <v>224</v>
      </c>
      <c r="E212" s="10">
        <v>536</v>
      </c>
      <c r="F212" s="118" t="s">
        <v>34</v>
      </c>
      <c r="G212" s="118"/>
      <c r="H212" s="118"/>
      <c r="I212" s="118"/>
      <c r="J212" s="119">
        <v>39965</v>
      </c>
      <c r="K212" s="136"/>
    </row>
    <row r="213" spans="1:11" s="7" customFormat="1" ht="30">
      <c r="A213" s="108">
        <v>211</v>
      </c>
      <c r="B213" s="118" t="s">
        <v>265</v>
      </c>
      <c r="C213" s="118" t="s">
        <v>259</v>
      </c>
      <c r="D213" s="118" t="s">
        <v>224</v>
      </c>
      <c r="E213" s="10">
        <v>850</v>
      </c>
      <c r="F213" s="118" t="s">
        <v>34</v>
      </c>
      <c r="G213" s="118"/>
      <c r="H213" s="118"/>
      <c r="I213" s="118"/>
      <c r="J213" s="119"/>
      <c r="K213" s="136"/>
    </row>
    <row r="214" spans="1:11" s="7" customFormat="1">
      <c r="A214" s="117">
        <v>212</v>
      </c>
      <c r="B214" s="118" t="s">
        <v>266</v>
      </c>
      <c r="C214" s="118" t="s">
        <v>267</v>
      </c>
      <c r="D214" s="118" t="s">
        <v>224</v>
      </c>
      <c r="E214" s="124">
        <v>647.5</v>
      </c>
      <c r="F214" s="118" t="s">
        <v>34</v>
      </c>
      <c r="G214" s="118"/>
      <c r="H214" s="118"/>
      <c r="I214" s="118"/>
      <c r="J214" s="119">
        <v>39899</v>
      </c>
      <c r="K214" s="136"/>
    </row>
    <row r="215" spans="1:11" s="7" customFormat="1" ht="30">
      <c r="A215" s="108">
        <v>213</v>
      </c>
      <c r="B215" s="118" t="s">
        <v>1395</v>
      </c>
      <c r="C215" s="118" t="s">
        <v>1396</v>
      </c>
      <c r="D215" s="118" t="s">
        <v>224</v>
      </c>
      <c r="E215" s="124">
        <v>2500</v>
      </c>
      <c r="F215" s="118" t="s">
        <v>34</v>
      </c>
      <c r="G215" s="118"/>
      <c r="H215" s="118"/>
      <c r="I215" s="118"/>
      <c r="J215" s="119">
        <v>40321</v>
      </c>
      <c r="K215" s="136"/>
    </row>
    <row r="216" spans="1:11" s="7" customFormat="1">
      <c r="A216" s="117">
        <v>214</v>
      </c>
      <c r="B216" s="118" t="s">
        <v>268</v>
      </c>
      <c r="C216" s="118" t="s">
        <v>269</v>
      </c>
      <c r="D216" s="118" t="s">
        <v>224</v>
      </c>
      <c r="E216" s="120">
        <v>400</v>
      </c>
      <c r="F216" s="118" t="s">
        <v>34</v>
      </c>
      <c r="G216" s="118"/>
      <c r="H216" s="118"/>
      <c r="I216" s="118"/>
      <c r="J216" s="119"/>
      <c r="K216" s="136" t="s">
        <v>270</v>
      </c>
    </row>
    <row r="217" spans="1:11" s="7" customFormat="1">
      <c r="A217" s="108">
        <v>215</v>
      </c>
      <c r="B217" s="118" t="s">
        <v>1397</v>
      </c>
      <c r="C217" s="118" t="s">
        <v>1398</v>
      </c>
      <c r="D217" s="118" t="s">
        <v>224</v>
      </c>
      <c r="E217" s="120">
        <v>870</v>
      </c>
      <c r="F217" s="118" t="s">
        <v>34</v>
      </c>
      <c r="G217" s="118"/>
      <c r="H217" s="118"/>
      <c r="I217" s="118"/>
      <c r="J217" s="119">
        <v>39937</v>
      </c>
      <c r="K217" s="136"/>
    </row>
    <row r="218" spans="1:11" s="7" customFormat="1">
      <c r="A218" s="117">
        <v>216</v>
      </c>
      <c r="B218" s="118" t="s">
        <v>1399</v>
      </c>
      <c r="C218" s="118" t="s">
        <v>1398</v>
      </c>
      <c r="D218" s="118" t="s">
        <v>224</v>
      </c>
      <c r="E218" s="120">
        <v>1275</v>
      </c>
      <c r="F218" s="118" t="s">
        <v>34</v>
      </c>
      <c r="G218" s="118"/>
      <c r="H218" s="118"/>
      <c r="I218" s="118"/>
      <c r="J218" s="119">
        <v>39937</v>
      </c>
      <c r="K218" s="136"/>
    </row>
    <row r="219" spans="1:11" s="7" customFormat="1">
      <c r="A219" s="108">
        <v>217</v>
      </c>
      <c r="B219" s="118" t="s">
        <v>1400</v>
      </c>
      <c r="C219" s="118" t="s">
        <v>1398</v>
      </c>
      <c r="D219" s="118" t="s">
        <v>224</v>
      </c>
      <c r="E219" s="120">
        <v>1275</v>
      </c>
      <c r="F219" s="118" t="s">
        <v>34</v>
      </c>
      <c r="G219" s="118"/>
      <c r="H219" s="118"/>
      <c r="I219" s="118"/>
      <c r="J219" s="119">
        <v>39937</v>
      </c>
      <c r="K219" s="136"/>
    </row>
    <row r="220" spans="1:11" s="7" customFormat="1">
      <c r="A220" s="117">
        <v>218</v>
      </c>
      <c r="B220" s="118" t="s">
        <v>1401</v>
      </c>
      <c r="C220" s="118" t="s">
        <v>1398</v>
      </c>
      <c r="D220" s="118" t="s">
        <v>224</v>
      </c>
      <c r="E220" s="120">
        <v>1945</v>
      </c>
      <c r="F220" s="118" t="s">
        <v>34</v>
      </c>
      <c r="G220" s="118"/>
      <c r="H220" s="118"/>
      <c r="I220" s="118"/>
      <c r="J220" s="119">
        <v>39937</v>
      </c>
      <c r="K220" s="136"/>
    </row>
    <row r="221" spans="1:11" s="7" customFormat="1">
      <c r="A221" s="108">
        <v>219</v>
      </c>
      <c r="B221" s="118" t="s">
        <v>1402</v>
      </c>
      <c r="C221" s="118" t="s">
        <v>1398</v>
      </c>
      <c r="D221" s="118" t="s">
        <v>224</v>
      </c>
      <c r="E221" s="120">
        <v>2345</v>
      </c>
      <c r="F221" s="118" t="s">
        <v>34</v>
      </c>
      <c r="G221" s="118"/>
      <c r="H221" s="118"/>
      <c r="I221" s="118"/>
      <c r="J221" s="119">
        <v>39937</v>
      </c>
      <c r="K221" s="136"/>
    </row>
    <row r="222" spans="1:11" s="7" customFormat="1">
      <c r="A222" s="117">
        <v>220</v>
      </c>
      <c r="B222" s="118" t="s">
        <v>1403</v>
      </c>
      <c r="C222" s="118" t="s">
        <v>1398</v>
      </c>
      <c r="D222" s="118" t="s">
        <v>224</v>
      </c>
      <c r="E222" s="120">
        <v>2745</v>
      </c>
      <c r="F222" s="118" t="s">
        <v>34</v>
      </c>
      <c r="G222" s="118"/>
      <c r="H222" s="118"/>
      <c r="I222" s="118"/>
      <c r="J222" s="119">
        <v>39937</v>
      </c>
      <c r="K222" s="136"/>
    </row>
    <row r="223" spans="1:11" s="7" customFormat="1">
      <c r="A223" s="108">
        <v>221</v>
      </c>
      <c r="B223" s="118" t="s">
        <v>271</v>
      </c>
      <c r="C223" s="118" t="s">
        <v>269</v>
      </c>
      <c r="D223" s="118" t="s">
        <v>224</v>
      </c>
      <c r="E223" s="120">
        <v>400</v>
      </c>
      <c r="F223" s="118" t="s">
        <v>34</v>
      </c>
      <c r="G223" s="118"/>
      <c r="H223" s="118"/>
      <c r="I223" s="118"/>
      <c r="J223" s="119"/>
      <c r="K223" s="136" t="s">
        <v>270</v>
      </c>
    </row>
    <row r="224" spans="1:11" s="7" customFormat="1">
      <c r="A224" s="117">
        <v>222</v>
      </c>
      <c r="B224" s="118" t="s">
        <v>1404</v>
      </c>
      <c r="C224" s="118" t="s">
        <v>241</v>
      </c>
      <c r="D224" s="118" t="s">
        <v>224</v>
      </c>
      <c r="E224" s="120">
        <v>150</v>
      </c>
      <c r="F224" s="118" t="s">
        <v>34</v>
      </c>
      <c r="G224" s="118"/>
      <c r="H224" s="118"/>
      <c r="I224" s="118"/>
      <c r="J224" s="119">
        <v>39929</v>
      </c>
      <c r="K224" s="136"/>
    </row>
    <row r="225" spans="1:11" s="7" customFormat="1">
      <c r="A225" s="108">
        <v>223</v>
      </c>
      <c r="B225" s="118" t="s">
        <v>272</v>
      </c>
      <c r="C225" s="118" t="s">
        <v>241</v>
      </c>
      <c r="D225" s="118" t="s">
        <v>224</v>
      </c>
      <c r="E225" s="134">
        <v>1050</v>
      </c>
      <c r="F225" s="118" t="s">
        <v>34</v>
      </c>
      <c r="G225" s="118"/>
      <c r="H225" s="118"/>
      <c r="I225" s="118"/>
      <c r="J225" s="119"/>
      <c r="K225" s="136"/>
    </row>
    <row r="226" spans="1:11" s="7" customFormat="1">
      <c r="A226" s="117">
        <v>224</v>
      </c>
      <c r="B226" s="118" t="s">
        <v>273</v>
      </c>
      <c r="C226" s="118" t="s">
        <v>241</v>
      </c>
      <c r="D226" s="118" t="s">
        <v>224</v>
      </c>
      <c r="E226" s="134">
        <v>1615</v>
      </c>
      <c r="F226" s="118" t="s">
        <v>34</v>
      </c>
      <c r="G226" s="118"/>
      <c r="H226" s="118"/>
      <c r="I226" s="118"/>
      <c r="J226" s="119"/>
      <c r="K226" s="136"/>
    </row>
    <row r="227" spans="1:11" s="7" customFormat="1">
      <c r="A227" s="108">
        <v>225</v>
      </c>
      <c r="B227" s="118" t="s">
        <v>274</v>
      </c>
      <c r="C227" s="118" t="s">
        <v>241</v>
      </c>
      <c r="D227" s="118" t="s">
        <v>224</v>
      </c>
      <c r="E227" s="134">
        <v>1236</v>
      </c>
      <c r="F227" s="118" t="s">
        <v>34</v>
      </c>
      <c r="G227" s="118"/>
      <c r="H227" s="118"/>
      <c r="I227" s="118"/>
      <c r="J227" s="119"/>
      <c r="K227" s="136"/>
    </row>
    <row r="228" spans="1:11" s="7" customFormat="1">
      <c r="A228" s="117">
        <v>226</v>
      </c>
      <c r="B228" s="118" t="s">
        <v>1405</v>
      </c>
      <c r="C228" s="118" t="s">
        <v>241</v>
      </c>
      <c r="D228" s="118" t="s">
        <v>224</v>
      </c>
      <c r="E228" s="134">
        <v>1650</v>
      </c>
      <c r="F228" s="118" t="s">
        <v>34</v>
      </c>
      <c r="G228" s="118"/>
      <c r="H228" s="118"/>
      <c r="I228" s="118"/>
      <c r="J228" s="119">
        <v>40257</v>
      </c>
      <c r="K228" s="136"/>
    </row>
    <row r="229" spans="1:11" s="7" customFormat="1">
      <c r="A229" s="108">
        <v>227</v>
      </c>
      <c r="B229" s="118" t="s">
        <v>275</v>
      </c>
      <c r="C229" s="118" t="s">
        <v>241</v>
      </c>
      <c r="D229" s="118" t="s">
        <v>224</v>
      </c>
      <c r="E229" s="134">
        <v>1500</v>
      </c>
      <c r="F229" s="118" t="s">
        <v>34</v>
      </c>
      <c r="G229" s="118"/>
      <c r="H229" s="118"/>
      <c r="I229" s="118"/>
      <c r="J229" s="119">
        <v>40509</v>
      </c>
      <c r="K229" s="136"/>
    </row>
    <row r="230" spans="1:11" s="7" customFormat="1">
      <c r="A230" s="117">
        <v>228</v>
      </c>
      <c r="B230" s="118" t="s">
        <v>275</v>
      </c>
      <c r="C230" s="118" t="s">
        <v>241</v>
      </c>
      <c r="D230" s="118" t="s">
        <v>224</v>
      </c>
      <c r="E230" s="124">
        <v>1650</v>
      </c>
      <c r="F230" s="118" t="s">
        <v>34</v>
      </c>
      <c r="G230" s="118"/>
      <c r="H230" s="118"/>
      <c r="I230" s="118"/>
      <c r="J230" s="125">
        <v>39880</v>
      </c>
      <c r="K230" s="136"/>
    </row>
    <row r="231" spans="1:11" s="7" customFormat="1" ht="30">
      <c r="A231" s="108">
        <v>229</v>
      </c>
      <c r="B231" s="118" t="s">
        <v>1406</v>
      </c>
      <c r="C231" s="118" t="s">
        <v>241</v>
      </c>
      <c r="D231" s="118" t="s">
        <v>224</v>
      </c>
      <c r="E231" s="120">
        <v>150</v>
      </c>
      <c r="F231" s="118" t="s">
        <v>34</v>
      </c>
      <c r="G231" s="118"/>
      <c r="H231" s="118"/>
      <c r="I231" s="118"/>
      <c r="J231" s="119">
        <v>39929</v>
      </c>
      <c r="K231" s="136"/>
    </row>
    <row r="232" spans="1:11" s="7" customFormat="1">
      <c r="A232" s="117">
        <v>230</v>
      </c>
      <c r="B232" s="118" t="s">
        <v>1407</v>
      </c>
      <c r="C232" s="118" t="s">
        <v>1408</v>
      </c>
      <c r="D232" s="118" t="s">
        <v>224</v>
      </c>
      <c r="E232" s="120">
        <v>786</v>
      </c>
      <c r="F232" s="118" t="s">
        <v>34</v>
      </c>
      <c r="G232" s="118"/>
      <c r="H232" s="118"/>
      <c r="I232" s="118"/>
      <c r="J232" s="119">
        <v>40286</v>
      </c>
      <c r="K232" s="136"/>
    </row>
    <row r="233" spans="1:11" s="7" customFormat="1">
      <c r="A233" s="108">
        <v>231</v>
      </c>
      <c r="B233" s="118" t="s">
        <v>276</v>
      </c>
      <c r="C233" s="118" t="s">
        <v>277</v>
      </c>
      <c r="D233" s="118" t="s">
        <v>224</v>
      </c>
      <c r="E233" s="120">
        <v>500</v>
      </c>
      <c r="F233" s="118" t="s">
        <v>34</v>
      </c>
      <c r="G233" s="118"/>
      <c r="H233" s="118"/>
      <c r="I233" s="118"/>
      <c r="J233" s="119"/>
      <c r="K233" s="136"/>
    </row>
    <row r="234" spans="1:11" s="7" customFormat="1">
      <c r="A234" s="117">
        <v>232</v>
      </c>
      <c r="B234" s="118" t="s">
        <v>278</v>
      </c>
      <c r="C234" s="118" t="s">
        <v>277</v>
      </c>
      <c r="D234" s="118" t="s">
        <v>224</v>
      </c>
      <c r="E234" s="120">
        <v>250</v>
      </c>
      <c r="F234" s="118" t="s">
        <v>34</v>
      </c>
      <c r="G234" s="118"/>
      <c r="H234" s="118"/>
      <c r="I234" s="118"/>
      <c r="J234" s="119"/>
      <c r="K234" s="136"/>
    </row>
    <row r="235" spans="1:11" s="7" customFormat="1">
      <c r="A235" s="108">
        <v>233</v>
      </c>
      <c r="B235" s="118" t="s">
        <v>279</v>
      </c>
      <c r="C235" s="118" t="s">
        <v>277</v>
      </c>
      <c r="D235" s="118" t="s">
        <v>224</v>
      </c>
      <c r="E235" s="120">
        <v>750</v>
      </c>
      <c r="F235" s="118" t="s">
        <v>34</v>
      </c>
      <c r="G235" s="118"/>
      <c r="H235" s="118"/>
      <c r="I235" s="118"/>
      <c r="J235" s="119"/>
      <c r="K235" s="136"/>
    </row>
    <row r="236" spans="1:11" s="7" customFormat="1">
      <c r="A236" s="117">
        <v>234</v>
      </c>
      <c r="B236" s="118" t="s">
        <v>280</v>
      </c>
      <c r="C236" s="118"/>
      <c r="D236" s="118" t="s">
        <v>224</v>
      </c>
      <c r="E236" s="10">
        <v>1990</v>
      </c>
      <c r="F236" s="118"/>
      <c r="G236" s="118"/>
      <c r="H236" s="118"/>
      <c r="I236" s="118"/>
      <c r="J236" s="119"/>
      <c r="K236" s="136"/>
    </row>
    <row r="237" spans="1:11" s="7" customFormat="1" ht="30">
      <c r="A237" s="108">
        <v>235</v>
      </c>
      <c r="B237" s="118" t="s">
        <v>281</v>
      </c>
      <c r="C237" s="118" t="s">
        <v>282</v>
      </c>
      <c r="D237" s="118" t="s">
        <v>224</v>
      </c>
      <c r="E237" s="134">
        <v>500</v>
      </c>
      <c r="F237" s="118" t="s">
        <v>34</v>
      </c>
      <c r="G237" s="118"/>
      <c r="H237" s="118"/>
      <c r="I237" s="118"/>
      <c r="J237" s="119"/>
      <c r="K237" s="136"/>
    </row>
    <row r="238" spans="1:11" s="7" customFormat="1" ht="30">
      <c r="A238" s="117">
        <v>236</v>
      </c>
      <c r="B238" s="118" t="s">
        <v>283</v>
      </c>
      <c r="C238" s="118" t="s">
        <v>284</v>
      </c>
      <c r="D238" s="118" t="s">
        <v>224</v>
      </c>
      <c r="E238" s="134">
        <v>486.5</v>
      </c>
      <c r="F238" s="118" t="s">
        <v>34</v>
      </c>
      <c r="G238" s="118"/>
      <c r="H238" s="118"/>
      <c r="I238" s="118"/>
      <c r="J238" s="119"/>
      <c r="K238" s="136"/>
    </row>
    <row r="239" spans="1:11" s="7" customFormat="1" ht="30">
      <c r="A239" s="108">
        <v>237</v>
      </c>
      <c r="B239" s="118" t="s">
        <v>285</v>
      </c>
      <c r="C239" s="118" t="s">
        <v>284</v>
      </c>
      <c r="D239" s="118" t="s">
        <v>224</v>
      </c>
      <c r="E239" s="134">
        <v>582.5</v>
      </c>
      <c r="F239" s="118" t="s">
        <v>34</v>
      </c>
      <c r="G239" s="118"/>
      <c r="H239" s="118"/>
      <c r="I239" s="118"/>
      <c r="J239" s="119"/>
      <c r="K239" s="136" t="s">
        <v>286</v>
      </c>
    </row>
    <row r="240" spans="1:11" s="7" customFormat="1" ht="30">
      <c r="A240" s="117">
        <v>238</v>
      </c>
      <c r="B240" s="118" t="s">
        <v>287</v>
      </c>
      <c r="C240" s="118" t="s">
        <v>284</v>
      </c>
      <c r="D240" s="118" t="s">
        <v>224</v>
      </c>
      <c r="E240" s="134">
        <v>572.5</v>
      </c>
      <c r="F240" s="118" t="s">
        <v>34</v>
      </c>
      <c r="G240" s="118"/>
      <c r="H240" s="118"/>
      <c r="I240" s="118"/>
      <c r="J240" s="119"/>
      <c r="K240" s="136" t="s">
        <v>288</v>
      </c>
    </row>
    <row r="241" spans="1:11" s="7" customFormat="1">
      <c r="A241" s="108">
        <v>239</v>
      </c>
      <c r="B241" s="118" t="s">
        <v>1409</v>
      </c>
      <c r="C241" s="118" t="s">
        <v>1410</v>
      </c>
      <c r="D241" s="118" t="s">
        <v>224</v>
      </c>
      <c r="E241" s="134">
        <v>693</v>
      </c>
      <c r="F241" s="118" t="s">
        <v>34</v>
      </c>
      <c r="G241" s="118"/>
      <c r="H241" s="118"/>
      <c r="I241" s="118"/>
      <c r="J241" s="119"/>
      <c r="K241" s="136"/>
    </row>
    <row r="242" spans="1:11" s="7" customFormat="1">
      <c r="A242" s="117">
        <v>240</v>
      </c>
      <c r="B242" s="118" t="s">
        <v>289</v>
      </c>
      <c r="C242" s="118" t="s">
        <v>65</v>
      </c>
      <c r="D242" s="118" t="s">
        <v>224</v>
      </c>
      <c r="E242" s="120">
        <v>125</v>
      </c>
      <c r="F242" s="118" t="s">
        <v>34</v>
      </c>
      <c r="G242" s="118"/>
      <c r="H242" s="118"/>
      <c r="I242" s="118"/>
      <c r="J242" s="119"/>
      <c r="K242" s="136" t="s">
        <v>290</v>
      </c>
    </row>
    <row r="243" spans="1:11" s="7" customFormat="1">
      <c r="A243" s="108">
        <v>241</v>
      </c>
      <c r="B243" s="118" t="s">
        <v>291</v>
      </c>
      <c r="C243" s="118" t="s">
        <v>65</v>
      </c>
      <c r="D243" s="118" t="s">
        <v>224</v>
      </c>
      <c r="E243" s="120">
        <v>150</v>
      </c>
      <c r="F243" s="118" t="s">
        <v>34</v>
      </c>
      <c r="G243" s="118"/>
      <c r="H243" s="118"/>
      <c r="I243" s="118"/>
      <c r="J243" s="119"/>
      <c r="K243" s="136" t="s">
        <v>290</v>
      </c>
    </row>
    <row r="244" spans="1:11" s="7" customFormat="1">
      <c r="A244" s="117">
        <v>242</v>
      </c>
      <c r="B244" s="118" t="s">
        <v>292</v>
      </c>
      <c r="C244" s="118" t="s">
        <v>65</v>
      </c>
      <c r="D244" s="118" t="s">
        <v>224</v>
      </c>
      <c r="E244" s="120">
        <v>375</v>
      </c>
      <c r="F244" s="118" t="s">
        <v>34</v>
      </c>
      <c r="G244" s="118"/>
      <c r="H244" s="118"/>
      <c r="I244" s="118"/>
      <c r="J244" s="119"/>
      <c r="K244" s="136" t="s">
        <v>293</v>
      </c>
    </row>
    <row r="245" spans="1:11" s="7" customFormat="1">
      <c r="A245" s="108">
        <v>243</v>
      </c>
      <c r="B245" s="118" t="s">
        <v>294</v>
      </c>
      <c r="C245" s="118" t="s">
        <v>65</v>
      </c>
      <c r="D245" s="118" t="s">
        <v>224</v>
      </c>
      <c r="E245" s="120">
        <v>190</v>
      </c>
      <c r="F245" s="118" t="s">
        <v>34</v>
      </c>
      <c r="G245" s="118"/>
      <c r="H245" s="118"/>
      <c r="I245" s="118"/>
      <c r="J245" s="119"/>
      <c r="K245" s="136" t="s">
        <v>293</v>
      </c>
    </row>
    <row r="246" spans="1:11" s="7" customFormat="1">
      <c r="A246" s="117">
        <v>244</v>
      </c>
      <c r="B246" s="118" t="s">
        <v>1411</v>
      </c>
      <c r="C246" s="118" t="s">
        <v>1412</v>
      </c>
      <c r="D246" s="118" t="s">
        <v>224</v>
      </c>
      <c r="E246" s="120">
        <v>803</v>
      </c>
      <c r="F246" s="118" t="s">
        <v>34</v>
      </c>
      <c r="G246" s="118"/>
      <c r="H246" s="118"/>
      <c r="I246" s="118"/>
      <c r="J246" s="119">
        <v>40286</v>
      </c>
      <c r="K246" s="136"/>
    </row>
    <row r="247" spans="1:11" s="7" customFormat="1">
      <c r="A247" s="108">
        <v>245</v>
      </c>
      <c r="B247" s="118" t="s">
        <v>1413</v>
      </c>
      <c r="C247" s="118" t="s">
        <v>1414</v>
      </c>
      <c r="D247" s="118" t="s">
        <v>224</v>
      </c>
      <c r="E247" s="120">
        <v>760</v>
      </c>
      <c r="F247" s="118" t="s">
        <v>34</v>
      </c>
      <c r="G247" s="118"/>
      <c r="H247" s="118"/>
      <c r="I247" s="118"/>
      <c r="J247" s="119">
        <v>40307</v>
      </c>
      <c r="K247" s="136"/>
    </row>
    <row r="248" spans="1:11" s="7" customFormat="1" ht="30">
      <c r="A248" s="117">
        <v>246</v>
      </c>
      <c r="B248" s="118" t="s">
        <v>1415</v>
      </c>
      <c r="C248" s="118" t="s">
        <v>1416</v>
      </c>
      <c r="D248" s="118" t="s">
        <v>224</v>
      </c>
      <c r="E248" s="120">
        <v>400</v>
      </c>
      <c r="F248" s="118" t="s">
        <v>34</v>
      </c>
      <c r="G248" s="118"/>
      <c r="H248" s="118"/>
      <c r="I248" s="118"/>
      <c r="J248" s="119">
        <v>40286</v>
      </c>
      <c r="K248" s="136"/>
    </row>
    <row r="249" spans="1:11" s="7" customFormat="1">
      <c r="A249" s="108">
        <v>247</v>
      </c>
      <c r="B249" s="118" t="s">
        <v>295</v>
      </c>
      <c r="C249" s="27" t="s">
        <v>31</v>
      </c>
      <c r="D249" s="27" t="s">
        <v>296</v>
      </c>
      <c r="E249" s="135">
        <v>15</v>
      </c>
      <c r="F249" s="27" t="s">
        <v>297</v>
      </c>
      <c r="G249" s="27"/>
      <c r="H249" s="27"/>
      <c r="I249" s="27"/>
      <c r="J249" s="125"/>
      <c r="K249" s="136" t="s">
        <v>298</v>
      </c>
    </row>
    <row r="250" spans="1:11" s="7" customFormat="1">
      <c r="A250" s="117">
        <v>248</v>
      </c>
      <c r="B250" s="118" t="s">
        <v>299</v>
      </c>
      <c r="C250" s="27" t="s">
        <v>31</v>
      </c>
      <c r="D250" s="27" t="s">
        <v>296</v>
      </c>
      <c r="E250" s="120">
        <v>30</v>
      </c>
      <c r="F250" s="27" t="s">
        <v>297</v>
      </c>
      <c r="G250" s="27"/>
      <c r="H250" s="27"/>
      <c r="I250" s="27"/>
      <c r="J250" s="125"/>
      <c r="K250" s="136" t="s">
        <v>298</v>
      </c>
    </row>
    <row r="251" spans="1:11" s="7" customFormat="1">
      <c r="A251" s="108">
        <v>249</v>
      </c>
      <c r="B251" s="118" t="s">
        <v>1417</v>
      </c>
      <c r="C251" s="27" t="s">
        <v>101</v>
      </c>
      <c r="D251" s="27" t="s">
        <v>302</v>
      </c>
      <c r="E251" s="123">
        <v>145</v>
      </c>
      <c r="F251" s="27" t="s">
        <v>34</v>
      </c>
      <c r="G251" s="27"/>
      <c r="H251" s="27"/>
      <c r="I251" s="27"/>
      <c r="J251" s="125">
        <v>40321</v>
      </c>
      <c r="K251" s="27"/>
    </row>
    <row r="252" spans="1:11" s="7" customFormat="1">
      <c r="A252" s="117">
        <v>250</v>
      </c>
      <c r="B252" s="118" t="s">
        <v>300</v>
      </c>
      <c r="C252" s="118" t="s">
        <v>301</v>
      </c>
      <c r="D252" s="118" t="s">
        <v>302</v>
      </c>
      <c r="E252" s="134">
        <v>300</v>
      </c>
      <c r="F252" s="118" t="s">
        <v>34</v>
      </c>
      <c r="G252" s="118"/>
      <c r="H252" s="118"/>
      <c r="I252" s="118"/>
      <c r="J252" s="119"/>
      <c r="K252" s="136"/>
    </row>
    <row r="253" spans="1:11" s="7" customFormat="1">
      <c r="A253" s="108">
        <v>251</v>
      </c>
      <c r="B253" s="118" t="s">
        <v>303</v>
      </c>
      <c r="C253" s="118" t="s">
        <v>304</v>
      </c>
      <c r="D253" s="118" t="s">
        <v>302</v>
      </c>
      <c r="E253" s="10">
        <v>225</v>
      </c>
      <c r="F253" s="118" t="s">
        <v>34</v>
      </c>
      <c r="G253" s="118"/>
      <c r="H253" s="118"/>
      <c r="I253" s="118"/>
      <c r="J253" s="119">
        <v>39867</v>
      </c>
      <c r="K253" s="136"/>
    </row>
    <row r="254" spans="1:11" s="7" customFormat="1">
      <c r="A254" s="117">
        <v>252</v>
      </c>
      <c r="B254" s="118" t="s">
        <v>305</v>
      </c>
      <c r="C254" s="118" t="s">
        <v>306</v>
      </c>
      <c r="D254" s="118" t="s">
        <v>302</v>
      </c>
      <c r="E254" s="134">
        <v>210</v>
      </c>
      <c r="F254" s="118" t="s">
        <v>34</v>
      </c>
      <c r="G254" s="118"/>
      <c r="H254" s="118"/>
      <c r="I254" s="118"/>
      <c r="J254" s="119"/>
      <c r="K254" s="136"/>
    </row>
    <row r="255" spans="1:11" s="7" customFormat="1">
      <c r="A255" s="108">
        <v>253</v>
      </c>
      <c r="B255" s="118" t="s">
        <v>307</v>
      </c>
      <c r="C255" s="118" t="s">
        <v>306</v>
      </c>
      <c r="D255" s="118" t="s">
        <v>302</v>
      </c>
      <c r="E255" s="134">
        <v>125</v>
      </c>
      <c r="F255" s="118" t="s">
        <v>34</v>
      </c>
      <c r="G255" s="118"/>
      <c r="H255" s="118"/>
      <c r="I255" s="118"/>
      <c r="J255" s="119"/>
      <c r="K255" s="136"/>
    </row>
    <row r="256" spans="1:11" s="7" customFormat="1">
      <c r="A256" s="117">
        <v>254</v>
      </c>
      <c r="B256" s="118" t="s">
        <v>308</v>
      </c>
      <c r="C256" s="118" t="s">
        <v>306</v>
      </c>
      <c r="D256" s="118" t="s">
        <v>302</v>
      </c>
      <c r="E256" s="134">
        <v>190</v>
      </c>
      <c r="F256" s="118" t="s">
        <v>34</v>
      </c>
      <c r="G256" s="118"/>
      <c r="H256" s="118"/>
      <c r="I256" s="118"/>
      <c r="J256" s="119"/>
      <c r="K256" s="136"/>
    </row>
    <row r="257" spans="1:11" s="7" customFormat="1">
      <c r="A257" s="108">
        <v>255</v>
      </c>
      <c r="B257" s="118" t="s">
        <v>1418</v>
      </c>
      <c r="C257" s="118" t="s">
        <v>1419</v>
      </c>
      <c r="D257" s="118" t="s">
        <v>302</v>
      </c>
      <c r="E257" s="134">
        <v>78</v>
      </c>
      <c r="F257" s="118" t="s">
        <v>34</v>
      </c>
      <c r="G257" s="118"/>
      <c r="H257" s="118"/>
      <c r="I257" s="118"/>
      <c r="J257" s="119">
        <v>40286</v>
      </c>
      <c r="K257" s="136"/>
    </row>
    <row r="258" spans="1:11" s="7" customFormat="1">
      <c r="A258" s="117">
        <v>256</v>
      </c>
      <c r="B258" s="118" t="s">
        <v>309</v>
      </c>
      <c r="C258" s="118" t="s">
        <v>310</v>
      </c>
      <c r="D258" s="118" t="s">
        <v>302</v>
      </c>
      <c r="E258" s="124">
        <v>250</v>
      </c>
      <c r="F258" s="118" t="s">
        <v>34</v>
      </c>
      <c r="G258" s="118"/>
      <c r="H258" s="118"/>
      <c r="I258" s="118"/>
      <c r="J258" s="119">
        <v>39873</v>
      </c>
      <c r="K258" s="136"/>
    </row>
    <row r="259" spans="1:11" s="7" customFormat="1">
      <c r="A259" s="108">
        <v>257</v>
      </c>
      <c r="B259" s="118" t="s">
        <v>311</v>
      </c>
      <c r="C259" s="118" t="s">
        <v>310</v>
      </c>
      <c r="D259" s="118" t="s">
        <v>302</v>
      </c>
      <c r="E259" s="124">
        <v>145</v>
      </c>
      <c r="F259" s="118" t="s">
        <v>34</v>
      </c>
      <c r="G259" s="118"/>
      <c r="H259" s="118"/>
      <c r="I259" s="118"/>
      <c r="J259" s="119">
        <v>39922</v>
      </c>
      <c r="K259" s="136"/>
    </row>
    <row r="260" spans="1:11" s="7" customFormat="1">
      <c r="A260" s="117">
        <v>258</v>
      </c>
      <c r="B260" s="118" t="s">
        <v>312</v>
      </c>
      <c r="C260" s="118" t="s">
        <v>310</v>
      </c>
      <c r="D260" s="118" t="s">
        <v>302</v>
      </c>
      <c r="E260" s="124">
        <v>181</v>
      </c>
      <c r="F260" s="118" t="s">
        <v>34</v>
      </c>
      <c r="G260" s="118"/>
      <c r="H260" s="118"/>
      <c r="I260" s="118"/>
      <c r="J260" s="119">
        <v>39922</v>
      </c>
      <c r="K260" s="136"/>
    </row>
    <row r="261" spans="1:11" s="7" customFormat="1">
      <c r="A261" s="108">
        <v>259</v>
      </c>
      <c r="B261" s="118" t="s">
        <v>1420</v>
      </c>
      <c r="C261" s="118" t="s">
        <v>1421</v>
      </c>
      <c r="D261" s="118" t="s">
        <v>302</v>
      </c>
      <c r="E261" s="124">
        <v>375</v>
      </c>
      <c r="F261" s="118" t="s">
        <v>34</v>
      </c>
      <c r="G261" s="118"/>
      <c r="H261" s="118"/>
      <c r="I261" s="118"/>
      <c r="J261" s="119">
        <v>40321</v>
      </c>
      <c r="K261" s="136"/>
    </row>
    <row r="262" spans="1:11" s="7" customFormat="1">
      <c r="A262" s="117">
        <v>260</v>
      </c>
      <c r="B262" s="118" t="s">
        <v>313</v>
      </c>
      <c r="C262" s="118" t="s">
        <v>1422</v>
      </c>
      <c r="D262" s="118" t="s">
        <v>302</v>
      </c>
      <c r="E262" s="124">
        <v>100</v>
      </c>
      <c r="F262" s="118" t="s">
        <v>34</v>
      </c>
      <c r="G262" s="118"/>
      <c r="H262" s="118"/>
      <c r="I262" s="118"/>
      <c r="J262" s="119">
        <v>39898</v>
      </c>
      <c r="K262" s="136" t="s">
        <v>314</v>
      </c>
    </row>
    <row r="263" spans="1:11" s="7" customFormat="1">
      <c r="A263" s="108">
        <v>261</v>
      </c>
      <c r="B263" s="118" t="s">
        <v>315</v>
      </c>
      <c r="C263" s="118" t="s">
        <v>316</v>
      </c>
      <c r="D263" s="118" t="s">
        <v>302</v>
      </c>
      <c r="E263" s="124">
        <v>135</v>
      </c>
      <c r="F263" s="118" t="s">
        <v>34</v>
      </c>
      <c r="G263" s="118"/>
      <c r="H263" s="118"/>
      <c r="I263" s="118"/>
      <c r="J263" s="119">
        <v>39873</v>
      </c>
      <c r="K263" s="136" t="s">
        <v>314</v>
      </c>
    </row>
    <row r="264" spans="1:11" s="7" customFormat="1">
      <c r="A264" s="117">
        <v>262</v>
      </c>
      <c r="B264" s="118" t="s">
        <v>1423</v>
      </c>
      <c r="C264" s="118" t="s">
        <v>317</v>
      </c>
      <c r="D264" s="118" t="s">
        <v>302</v>
      </c>
      <c r="E264" s="124">
        <v>189</v>
      </c>
      <c r="F264" s="118" t="s">
        <v>34</v>
      </c>
      <c r="G264" s="118"/>
      <c r="H264" s="118"/>
      <c r="I264" s="118"/>
      <c r="J264" s="119">
        <v>40321</v>
      </c>
      <c r="K264" s="136"/>
    </row>
    <row r="265" spans="1:11" s="7" customFormat="1">
      <c r="A265" s="108">
        <v>263</v>
      </c>
      <c r="B265" s="118" t="s">
        <v>1424</v>
      </c>
      <c r="C265" s="118" t="s">
        <v>317</v>
      </c>
      <c r="D265" s="118" t="s">
        <v>302</v>
      </c>
      <c r="E265" s="134">
        <v>325</v>
      </c>
      <c r="F265" s="118" t="s">
        <v>34</v>
      </c>
      <c r="G265" s="118"/>
      <c r="H265" s="118"/>
      <c r="I265" s="118"/>
      <c r="J265" s="119"/>
      <c r="K265" s="136"/>
    </row>
    <row r="266" spans="1:11" s="7" customFormat="1">
      <c r="A266" s="117">
        <v>264</v>
      </c>
      <c r="B266" s="118" t="s">
        <v>1425</v>
      </c>
      <c r="C266" s="118" t="s">
        <v>317</v>
      </c>
      <c r="D266" s="118" t="s">
        <v>302</v>
      </c>
      <c r="E266" s="134">
        <v>305</v>
      </c>
      <c r="F266" s="118" t="s">
        <v>34</v>
      </c>
      <c r="G266" s="118"/>
      <c r="H266" s="118"/>
      <c r="I266" s="118"/>
      <c r="J266" s="119">
        <v>40307</v>
      </c>
      <c r="K266" s="136"/>
    </row>
    <row r="267" spans="1:11" s="7" customFormat="1">
      <c r="A267" s="108">
        <v>265</v>
      </c>
      <c r="B267" s="118" t="s">
        <v>1426</v>
      </c>
      <c r="C267" s="118" t="s">
        <v>317</v>
      </c>
      <c r="D267" s="118" t="s">
        <v>302</v>
      </c>
      <c r="E267" s="134">
        <v>500</v>
      </c>
      <c r="F267" s="118" t="s">
        <v>34</v>
      </c>
      <c r="G267" s="118"/>
      <c r="H267" s="118"/>
      <c r="I267" s="118"/>
      <c r="J267" s="119">
        <v>40321</v>
      </c>
      <c r="K267" s="136"/>
    </row>
    <row r="268" spans="1:11" s="7" customFormat="1">
      <c r="A268" s="117">
        <v>266</v>
      </c>
      <c r="B268" s="118" t="s">
        <v>1427</v>
      </c>
      <c r="C268" s="118" t="s">
        <v>318</v>
      </c>
      <c r="D268" s="118" t="s">
        <v>302</v>
      </c>
      <c r="E268" s="134">
        <v>117.5</v>
      </c>
      <c r="F268" s="118" t="s">
        <v>34</v>
      </c>
      <c r="G268" s="118"/>
      <c r="H268" s="118"/>
      <c r="I268" s="118"/>
      <c r="J268" s="119">
        <v>40301</v>
      </c>
      <c r="K268" s="136" t="s">
        <v>1428</v>
      </c>
    </row>
    <row r="269" spans="1:11" s="7" customFormat="1">
      <c r="A269" s="108">
        <v>267</v>
      </c>
      <c r="B269" s="118" t="s">
        <v>1429</v>
      </c>
      <c r="C269" s="118" t="s">
        <v>1430</v>
      </c>
      <c r="D269" s="118" t="s">
        <v>302</v>
      </c>
      <c r="E269" s="134">
        <v>337.5</v>
      </c>
      <c r="F269" s="118" t="s">
        <v>34</v>
      </c>
      <c r="G269" s="118"/>
      <c r="H269" s="118"/>
      <c r="I269" s="118"/>
      <c r="J269" s="119">
        <v>40301</v>
      </c>
      <c r="K269" s="136" t="s">
        <v>1431</v>
      </c>
    </row>
    <row r="270" spans="1:11" s="7" customFormat="1">
      <c r="A270" s="117">
        <v>268</v>
      </c>
      <c r="B270" s="118" t="s">
        <v>319</v>
      </c>
      <c r="C270" s="118" t="s">
        <v>318</v>
      </c>
      <c r="D270" s="118" t="s">
        <v>302</v>
      </c>
      <c r="E270" s="10">
        <v>400</v>
      </c>
      <c r="F270" s="118" t="s">
        <v>34</v>
      </c>
      <c r="G270" s="118"/>
      <c r="H270" s="118"/>
      <c r="I270" s="118"/>
      <c r="J270" s="119">
        <v>39867</v>
      </c>
      <c r="K270" s="136"/>
    </row>
    <row r="271" spans="1:11" s="7" customFormat="1">
      <c r="A271" s="108">
        <v>269</v>
      </c>
      <c r="B271" s="118" t="s">
        <v>320</v>
      </c>
      <c r="C271" s="118" t="s">
        <v>318</v>
      </c>
      <c r="D271" s="118" t="s">
        <v>302</v>
      </c>
      <c r="E271" s="134">
        <v>412.5</v>
      </c>
      <c r="F271" s="118" t="s">
        <v>34</v>
      </c>
      <c r="G271" s="118"/>
      <c r="H271" s="118"/>
      <c r="I271" s="118"/>
      <c r="J271" s="119"/>
      <c r="K271" s="136"/>
    </row>
    <row r="272" spans="1:11" s="7" customFormat="1">
      <c r="A272" s="117">
        <v>270</v>
      </c>
      <c r="B272" s="118" t="s">
        <v>321</v>
      </c>
      <c r="C272" s="118" t="s">
        <v>318</v>
      </c>
      <c r="D272" s="118" t="s">
        <v>302</v>
      </c>
      <c r="E272" s="134">
        <v>660</v>
      </c>
      <c r="F272" s="118" t="s">
        <v>34</v>
      </c>
      <c r="G272" s="118"/>
      <c r="H272" s="118"/>
      <c r="I272" s="118"/>
      <c r="J272" s="119"/>
      <c r="K272" s="136"/>
    </row>
    <row r="273" spans="1:11" s="7" customFormat="1">
      <c r="A273" s="108">
        <v>271</v>
      </c>
      <c r="B273" s="118" t="s">
        <v>322</v>
      </c>
      <c r="C273" s="118" t="s">
        <v>323</v>
      </c>
      <c r="D273" s="118" t="s">
        <v>302</v>
      </c>
      <c r="E273" s="134">
        <v>175</v>
      </c>
      <c r="F273" s="118" t="s">
        <v>34</v>
      </c>
      <c r="G273" s="118"/>
      <c r="H273" s="118"/>
      <c r="I273" s="118"/>
      <c r="J273" s="119"/>
      <c r="K273" s="136"/>
    </row>
    <row r="274" spans="1:11" s="7" customFormat="1">
      <c r="A274" s="117">
        <v>272</v>
      </c>
      <c r="B274" s="118" t="s">
        <v>324</v>
      </c>
      <c r="C274" s="118" t="s">
        <v>323</v>
      </c>
      <c r="D274" s="118" t="s">
        <v>302</v>
      </c>
      <c r="E274" s="134">
        <v>200</v>
      </c>
      <c r="F274" s="118" t="s">
        <v>34</v>
      </c>
      <c r="G274" s="118"/>
      <c r="H274" s="118"/>
      <c r="I274" s="118"/>
      <c r="J274" s="119"/>
      <c r="K274" s="136"/>
    </row>
    <row r="275" spans="1:11" s="7" customFormat="1">
      <c r="A275" s="108">
        <v>273</v>
      </c>
      <c r="B275" s="118" t="s">
        <v>325</v>
      </c>
      <c r="C275" s="118" t="s">
        <v>323</v>
      </c>
      <c r="D275" s="118" t="s">
        <v>302</v>
      </c>
      <c r="E275" s="134">
        <v>300</v>
      </c>
      <c r="F275" s="118" t="s">
        <v>34</v>
      </c>
      <c r="G275" s="118"/>
      <c r="H275" s="118"/>
      <c r="I275" s="118"/>
      <c r="J275" s="119"/>
      <c r="K275" s="136"/>
    </row>
    <row r="276" spans="1:11" s="7" customFormat="1">
      <c r="A276" s="117">
        <v>274</v>
      </c>
      <c r="B276" s="118" t="s">
        <v>326</v>
      </c>
      <c r="C276" s="118" t="s">
        <v>327</v>
      </c>
      <c r="D276" s="118" t="s">
        <v>302</v>
      </c>
      <c r="E276" s="120">
        <v>85</v>
      </c>
      <c r="F276" s="118" t="s">
        <v>34</v>
      </c>
      <c r="G276" s="118"/>
      <c r="H276" s="118"/>
      <c r="I276" s="118"/>
      <c r="J276" s="119"/>
      <c r="K276" s="136"/>
    </row>
    <row r="277" spans="1:11" s="7" customFormat="1">
      <c r="A277" s="108">
        <v>275</v>
      </c>
      <c r="B277" s="118" t="s">
        <v>328</v>
      </c>
      <c r="C277" s="118" t="s">
        <v>329</v>
      </c>
      <c r="D277" s="118" t="s">
        <v>302</v>
      </c>
      <c r="E277" s="138">
        <v>0</v>
      </c>
      <c r="F277" s="118" t="s">
        <v>34</v>
      </c>
      <c r="G277" s="118"/>
      <c r="H277" s="118"/>
      <c r="I277" s="118"/>
      <c r="J277" s="119"/>
      <c r="K277" s="136"/>
    </row>
    <row r="278" spans="1:11" s="7" customFormat="1">
      <c r="A278" s="117">
        <v>276</v>
      </c>
      <c r="B278" s="118" t="s">
        <v>330</v>
      </c>
      <c r="C278" s="118" t="s">
        <v>31</v>
      </c>
      <c r="D278" s="118" t="s">
        <v>302</v>
      </c>
      <c r="E278" s="138">
        <v>5</v>
      </c>
      <c r="F278" s="118" t="s">
        <v>34</v>
      </c>
      <c r="G278" s="118"/>
      <c r="H278" s="118"/>
      <c r="I278" s="118"/>
      <c r="J278" s="119">
        <v>39898</v>
      </c>
      <c r="K278" s="136"/>
    </row>
    <row r="279" spans="1:11" s="7" customFormat="1">
      <c r="A279" s="108">
        <v>277</v>
      </c>
      <c r="B279" s="118" t="s">
        <v>1432</v>
      </c>
      <c r="C279" s="118" t="s">
        <v>1433</v>
      </c>
      <c r="D279" s="118" t="s">
        <v>302</v>
      </c>
      <c r="E279" s="138">
        <v>170</v>
      </c>
      <c r="F279" s="118" t="s">
        <v>597</v>
      </c>
      <c r="G279" s="118"/>
      <c r="H279" s="118"/>
      <c r="I279" s="118"/>
      <c r="J279" s="119">
        <v>40322</v>
      </c>
      <c r="K279" s="136"/>
    </row>
    <row r="280" spans="1:11" s="7" customFormat="1">
      <c r="A280" s="117">
        <v>278</v>
      </c>
      <c r="B280" s="118" t="s">
        <v>331</v>
      </c>
      <c r="C280" s="118" t="s">
        <v>332</v>
      </c>
      <c r="D280" s="118" t="s">
        <v>302</v>
      </c>
      <c r="E280" s="124">
        <v>360</v>
      </c>
      <c r="F280" s="118" t="s">
        <v>34</v>
      </c>
      <c r="G280" s="118"/>
      <c r="H280" s="118"/>
      <c r="I280" s="118"/>
      <c r="J280" s="119">
        <v>39867</v>
      </c>
      <c r="K280" s="136"/>
    </row>
    <row r="281" spans="1:11" s="7" customFormat="1">
      <c r="A281" s="108">
        <v>279</v>
      </c>
      <c r="B281" s="118" t="s">
        <v>1434</v>
      </c>
      <c r="C281" s="118" t="s">
        <v>332</v>
      </c>
      <c r="D281" s="118" t="s">
        <v>302</v>
      </c>
      <c r="E281" s="124">
        <v>370</v>
      </c>
      <c r="F281" s="118" t="s">
        <v>34</v>
      </c>
      <c r="G281" s="118"/>
      <c r="H281" s="118"/>
      <c r="I281" s="118"/>
      <c r="J281" s="119">
        <v>40268</v>
      </c>
      <c r="K281" s="136"/>
    </row>
    <row r="282" spans="1:11" s="7" customFormat="1">
      <c r="A282" s="117">
        <v>280</v>
      </c>
      <c r="B282" s="118" t="s">
        <v>1435</v>
      </c>
      <c r="C282" s="118" t="s">
        <v>31</v>
      </c>
      <c r="D282" s="118" t="s">
        <v>334</v>
      </c>
      <c r="E282" s="124">
        <v>0</v>
      </c>
      <c r="F282" s="118" t="s">
        <v>34</v>
      </c>
      <c r="G282" s="118"/>
      <c r="H282" s="118"/>
      <c r="I282" s="118"/>
      <c r="J282" s="119">
        <v>40257</v>
      </c>
      <c r="K282" s="136" t="s">
        <v>158</v>
      </c>
    </row>
    <row r="283" spans="1:11" s="7" customFormat="1">
      <c r="A283" s="108">
        <v>281</v>
      </c>
      <c r="B283" s="118" t="s">
        <v>333</v>
      </c>
      <c r="C283" s="118" t="s">
        <v>31</v>
      </c>
      <c r="D283" s="118" t="s">
        <v>334</v>
      </c>
      <c r="E283" s="124">
        <v>2.5</v>
      </c>
      <c r="F283" s="118" t="s">
        <v>34</v>
      </c>
      <c r="G283" s="118"/>
      <c r="H283" s="118"/>
      <c r="I283" s="118"/>
      <c r="J283" s="119">
        <v>39922</v>
      </c>
      <c r="K283" s="136" t="s">
        <v>335</v>
      </c>
    </row>
    <row r="284" spans="1:11" s="7" customFormat="1">
      <c r="A284" s="117">
        <v>282</v>
      </c>
      <c r="B284" s="118" t="s">
        <v>336</v>
      </c>
      <c r="C284" s="118" t="s">
        <v>31</v>
      </c>
      <c r="D284" s="118" t="s">
        <v>334</v>
      </c>
      <c r="E284" s="139">
        <v>0.05</v>
      </c>
      <c r="F284" s="118" t="s">
        <v>37</v>
      </c>
      <c r="G284" s="118"/>
      <c r="H284" s="118"/>
      <c r="I284" s="118"/>
      <c r="J284" s="119"/>
      <c r="K284" s="136"/>
    </row>
    <row r="285" spans="1:11" s="7" customFormat="1">
      <c r="A285" s="108">
        <v>283</v>
      </c>
      <c r="B285" s="118" t="s">
        <v>337</v>
      </c>
      <c r="C285" s="118" t="s">
        <v>31</v>
      </c>
      <c r="D285" s="118" t="s">
        <v>334</v>
      </c>
      <c r="E285" s="120">
        <v>0.05</v>
      </c>
      <c r="F285" s="118" t="s">
        <v>37</v>
      </c>
      <c r="G285" s="118"/>
      <c r="H285" s="118"/>
      <c r="I285" s="118"/>
      <c r="J285" s="119"/>
      <c r="K285" s="136" t="s">
        <v>338</v>
      </c>
    </row>
    <row r="286" spans="1:11" s="7" customFormat="1">
      <c r="A286" s="117">
        <v>284</v>
      </c>
      <c r="B286" s="118" t="s">
        <v>1436</v>
      </c>
      <c r="C286" s="118" t="s">
        <v>31</v>
      </c>
      <c r="D286" s="27" t="s">
        <v>334</v>
      </c>
      <c r="E286" s="10">
        <v>0</v>
      </c>
      <c r="F286" s="118" t="s">
        <v>34</v>
      </c>
      <c r="G286" s="118"/>
      <c r="H286" s="118"/>
      <c r="I286" s="118"/>
      <c r="J286" s="119">
        <v>40263</v>
      </c>
      <c r="K286" s="136" t="s">
        <v>158</v>
      </c>
    </row>
    <row r="287" spans="1:11" s="7" customFormat="1">
      <c r="A287" s="108">
        <v>285</v>
      </c>
      <c r="B287" s="118" t="s">
        <v>339</v>
      </c>
      <c r="C287" s="118" t="s">
        <v>31</v>
      </c>
      <c r="D287" s="118" t="s">
        <v>334</v>
      </c>
      <c r="E287" s="124">
        <v>5</v>
      </c>
      <c r="F287" s="118" t="s">
        <v>34</v>
      </c>
      <c r="G287" s="118"/>
      <c r="H287" s="118"/>
      <c r="I287" s="118"/>
      <c r="J287" s="119"/>
      <c r="K287" s="136"/>
    </row>
    <row r="288" spans="1:11" s="7" customFormat="1">
      <c r="A288" s="117">
        <v>286</v>
      </c>
      <c r="B288" s="118" t="s">
        <v>340</v>
      </c>
      <c r="C288" s="118" t="s">
        <v>31</v>
      </c>
      <c r="D288" s="118" t="s">
        <v>334</v>
      </c>
      <c r="E288" s="124">
        <v>2.5</v>
      </c>
      <c r="F288" s="118" t="s">
        <v>34</v>
      </c>
      <c r="G288" s="118"/>
      <c r="H288" s="118"/>
      <c r="I288" s="118"/>
      <c r="J288" s="119">
        <v>39922</v>
      </c>
      <c r="K288" s="136" t="s">
        <v>335</v>
      </c>
    </row>
    <row r="289" spans="1:12" s="7" customFormat="1">
      <c r="A289" s="108">
        <v>287</v>
      </c>
      <c r="B289" s="118" t="s">
        <v>341</v>
      </c>
      <c r="C289" s="118" t="s">
        <v>31</v>
      </c>
      <c r="D289" s="118" t="s">
        <v>334</v>
      </c>
      <c r="E289" s="124">
        <v>20</v>
      </c>
      <c r="F289" s="118" t="s">
        <v>34</v>
      </c>
      <c r="G289" s="118"/>
      <c r="H289" s="118"/>
      <c r="I289" s="118"/>
      <c r="J289" s="119">
        <v>39873</v>
      </c>
      <c r="K289" s="136" t="s">
        <v>342</v>
      </c>
    </row>
    <row r="290" spans="1:12" s="7" customFormat="1">
      <c r="A290" s="117">
        <v>288</v>
      </c>
      <c r="B290" s="118" t="s">
        <v>343</v>
      </c>
      <c r="C290" s="118" t="s">
        <v>31</v>
      </c>
      <c r="D290" s="118" t="s">
        <v>334</v>
      </c>
      <c r="E290" s="124">
        <v>20</v>
      </c>
      <c r="F290" s="118" t="s">
        <v>34</v>
      </c>
      <c r="G290" s="118"/>
      <c r="H290" s="118"/>
      <c r="I290" s="118"/>
      <c r="J290" s="119"/>
      <c r="K290" s="136" t="s">
        <v>344</v>
      </c>
    </row>
    <row r="291" spans="1:12" s="7" customFormat="1">
      <c r="A291" s="108">
        <v>289</v>
      </c>
      <c r="B291" s="118" t="s">
        <v>345</v>
      </c>
      <c r="C291" s="118" t="s">
        <v>31</v>
      </c>
      <c r="D291" s="118" t="s">
        <v>334</v>
      </c>
      <c r="E291" s="137">
        <v>45</v>
      </c>
      <c r="F291" s="118" t="s">
        <v>34</v>
      </c>
      <c r="G291" s="118"/>
      <c r="H291" s="118"/>
      <c r="I291" s="118"/>
      <c r="J291" s="119"/>
      <c r="K291" s="136" t="s">
        <v>346</v>
      </c>
    </row>
    <row r="292" spans="1:12" s="7" customFormat="1">
      <c r="A292" s="117">
        <v>290</v>
      </c>
      <c r="B292" s="118" t="s">
        <v>347</v>
      </c>
      <c r="C292" s="118" t="s">
        <v>31</v>
      </c>
      <c r="D292" s="118" t="s">
        <v>334</v>
      </c>
      <c r="E292" s="124">
        <v>0</v>
      </c>
      <c r="F292" s="118" t="s">
        <v>34</v>
      </c>
      <c r="G292" s="118"/>
      <c r="H292" s="118"/>
      <c r="I292" s="118"/>
      <c r="J292" s="119"/>
      <c r="K292" s="136" t="s">
        <v>158</v>
      </c>
    </row>
    <row r="293" spans="1:12" s="7" customFormat="1">
      <c r="A293" s="108">
        <v>291</v>
      </c>
      <c r="B293" s="118" t="s">
        <v>348</v>
      </c>
      <c r="C293" s="118" t="s">
        <v>31</v>
      </c>
      <c r="D293" s="118" t="s">
        <v>334</v>
      </c>
      <c r="E293" s="120">
        <v>110</v>
      </c>
      <c r="F293" s="118" t="s">
        <v>34</v>
      </c>
      <c r="G293" s="118"/>
      <c r="H293" s="118"/>
      <c r="I293" s="118"/>
      <c r="J293" s="119">
        <v>39873</v>
      </c>
      <c r="K293" s="136"/>
    </row>
    <row r="294" spans="1:12" s="7" customFormat="1">
      <c r="A294" s="117">
        <v>292</v>
      </c>
      <c r="B294" s="118" t="s">
        <v>349</v>
      </c>
      <c r="C294" s="118" t="s">
        <v>350</v>
      </c>
      <c r="D294" s="118" t="s">
        <v>334</v>
      </c>
      <c r="E294" s="124">
        <v>165</v>
      </c>
      <c r="F294" s="118" t="s">
        <v>34</v>
      </c>
      <c r="G294" s="118"/>
      <c r="H294" s="118"/>
      <c r="I294" s="118"/>
      <c r="J294" s="119">
        <v>39924</v>
      </c>
      <c r="K294" s="136"/>
    </row>
    <row r="295" spans="1:12" s="7" customFormat="1" ht="30">
      <c r="A295" s="108">
        <v>293</v>
      </c>
      <c r="B295" s="118" t="s">
        <v>351</v>
      </c>
      <c r="C295" s="118" t="s">
        <v>31</v>
      </c>
      <c r="D295" s="118" t="s">
        <v>334</v>
      </c>
      <c r="E295" s="120">
        <v>110</v>
      </c>
      <c r="F295" s="118" t="s">
        <v>34</v>
      </c>
      <c r="G295" s="118"/>
      <c r="H295" s="118"/>
      <c r="I295" s="118"/>
      <c r="J295" s="119"/>
      <c r="K295" s="136"/>
    </row>
    <row r="296" spans="1:12" s="7" customFormat="1">
      <c r="A296" s="117">
        <v>294</v>
      </c>
      <c r="B296" s="118" t="s">
        <v>352</v>
      </c>
      <c r="C296" s="118" t="s">
        <v>353</v>
      </c>
      <c r="D296" s="118" t="s">
        <v>334</v>
      </c>
      <c r="E296" s="120">
        <v>165</v>
      </c>
      <c r="F296" s="118" t="s">
        <v>34</v>
      </c>
      <c r="G296" s="118"/>
      <c r="H296" s="118"/>
      <c r="I296" s="118"/>
      <c r="J296" s="119"/>
      <c r="K296" s="136"/>
    </row>
    <row r="297" spans="1:12" s="7" customFormat="1">
      <c r="A297" s="108">
        <v>295</v>
      </c>
      <c r="B297" s="118" t="s">
        <v>354</v>
      </c>
      <c r="C297" s="118" t="s">
        <v>353</v>
      </c>
      <c r="D297" s="118" t="s">
        <v>334</v>
      </c>
      <c r="E297" s="120">
        <v>165</v>
      </c>
      <c r="F297" s="118" t="s">
        <v>34</v>
      </c>
      <c r="G297" s="118"/>
      <c r="H297" s="118"/>
      <c r="I297" s="118"/>
      <c r="J297" s="119"/>
      <c r="K297" s="136"/>
    </row>
    <row r="298" spans="1:12" s="7" customFormat="1">
      <c r="A298" s="117">
        <v>296</v>
      </c>
      <c r="B298" s="118" t="s">
        <v>355</v>
      </c>
      <c r="C298" s="118" t="s">
        <v>31</v>
      </c>
      <c r="D298" s="118" t="s">
        <v>334</v>
      </c>
      <c r="E298" s="120">
        <v>60</v>
      </c>
      <c r="F298" s="118" t="s">
        <v>34</v>
      </c>
      <c r="G298" s="118"/>
      <c r="H298" s="118"/>
      <c r="I298" s="118"/>
      <c r="J298" s="119"/>
      <c r="K298" s="136"/>
      <c r="L298" s="16"/>
    </row>
    <row r="299" spans="1:12" s="7" customFormat="1">
      <c r="A299" s="108">
        <v>297</v>
      </c>
      <c r="B299" s="118" t="s">
        <v>1437</v>
      </c>
      <c r="C299" s="118" t="s">
        <v>31</v>
      </c>
      <c r="D299" s="118" t="s">
        <v>334</v>
      </c>
      <c r="E299" s="124">
        <v>0</v>
      </c>
      <c r="F299" s="118" t="s">
        <v>34</v>
      </c>
      <c r="G299" s="118"/>
      <c r="H299" s="118"/>
      <c r="I299" s="118"/>
      <c r="J299" s="119"/>
      <c r="K299" s="136" t="s">
        <v>158</v>
      </c>
      <c r="L299" s="16"/>
    </row>
    <row r="300" spans="1:12" s="7" customFormat="1">
      <c r="A300" s="117">
        <v>298</v>
      </c>
      <c r="B300" s="118" t="s">
        <v>356</v>
      </c>
      <c r="C300" s="118" t="s">
        <v>31</v>
      </c>
      <c r="D300" s="118" t="s">
        <v>334</v>
      </c>
      <c r="E300" s="124">
        <v>0</v>
      </c>
      <c r="F300" s="118" t="s">
        <v>34</v>
      </c>
      <c r="G300" s="118"/>
      <c r="H300" s="118"/>
      <c r="I300" s="118"/>
      <c r="J300" s="119"/>
      <c r="K300" s="136" t="s">
        <v>158</v>
      </c>
      <c r="L300" s="16"/>
    </row>
    <row r="301" spans="1:12" s="7" customFormat="1">
      <c r="A301" s="108">
        <v>299</v>
      </c>
      <c r="B301" s="118" t="s">
        <v>357</v>
      </c>
      <c r="C301" s="118" t="s">
        <v>31</v>
      </c>
      <c r="D301" s="118" t="s">
        <v>334</v>
      </c>
      <c r="E301" s="124">
        <v>0</v>
      </c>
      <c r="F301" s="118" t="s">
        <v>34</v>
      </c>
      <c r="G301" s="118"/>
      <c r="H301" s="118"/>
      <c r="I301" s="118"/>
      <c r="J301" s="119"/>
      <c r="K301" s="136" t="s">
        <v>158</v>
      </c>
    </row>
    <row r="302" spans="1:12" s="7" customFormat="1">
      <c r="A302" s="117">
        <v>300</v>
      </c>
      <c r="B302" s="118" t="s">
        <v>358</v>
      </c>
      <c r="C302" s="118" t="s">
        <v>31</v>
      </c>
      <c r="D302" s="118" t="s">
        <v>334</v>
      </c>
      <c r="E302" s="124">
        <v>20</v>
      </c>
      <c r="F302" s="118" t="s">
        <v>34</v>
      </c>
      <c r="G302" s="118"/>
      <c r="H302" s="118"/>
      <c r="I302" s="118"/>
      <c r="J302" s="119"/>
      <c r="K302" s="136"/>
    </row>
    <row r="303" spans="1:12" s="7" customFormat="1">
      <c r="A303" s="108">
        <v>301</v>
      </c>
      <c r="B303" s="118" t="s">
        <v>359</v>
      </c>
      <c r="C303" s="118" t="s">
        <v>31</v>
      </c>
      <c r="D303" s="118" t="s">
        <v>360</v>
      </c>
      <c r="E303" s="137">
        <v>65</v>
      </c>
      <c r="F303" s="118" t="s">
        <v>208</v>
      </c>
      <c r="G303" s="118"/>
      <c r="H303" s="118"/>
      <c r="I303" s="118"/>
      <c r="J303" s="119"/>
      <c r="K303" s="136"/>
    </row>
    <row r="304" spans="1:12" s="7" customFormat="1">
      <c r="A304" s="117">
        <v>302</v>
      </c>
      <c r="B304" s="118" t="s">
        <v>361</v>
      </c>
      <c r="C304" s="118" t="s">
        <v>31</v>
      </c>
      <c r="D304" s="27" t="s">
        <v>360</v>
      </c>
      <c r="E304" s="120">
        <v>3</v>
      </c>
      <c r="F304" s="27" t="s">
        <v>208</v>
      </c>
      <c r="G304" s="27"/>
      <c r="H304" s="27"/>
      <c r="I304" s="27"/>
      <c r="J304" s="125"/>
      <c r="K304" s="136"/>
    </row>
    <row r="305" spans="1:11" s="7" customFormat="1">
      <c r="A305" s="108">
        <v>303</v>
      </c>
      <c r="B305" s="118" t="s">
        <v>362</v>
      </c>
      <c r="C305" s="118" t="s">
        <v>363</v>
      </c>
      <c r="D305" s="27" t="s">
        <v>360</v>
      </c>
      <c r="E305" s="120">
        <v>8.8000000000000007</v>
      </c>
      <c r="F305" s="27" t="s">
        <v>34</v>
      </c>
      <c r="G305" s="27"/>
      <c r="H305" s="27"/>
      <c r="I305" s="27"/>
      <c r="J305" s="125">
        <v>39922</v>
      </c>
      <c r="K305" s="136"/>
    </row>
    <row r="306" spans="1:11" s="7" customFormat="1">
      <c r="A306" s="117">
        <v>304</v>
      </c>
      <c r="B306" s="118" t="s">
        <v>364</v>
      </c>
      <c r="C306" s="118" t="s">
        <v>31</v>
      </c>
      <c r="D306" s="118" t="s">
        <v>360</v>
      </c>
      <c r="E306" s="124">
        <v>1</v>
      </c>
      <c r="F306" s="118" t="s">
        <v>365</v>
      </c>
      <c r="G306" s="118"/>
      <c r="H306" s="118"/>
      <c r="I306" s="118"/>
      <c r="J306" s="119"/>
      <c r="K306" s="136"/>
    </row>
    <row r="307" spans="1:11" s="7" customFormat="1">
      <c r="A307" s="108">
        <v>305</v>
      </c>
      <c r="B307" s="118" t="s">
        <v>366</v>
      </c>
      <c r="C307" s="118" t="s">
        <v>31</v>
      </c>
      <c r="D307" s="118" t="s">
        <v>360</v>
      </c>
      <c r="E307" s="124">
        <v>1</v>
      </c>
      <c r="F307" s="118" t="s">
        <v>365</v>
      </c>
      <c r="G307" s="118"/>
      <c r="H307" s="118"/>
      <c r="I307" s="118"/>
      <c r="J307" s="119"/>
      <c r="K307" s="136" t="s">
        <v>367</v>
      </c>
    </row>
    <row r="308" spans="1:11" s="7" customFormat="1">
      <c r="A308" s="117">
        <v>306</v>
      </c>
      <c r="B308" s="118" t="s">
        <v>368</v>
      </c>
      <c r="C308" s="118" t="s">
        <v>31</v>
      </c>
      <c r="D308" s="118" t="s">
        <v>360</v>
      </c>
      <c r="E308" s="124">
        <v>2</v>
      </c>
      <c r="F308" s="118" t="s">
        <v>365</v>
      </c>
      <c r="G308" s="118"/>
      <c r="H308" s="118"/>
      <c r="I308" s="118"/>
      <c r="J308" s="119"/>
      <c r="K308" s="136" t="s">
        <v>369</v>
      </c>
    </row>
    <row r="309" spans="1:11" s="7" customFormat="1">
      <c r="A309" s="108">
        <v>307</v>
      </c>
      <c r="B309" s="118" t="s">
        <v>370</v>
      </c>
      <c r="C309" s="118" t="s">
        <v>31</v>
      </c>
      <c r="D309" s="118" t="s">
        <v>360</v>
      </c>
      <c r="E309" s="124">
        <v>0.5</v>
      </c>
      <c r="F309" s="118" t="s">
        <v>365</v>
      </c>
      <c r="G309" s="118"/>
      <c r="H309" s="118"/>
      <c r="I309" s="118"/>
      <c r="J309" s="119"/>
      <c r="K309" s="136"/>
    </row>
    <row r="310" spans="1:11" s="7" customFormat="1">
      <c r="A310" s="117">
        <v>308</v>
      </c>
      <c r="B310" s="118" t="s">
        <v>371</v>
      </c>
      <c r="C310" s="118" t="s">
        <v>31</v>
      </c>
      <c r="D310" s="118" t="s">
        <v>360</v>
      </c>
      <c r="E310" s="124">
        <v>0.05</v>
      </c>
      <c r="F310" s="118" t="s">
        <v>372</v>
      </c>
      <c r="G310" s="118"/>
      <c r="H310" s="118"/>
      <c r="I310" s="118"/>
      <c r="J310" s="119"/>
      <c r="K310" s="136" t="s">
        <v>373</v>
      </c>
    </row>
    <row r="311" spans="1:11" s="7" customFormat="1">
      <c r="A311" s="108">
        <v>309</v>
      </c>
      <c r="B311" s="118" t="s">
        <v>1438</v>
      </c>
      <c r="C311" s="118" t="s">
        <v>259</v>
      </c>
      <c r="D311" s="118" t="s">
        <v>360</v>
      </c>
      <c r="E311" s="124">
        <v>383</v>
      </c>
      <c r="F311" s="118" t="s">
        <v>34</v>
      </c>
      <c r="G311" s="118"/>
      <c r="H311" s="118"/>
      <c r="I311" s="118"/>
      <c r="J311" s="119">
        <v>40238</v>
      </c>
      <c r="K311" s="136"/>
    </row>
    <row r="312" spans="1:11" s="7" customFormat="1">
      <c r="A312" s="117">
        <v>310</v>
      </c>
      <c r="B312" s="118" t="s">
        <v>374</v>
      </c>
      <c r="C312" s="118" t="s">
        <v>31</v>
      </c>
      <c r="D312" s="118" t="s">
        <v>360</v>
      </c>
      <c r="E312" s="124">
        <v>1</v>
      </c>
      <c r="F312" s="118" t="s">
        <v>375</v>
      </c>
      <c r="G312" s="118"/>
      <c r="H312" s="118"/>
      <c r="I312" s="118"/>
      <c r="J312" s="119"/>
      <c r="K312" s="136" t="s">
        <v>376</v>
      </c>
    </row>
    <row r="313" spans="1:11" s="7" customFormat="1">
      <c r="A313" s="108">
        <v>311</v>
      </c>
      <c r="B313" s="118" t="s">
        <v>377</v>
      </c>
      <c r="C313" s="118" t="s">
        <v>31</v>
      </c>
      <c r="D313" s="118" t="s">
        <v>360</v>
      </c>
      <c r="E313" s="126" t="s">
        <v>378</v>
      </c>
      <c r="F313" s="118" t="s">
        <v>379</v>
      </c>
      <c r="G313" s="118"/>
      <c r="H313" s="118">
        <v>1.25</v>
      </c>
      <c r="I313" s="118">
        <v>0</v>
      </c>
      <c r="J313" s="119">
        <v>39874</v>
      </c>
      <c r="K313" s="136" t="s">
        <v>380</v>
      </c>
    </row>
    <row r="314" spans="1:11" s="7" customFormat="1">
      <c r="A314" s="117">
        <v>312</v>
      </c>
      <c r="B314" s="118" t="s">
        <v>381</v>
      </c>
      <c r="C314" s="118" t="s">
        <v>31</v>
      </c>
      <c r="D314" s="118" t="s">
        <v>360</v>
      </c>
      <c r="E314" s="126" t="s">
        <v>42</v>
      </c>
      <c r="F314" s="118" t="s">
        <v>382</v>
      </c>
      <c r="G314" s="118" t="s">
        <v>382</v>
      </c>
      <c r="H314" s="118">
        <v>1.25</v>
      </c>
      <c r="I314" s="118">
        <v>0</v>
      </c>
      <c r="J314" s="119">
        <v>39869</v>
      </c>
      <c r="K314" s="136" t="s">
        <v>383</v>
      </c>
    </row>
    <row r="315" spans="1:11" s="7" customFormat="1">
      <c r="A315" s="108">
        <v>313</v>
      </c>
      <c r="B315" s="118" t="s">
        <v>384</v>
      </c>
      <c r="C315" s="118" t="s">
        <v>31</v>
      </c>
      <c r="D315" s="118" t="s">
        <v>360</v>
      </c>
      <c r="E315" s="120">
        <v>2</v>
      </c>
      <c r="F315" s="118" t="s">
        <v>375</v>
      </c>
      <c r="G315" s="118"/>
      <c r="H315" s="118"/>
      <c r="I315" s="118"/>
      <c r="J315" s="119"/>
      <c r="K315" s="136" t="s">
        <v>376</v>
      </c>
    </row>
    <row r="316" spans="1:11" s="7" customFormat="1">
      <c r="A316" s="117">
        <v>314</v>
      </c>
      <c r="B316" s="118" t="s">
        <v>385</v>
      </c>
      <c r="C316" s="118" t="s">
        <v>31</v>
      </c>
      <c r="D316" s="118" t="s">
        <v>360</v>
      </c>
      <c r="E316" s="120">
        <v>0.25</v>
      </c>
      <c r="F316" s="118" t="s">
        <v>365</v>
      </c>
      <c r="G316" s="118"/>
      <c r="H316" s="118"/>
      <c r="I316" s="118"/>
      <c r="J316" s="119"/>
      <c r="K316" s="136" t="s">
        <v>386</v>
      </c>
    </row>
    <row r="317" spans="1:11" s="7" customFormat="1">
      <c r="A317" s="108">
        <v>315</v>
      </c>
      <c r="B317" s="118" t="s">
        <v>387</v>
      </c>
      <c r="C317" s="118" t="s">
        <v>31</v>
      </c>
      <c r="D317" s="118" t="s">
        <v>360</v>
      </c>
      <c r="E317" s="124">
        <v>0.5</v>
      </c>
      <c r="F317" s="118" t="s">
        <v>34</v>
      </c>
      <c r="G317" s="118"/>
      <c r="H317" s="118"/>
      <c r="I317" s="118"/>
      <c r="J317" s="119"/>
      <c r="K317" s="136"/>
    </row>
    <row r="318" spans="1:11" s="7" customFormat="1">
      <c r="A318" s="117">
        <v>316</v>
      </c>
      <c r="B318" s="118" t="s">
        <v>388</v>
      </c>
      <c r="C318" s="118" t="s">
        <v>31</v>
      </c>
      <c r="D318" s="118" t="s">
        <v>360</v>
      </c>
      <c r="E318" s="124">
        <v>1</v>
      </c>
      <c r="F318" s="118" t="s">
        <v>34</v>
      </c>
      <c r="G318" s="118"/>
      <c r="H318" s="118"/>
      <c r="I318" s="118"/>
      <c r="J318" s="119"/>
      <c r="K318" s="136"/>
    </row>
    <row r="319" spans="1:11" s="7" customFormat="1">
      <c r="A319" s="108">
        <v>317</v>
      </c>
      <c r="B319" s="118" t="s">
        <v>389</v>
      </c>
      <c r="C319" s="118" t="s">
        <v>31</v>
      </c>
      <c r="D319" s="118" t="s">
        <v>360</v>
      </c>
      <c r="E319" s="124">
        <v>0.5</v>
      </c>
      <c r="F319" s="118" t="s">
        <v>34</v>
      </c>
      <c r="G319" s="118"/>
      <c r="H319" s="118"/>
      <c r="I319" s="118"/>
      <c r="J319" s="119"/>
      <c r="K319" s="136"/>
    </row>
    <row r="320" spans="1:11" s="7" customFormat="1">
      <c r="A320" s="117">
        <v>318</v>
      </c>
      <c r="B320" s="118" t="s">
        <v>390</v>
      </c>
      <c r="C320" s="118" t="s">
        <v>31</v>
      </c>
      <c r="D320" s="118" t="s">
        <v>360</v>
      </c>
      <c r="E320" s="140">
        <v>5</v>
      </c>
      <c r="F320" s="118" t="s">
        <v>34</v>
      </c>
      <c r="G320" s="118"/>
      <c r="H320" s="118"/>
      <c r="I320" s="118"/>
      <c r="J320" s="119"/>
      <c r="K320" s="136" t="s">
        <v>391</v>
      </c>
    </row>
    <row r="321" spans="1:11" s="7" customFormat="1">
      <c r="A321" s="108">
        <v>319</v>
      </c>
      <c r="B321" s="118" t="s">
        <v>392</v>
      </c>
      <c r="C321" s="118" t="s">
        <v>31</v>
      </c>
      <c r="D321" s="118" t="s">
        <v>360</v>
      </c>
      <c r="E321" s="140">
        <v>8</v>
      </c>
      <c r="F321" s="118" t="s">
        <v>34</v>
      </c>
      <c r="G321" s="118"/>
      <c r="H321" s="118"/>
      <c r="I321" s="118"/>
      <c r="J321" s="119"/>
      <c r="K321" s="136" t="s">
        <v>393</v>
      </c>
    </row>
    <row r="322" spans="1:11" s="7" customFormat="1">
      <c r="A322" s="117">
        <v>320</v>
      </c>
      <c r="B322" s="118" t="s">
        <v>394</v>
      </c>
      <c r="C322" s="118" t="s">
        <v>395</v>
      </c>
      <c r="D322" s="118" t="s">
        <v>360</v>
      </c>
      <c r="E322" s="140">
        <v>85</v>
      </c>
      <c r="F322" s="118" t="s">
        <v>34</v>
      </c>
      <c r="G322" s="118"/>
      <c r="H322" s="118"/>
      <c r="I322" s="118"/>
      <c r="J322" s="119"/>
      <c r="K322" s="136"/>
    </row>
    <row r="323" spans="1:11" s="7" customFormat="1">
      <c r="A323" s="108">
        <v>321</v>
      </c>
      <c r="B323" s="118" t="s">
        <v>396</v>
      </c>
      <c r="C323" s="118" t="s">
        <v>31</v>
      </c>
      <c r="D323" s="118" t="s">
        <v>360</v>
      </c>
      <c r="E323" s="140">
        <v>0.5</v>
      </c>
      <c r="F323" s="118" t="s">
        <v>297</v>
      </c>
      <c r="G323" s="118"/>
      <c r="H323" s="118"/>
      <c r="I323" s="118"/>
      <c r="J323" s="119"/>
      <c r="K323" s="136"/>
    </row>
    <row r="324" spans="1:11" s="7" customFormat="1">
      <c r="A324" s="117">
        <v>322</v>
      </c>
      <c r="B324" s="118" t="s">
        <v>397</v>
      </c>
      <c r="C324" s="118" t="s">
        <v>31</v>
      </c>
      <c r="D324" s="118" t="s">
        <v>360</v>
      </c>
      <c r="E324" s="140">
        <v>4</v>
      </c>
      <c r="F324" s="118" t="s">
        <v>34</v>
      </c>
      <c r="G324" s="118"/>
      <c r="H324" s="118"/>
      <c r="I324" s="118"/>
      <c r="J324" s="119"/>
      <c r="K324" s="136"/>
    </row>
    <row r="325" spans="1:11" s="7" customFormat="1">
      <c r="A325" s="108">
        <v>323</v>
      </c>
      <c r="B325" s="118" t="s">
        <v>398</v>
      </c>
      <c r="C325" s="118" t="s">
        <v>31</v>
      </c>
      <c r="D325" s="118" t="s">
        <v>360</v>
      </c>
      <c r="E325" s="124">
        <v>2</v>
      </c>
      <c r="F325" s="118" t="s">
        <v>34</v>
      </c>
      <c r="G325" s="118"/>
      <c r="H325" s="118"/>
      <c r="I325" s="118"/>
      <c r="J325" s="119"/>
      <c r="K325" s="136"/>
    </row>
    <row r="326" spans="1:11" s="7" customFormat="1">
      <c r="A326" s="117">
        <v>324</v>
      </c>
      <c r="B326" s="118" t="s">
        <v>399</v>
      </c>
      <c r="C326" s="118" t="s">
        <v>31</v>
      </c>
      <c r="D326" s="118" t="s">
        <v>360</v>
      </c>
      <c r="E326" s="124">
        <v>0.5</v>
      </c>
      <c r="F326" s="118" t="s">
        <v>34</v>
      </c>
      <c r="G326" s="118"/>
      <c r="H326" s="118"/>
      <c r="I326" s="118"/>
      <c r="J326" s="119"/>
      <c r="K326" s="136"/>
    </row>
    <row r="327" spans="1:11" s="7" customFormat="1">
      <c r="A327" s="108">
        <v>325</v>
      </c>
      <c r="B327" s="118" t="s">
        <v>400</v>
      </c>
      <c r="C327" s="118" t="s">
        <v>31</v>
      </c>
      <c r="D327" s="118" t="s">
        <v>360</v>
      </c>
      <c r="E327" s="141">
        <v>20</v>
      </c>
      <c r="F327" s="118" t="s">
        <v>34</v>
      </c>
      <c r="G327" s="118"/>
      <c r="H327" s="118"/>
      <c r="I327" s="118"/>
      <c r="J327" s="119"/>
      <c r="K327" s="136" t="s">
        <v>401</v>
      </c>
    </row>
    <row r="328" spans="1:11" s="7" customFormat="1">
      <c r="A328" s="117">
        <v>326</v>
      </c>
      <c r="B328" s="118" t="s">
        <v>402</v>
      </c>
      <c r="C328" s="118" t="s">
        <v>31</v>
      </c>
      <c r="D328" s="118" t="s">
        <v>360</v>
      </c>
      <c r="E328" s="142">
        <v>40</v>
      </c>
      <c r="F328" s="118" t="s">
        <v>34</v>
      </c>
      <c r="G328" s="118"/>
      <c r="H328" s="118"/>
      <c r="I328" s="118"/>
      <c r="J328" s="119"/>
      <c r="K328" s="136" t="s">
        <v>401</v>
      </c>
    </row>
    <row r="329" spans="1:11" s="7" customFormat="1">
      <c r="A329" s="108">
        <v>327</v>
      </c>
      <c r="B329" s="118" t="s">
        <v>403</v>
      </c>
      <c r="C329" s="118" t="s">
        <v>31</v>
      </c>
      <c r="D329" s="118" t="s">
        <v>360</v>
      </c>
      <c r="E329" s="120">
        <v>2</v>
      </c>
      <c r="F329" s="118" t="s">
        <v>34</v>
      </c>
      <c r="G329" s="118"/>
      <c r="H329" s="118"/>
      <c r="I329" s="118"/>
      <c r="J329" s="119"/>
      <c r="K329" s="136"/>
    </row>
    <row r="330" spans="1:11" s="7" customFormat="1">
      <c r="A330" s="117">
        <v>328</v>
      </c>
      <c r="B330" s="118" t="s">
        <v>404</v>
      </c>
      <c r="C330" s="118" t="s">
        <v>31</v>
      </c>
      <c r="D330" s="118" t="s">
        <v>360</v>
      </c>
      <c r="E330" s="120">
        <v>4</v>
      </c>
      <c r="F330" s="118" t="s">
        <v>34</v>
      </c>
      <c r="G330" s="118"/>
      <c r="H330" s="118"/>
      <c r="I330" s="118"/>
      <c r="J330" s="119"/>
      <c r="K330" s="136"/>
    </row>
    <row r="331" spans="1:11" s="7" customFormat="1">
      <c r="A331" s="108">
        <v>329</v>
      </c>
      <c r="B331" s="118" t="s">
        <v>405</v>
      </c>
      <c r="C331" s="118" t="s">
        <v>31</v>
      </c>
      <c r="D331" s="118" t="s">
        <v>360</v>
      </c>
      <c r="E331" s="120">
        <v>2</v>
      </c>
      <c r="F331" s="118" t="s">
        <v>34</v>
      </c>
      <c r="G331" s="118"/>
      <c r="H331" s="118"/>
      <c r="I331" s="118"/>
      <c r="J331" s="119"/>
      <c r="K331" s="136"/>
    </row>
    <row r="332" spans="1:11" s="7" customFormat="1">
      <c r="A332" s="117">
        <v>330</v>
      </c>
      <c r="B332" s="118" t="s">
        <v>406</v>
      </c>
      <c r="C332" s="118" t="s">
        <v>31</v>
      </c>
      <c r="D332" s="118" t="s">
        <v>360</v>
      </c>
      <c r="E332" s="137">
        <v>25</v>
      </c>
      <c r="F332" s="118" t="s">
        <v>34</v>
      </c>
      <c r="G332" s="118"/>
      <c r="H332" s="118"/>
      <c r="I332" s="118"/>
      <c r="J332" s="119"/>
      <c r="K332" s="136" t="s">
        <v>407</v>
      </c>
    </row>
    <row r="333" spans="1:11" s="7" customFormat="1">
      <c r="A333" s="108">
        <v>331</v>
      </c>
      <c r="B333" s="118" t="s">
        <v>408</v>
      </c>
      <c r="C333" s="118" t="s">
        <v>31</v>
      </c>
      <c r="D333" s="118" t="s">
        <v>360</v>
      </c>
      <c r="E333" s="142">
        <v>25</v>
      </c>
      <c r="F333" s="118" t="s">
        <v>34</v>
      </c>
      <c r="G333" s="118"/>
      <c r="H333" s="118"/>
      <c r="I333" s="118"/>
      <c r="J333" s="119">
        <v>39875</v>
      </c>
      <c r="K333" s="136" t="s">
        <v>409</v>
      </c>
    </row>
    <row r="334" spans="1:11" s="7" customFormat="1">
      <c r="A334" s="117">
        <v>332</v>
      </c>
      <c r="B334" s="118" t="s">
        <v>410</v>
      </c>
      <c r="C334" s="118" t="s">
        <v>31</v>
      </c>
      <c r="D334" s="118" t="s">
        <v>360</v>
      </c>
      <c r="E334" s="137">
        <v>7.5</v>
      </c>
      <c r="F334" s="118" t="s">
        <v>34</v>
      </c>
      <c r="G334" s="118"/>
      <c r="H334" s="118"/>
      <c r="I334" s="118"/>
      <c r="J334" s="119"/>
      <c r="K334" s="136"/>
    </row>
    <row r="335" spans="1:11" s="7" customFormat="1">
      <c r="A335" s="108">
        <v>333</v>
      </c>
      <c r="B335" s="118" t="s">
        <v>411</v>
      </c>
      <c r="C335" s="118" t="s">
        <v>31</v>
      </c>
      <c r="D335" s="118" t="s">
        <v>360</v>
      </c>
      <c r="E335" s="140">
        <v>3</v>
      </c>
      <c r="F335" s="118" t="s">
        <v>34</v>
      </c>
      <c r="G335" s="118"/>
      <c r="H335" s="118"/>
      <c r="I335" s="118"/>
      <c r="J335" s="119"/>
      <c r="K335" s="136"/>
    </row>
    <row r="336" spans="1:11" s="7" customFormat="1">
      <c r="A336" s="117">
        <v>334</v>
      </c>
      <c r="B336" s="118" t="s">
        <v>412</v>
      </c>
      <c r="C336" s="118" t="s">
        <v>31</v>
      </c>
      <c r="D336" s="118" t="s">
        <v>360</v>
      </c>
      <c r="E336" s="140">
        <v>1</v>
      </c>
      <c r="F336" s="118" t="s">
        <v>34</v>
      </c>
      <c r="G336" s="118"/>
      <c r="H336" s="118"/>
      <c r="I336" s="118"/>
      <c r="J336" s="119"/>
      <c r="K336" s="136"/>
    </row>
    <row r="337" spans="1:11" s="7" customFormat="1">
      <c r="A337" s="108">
        <v>335</v>
      </c>
      <c r="B337" s="118" t="s">
        <v>413</v>
      </c>
      <c r="C337" s="118" t="s">
        <v>31</v>
      </c>
      <c r="D337" s="118" t="s">
        <v>360</v>
      </c>
      <c r="E337" s="140">
        <v>3</v>
      </c>
      <c r="F337" s="118"/>
      <c r="G337" s="118"/>
      <c r="H337" s="118"/>
      <c r="I337" s="118"/>
      <c r="J337" s="119"/>
      <c r="K337" s="136"/>
    </row>
    <row r="338" spans="1:11" s="7" customFormat="1">
      <c r="A338" s="117">
        <v>336</v>
      </c>
      <c r="B338" s="118" t="s">
        <v>414</v>
      </c>
      <c r="C338" s="118" t="s">
        <v>31</v>
      </c>
      <c r="D338" s="118" t="s">
        <v>360</v>
      </c>
      <c r="E338" s="140">
        <v>1</v>
      </c>
      <c r="F338" s="118" t="s">
        <v>34</v>
      </c>
      <c r="G338" s="118"/>
      <c r="H338" s="118"/>
      <c r="I338" s="118"/>
      <c r="J338" s="119"/>
      <c r="K338" s="136"/>
    </row>
    <row r="339" spans="1:11" s="7" customFormat="1">
      <c r="A339" s="108">
        <v>337</v>
      </c>
      <c r="B339" s="118" t="s">
        <v>415</v>
      </c>
      <c r="C339" s="118" t="s">
        <v>31</v>
      </c>
      <c r="D339" s="118" t="s">
        <v>360</v>
      </c>
      <c r="E339" s="120">
        <v>0.25</v>
      </c>
      <c r="F339" s="118" t="s">
        <v>365</v>
      </c>
      <c r="G339" s="118"/>
      <c r="H339" s="118"/>
      <c r="I339" s="118"/>
      <c r="J339" s="119"/>
      <c r="K339" s="136"/>
    </row>
    <row r="340" spans="1:11" s="7" customFormat="1">
      <c r="A340" s="117">
        <v>338</v>
      </c>
      <c r="B340" s="118" t="s">
        <v>1439</v>
      </c>
      <c r="C340" s="118" t="s">
        <v>31</v>
      </c>
      <c r="D340" s="118" t="s">
        <v>360</v>
      </c>
      <c r="E340" s="140">
        <v>1</v>
      </c>
      <c r="F340" s="118" t="s">
        <v>297</v>
      </c>
      <c r="G340" s="118"/>
      <c r="H340" s="118"/>
      <c r="I340" s="118"/>
      <c r="J340" s="119">
        <v>40286</v>
      </c>
      <c r="K340" s="136"/>
    </row>
    <row r="341" spans="1:11" s="7" customFormat="1">
      <c r="A341" s="108">
        <v>339</v>
      </c>
      <c r="B341" s="118" t="s">
        <v>416</v>
      </c>
      <c r="C341" s="118" t="s">
        <v>31</v>
      </c>
      <c r="D341" s="118" t="s">
        <v>360</v>
      </c>
      <c r="E341" s="140">
        <v>0.5</v>
      </c>
      <c r="F341" s="118" t="s">
        <v>297</v>
      </c>
      <c r="G341" s="118"/>
      <c r="H341" s="118"/>
      <c r="I341" s="118"/>
      <c r="J341" s="119"/>
      <c r="K341" s="136"/>
    </row>
    <row r="342" spans="1:11" s="7" customFormat="1">
      <c r="A342" s="117">
        <v>340</v>
      </c>
      <c r="B342" s="118" t="s">
        <v>417</v>
      </c>
      <c r="C342" s="118" t="s">
        <v>31</v>
      </c>
      <c r="D342" s="118" t="s">
        <v>360</v>
      </c>
      <c r="E342" s="120">
        <v>1</v>
      </c>
      <c r="F342" s="118" t="s">
        <v>297</v>
      </c>
      <c r="G342" s="118"/>
      <c r="H342" s="118"/>
      <c r="I342" s="118"/>
      <c r="J342" s="119"/>
      <c r="K342" s="136"/>
    </row>
    <row r="343" spans="1:11" s="7" customFormat="1">
      <c r="A343" s="108">
        <v>341</v>
      </c>
      <c r="B343" s="118" t="s">
        <v>418</v>
      </c>
      <c r="C343" s="118" t="s">
        <v>31</v>
      </c>
      <c r="D343" s="118" t="s">
        <v>360</v>
      </c>
      <c r="E343" s="120">
        <v>3</v>
      </c>
      <c r="F343" s="118" t="s">
        <v>297</v>
      </c>
      <c r="G343" s="118"/>
      <c r="H343" s="118"/>
      <c r="I343" s="118"/>
      <c r="J343" s="119"/>
      <c r="K343" s="136"/>
    </row>
    <row r="344" spans="1:11" s="7" customFormat="1">
      <c r="A344" s="117">
        <v>342</v>
      </c>
      <c r="B344" s="118" t="s">
        <v>419</v>
      </c>
      <c r="C344" s="118" t="s">
        <v>31</v>
      </c>
      <c r="D344" s="118" t="s">
        <v>360</v>
      </c>
      <c r="E344" s="120">
        <v>1</v>
      </c>
      <c r="F344" s="118" t="s">
        <v>297</v>
      </c>
      <c r="G344" s="118"/>
      <c r="H344" s="118"/>
      <c r="I344" s="118"/>
      <c r="J344" s="119"/>
      <c r="K344" s="136"/>
    </row>
    <row r="345" spans="1:11" s="7" customFormat="1" ht="30">
      <c r="A345" s="108">
        <v>343</v>
      </c>
      <c r="B345" s="118" t="s">
        <v>1440</v>
      </c>
      <c r="C345" s="118" t="s">
        <v>1441</v>
      </c>
      <c r="D345" s="118" t="s">
        <v>8</v>
      </c>
      <c r="E345" s="143" t="s">
        <v>1442</v>
      </c>
      <c r="F345" s="118" t="s">
        <v>1443</v>
      </c>
      <c r="G345" s="118"/>
      <c r="H345" s="118">
        <v>14.3</v>
      </c>
      <c r="I345" s="118">
        <v>82</v>
      </c>
      <c r="J345" s="119">
        <v>40321</v>
      </c>
      <c r="K345" s="136" t="s">
        <v>1444</v>
      </c>
    </row>
    <row r="346" spans="1:11" s="7" customFormat="1">
      <c r="A346" s="117">
        <v>344</v>
      </c>
      <c r="B346" s="118" t="s">
        <v>9</v>
      </c>
      <c r="C346" s="118" t="s">
        <v>31</v>
      </c>
      <c r="D346" s="118" t="s">
        <v>8</v>
      </c>
      <c r="E346" s="139">
        <v>0.15</v>
      </c>
      <c r="F346" s="118" t="s">
        <v>379</v>
      </c>
      <c r="G346" s="118"/>
      <c r="H346" s="118"/>
      <c r="I346" s="118"/>
      <c r="J346" s="119">
        <v>39889</v>
      </c>
      <c r="K346" s="144" t="s">
        <v>420</v>
      </c>
    </row>
    <row r="347" spans="1:11" s="7" customFormat="1">
      <c r="A347" s="108">
        <v>345</v>
      </c>
      <c r="B347" s="118" t="s">
        <v>1445</v>
      </c>
      <c r="C347" s="118" t="s">
        <v>1446</v>
      </c>
      <c r="D347" s="118" t="s">
        <v>8</v>
      </c>
      <c r="E347" s="139">
        <v>14</v>
      </c>
      <c r="F347" s="118" t="s">
        <v>34</v>
      </c>
      <c r="G347" s="118"/>
      <c r="H347" s="118"/>
      <c r="I347" s="118"/>
      <c r="J347" s="119">
        <v>40286</v>
      </c>
      <c r="K347" s="144"/>
    </row>
    <row r="348" spans="1:11" s="7" customFormat="1">
      <c r="A348" s="117">
        <v>346</v>
      </c>
      <c r="B348" s="118" t="s">
        <v>421</v>
      </c>
      <c r="C348" s="118" t="s">
        <v>31</v>
      </c>
      <c r="D348" s="118" t="s">
        <v>8</v>
      </c>
      <c r="E348" s="139">
        <v>50</v>
      </c>
      <c r="F348" s="118" t="s">
        <v>34</v>
      </c>
      <c r="G348" s="118"/>
      <c r="H348" s="118"/>
      <c r="I348" s="118"/>
      <c r="J348" s="119"/>
      <c r="K348" s="136"/>
    </row>
    <row r="349" spans="1:11" s="7" customFormat="1">
      <c r="A349" s="108">
        <v>347</v>
      </c>
      <c r="B349" s="118" t="s">
        <v>422</v>
      </c>
      <c r="C349" s="118" t="s">
        <v>31</v>
      </c>
      <c r="D349" s="118" t="s">
        <v>8</v>
      </c>
      <c r="E349" s="120">
        <v>20</v>
      </c>
      <c r="F349" s="118"/>
      <c r="G349" s="118"/>
      <c r="H349" s="118"/>
      <c r="I349" s="118"/>
      <c r="J349" s="119"/>
      <c r="K349" s="136"/>
    </row>
    <row r="350" spans="1:11" s="7" customFormat="1">
      <c r="A350" s="117">
        <v>348</v>
      </c>
      <c r="B350" s="118" t="s">
        <v>423</v>
      </c>
      <c r="C350" s="118" t="s">
        <v>31</v>
      </c>
      <c r="D350" s="118" t="s">
        <v>8</v>
      </c>
      <c r="E350" s="134">
        <v>6.5</v>
      </c>
      <c r="F350" s="118" t="s">
        <v>34</v>
      </c>
      <c r="G350" s="118"/>
      <c r="H350" s="118"/>
      <c r="I350" s="118"/>
      <c r="J350" s="119"/>
      <c r="K350" s="136"/>
    </row>
    <row r="351" spans="1:11" s="7" customFormat="1">
      <c r="A351" s="108">
        <v>349</v>
      </c>
      <c r="B351" s="118" t="s">
        <v>424</v>
      </c>
      <c r="C351" s="118" t="s">
        <v>425</v>
      </c>
      <c r="D351" s="118" t="s">
        <v>8</v>
      </c>
      <c r="E351" s="10">
        <v>726</v>
      </c>
      <c r="F351" s="118" t="s">
        <v>34</v>
      </c>
      <c r="G351" s="118"/>
      <c r="H351" s="118"/>
      <c r="I351" s="118"/>
      <c r="J351" s="119">
        <v>39898</v>
      </c>
      <c r="K351" s="136"/>
    </row>
    <row r="352" spans="1:11" s="7" customFormat="1">
      <c r="A352" s="117">
        <v>350</v>
      </c>
      <c r="B352" s="118" t="s">
        <v>426</v>
      </c>
      <c r="C352" s="118" t="s">
        <v>425</v>
      </c>
      <c r="D352" s="118" t="s">
        <v>8</v>
      </c>
      <c r="E352" s="18">
        <v>726</v>
      </c>
      <c r="F352" s="118"/>
      <c r="G352" s="118"/>
      <c r="H352" s="118"/>
      <c r="I352" s="118"/>
      <c r="J352" s="119">
        <v>39898</v>
      </c>
      <c r="K352" s="136"/>
    </row>
    <row r="353" spans="1:11" s="7" customFormat="1">
      <c r="A353" s="108">
        <v>351</v>
      </c>
      <c r="B353" s="118" t="s">
        <v>427</v>
      </c>
      <c r="C353" s="118" t="s">
        <v>425</v>
      </c>
      <c r="D353" s="118" t="s">
        <v>8</v>
      </c>
      <c r="E353" s="18">
        <v>726</v>
      </c>
      <c r="F353" s="118"/>
      <c r="G353" s="118"/>
      <c r="H353" s="118"/>
      <c r="I353" s="118"/>
      <c r="J353" s="119">
        <v>39898</v>
      </c>
      <c r="K353" s="136"/>
    </row>
    <row r="354" spans="1:11" s="7" customFormat="1">
      <c r="A354" s="117">
        <v>352</v>
      </c>
      <c r="B354" s="118" t="s">
        <v>428</v>
      </c>
      <c r="C354" s="118" t="s">
        <v>425</v>
      </c>
      <c r="D354" s="118" t="s">
        <v>8</v>
      </c>
      <c r="E354" s="18">
        <v>264</v>
      </c>
      <c r="F354" s="118"/>
      <c r="G354" s="118"/>
      <c r="H354" s="118"/>
      <c r="I354" s="118"/>
      <c r="J354" s="119">
        <v>39898</v>
      </c>
      <c r="K354" s="136"/>
    </row>
    <row r="355" spans="1:11" s="7" customFormat="1">
      <c r="A355" s="108">
        <v>353</v>
      </c>
      <c r="B355" s="118" t="s">
        <v>429</v>
      </c>
      <c r="C355" s="118" t="s">
        <v>425</v>
      </c>
      <c r="D355" s="118" t="s">
        <v>8</v>
      </c>
      <c r="E355" s="18">
        <v>429</v>
      </c>
      <c r="F355" s="118"/>
      <c r="G355" s="118"/>
      <c r="H355" s="118"/>
      <c r="I355" s="118"/>
      <c r="J355" s="119">
        <v>39898</v>
      </c>
      <c r="K355" s="136"/>
    </row>
    <row r="356" spans="1:11" s="7" customFormat="1">
      <c r="A356" s="117">
        <v>354</v>
      </c>
      <c r="B356" s="118" t="s">
        <v>430</v>
      </c>
      <c r="C356" s="118" t="s">
        <v>425</v>
      </c>
      <c r="D356" s="118" t="s">
        <v>8</v>
      </c>
      <c r="E356" s="18">
        <v>429</v>
      </c>
      <c r="F356" s="118"/>
      <c r="G356" s="118"/>
      <c r="H356" s="118"/>
      <c r="I356" s="118"/>
      <c r="J356" s="119">
        <v>39898</v>
      </c>
      <c r="K356" s="136"/>
    </row>
    <row r="357" spans="1:11" s="7" customFormat="1">
      <c r="A357" s="108">
        <v>355</v>
      </c>
      <c r="B357" s="118" t="s">
        <v>431</v>
      </c>
      <c r="C357" s="118" t="s">
        <v>425</v>
      </c>
      <c r="D357" s="118" t="s">
        <v>8</v>
      </c>
      <c r="E357" s="18">
        <v>726</v>
      </c>
      <c r="F357" s="118"/>
      <c r="G357" s="118"/>
      <c r="H357" s="118"/>
      <c r="I357" s="118"/>
      <c r="J357" s="119">
        <v>39898</v>
      </c>
      <c r="K357" s="136"/>
    </row>
    <row r="358" spans="1:11" s="7" customFormat="1">
      <c r="A358" s="117">
        <v>356</v>
      </c>
      <c r="B358" s="118" t="s">
        <v>432</v>
      </c>
      <c r="C358" s="118" t="s">
        <v>433</v>
      </c>
      <c r="D358" s="118" t="s">
        <v>8</v>
      </c>
      <c r="E358" s="10">
        <v>315</v>
      </c>
      <c r="F358" s="118" t="s">
        <v>34</v>
      </c>
      <c r="G358" s="118"/>
      <c r="H358" s="118"/>
      <c r="I358" s="118"/>
      <c r="J358" s="119">
        <v>39898</v>
      </c>
      <c r="K358" s="136" t="s">
        <v>434</v>
      </c>
    </row>
    <row r="359" spans="1:11" s="7" customFormat="1">
      <c r="A359" s="108">
        <v>357</v>
      </c>
      <c r="B359" s="118" t="s">
        <v>435</v>
      </c>
      <c r="C359" s="118" t="s">
        <v>433</v>
      </c>
      <c r="D359" s="118" t="s">
        <v>8</v>
      </c>
      <c r="E359" s="10">
        <v>380</v>
      </c>
      <c r="F359" s="118" t="s">
        <v>34</v>
      </c>
      <c r="G359" s="118"/>
      <c r="H359" s="118"/>
      <c r="I359" s="118"/>
      <c r="J359" s="119">
        <v>39898</v>
      </c>
      <c r="K359" s="136" t="s">
        <v>436</v>
      </c>
    </row>
    <row r="360" spans="1:11" s="7" customFormat="1">
      <c r="A360" s="117">
        <v>358</v>
      </c>
      <c r="B360" s="118" t="s">
        <v>437</v>
      </c>
      <c r="C360" s="118" t="s">
        <v>433</v>
      </c>
      <c r="D360" s="118" t="s">
        <v>8</v>
      </c>
      <c r="E360" s="10">
        <v>215</v>
      </c>
      <c r="F360" s="118" t="s">
        <v>34</v>
      </c>
      <c r="G360" s="118"/>
      <c r="H360" s="118"/>
      <c r="I360" s="118"/>
      <c r="J360" s="119">
        <v>39898</v>
      </c>
      <c r="K360" s="136" t="s">
        <v>438</v>
      </c>
    </row>
    <row r="361" spans="1:11" s="7" customFormat="1">
      <c r="A361" s="108">
        <v>359</v>
      </c>
      <c r="B361" s="118" t="s">
        <v>439</v>
      </c>
      <c r="C361" s="118" t="s">
        <v>65</v>
      </c>
      <c r="D361" s="118" t="s">
        <v>8</v>
      </c>
      <c r="E361" s="10">
        <v>0</v>
      </c>
      <c r="F361" s="118" t="s">
        <v>34</v>
      </c>
      <c r="G361" s="118"/>
      <c r="H361" s="118"/>
      <c r="I361" s="118"/>
      <c r="J361" s="119">
        <v>39866</v>
      </c>
      <c r="K361" s="136"/>
    </row>
    <row r="362" spans="1:11" s="7" customFormat="1" ht="30">
      <c r="A362" s="117">
        <v>360</v>
      </c>
      <c r="B362" s="118" t="s">
        <v>440</v>
      </c>
      <c r="C362" s="118" t="s">
        <v>31</v>
      </c>
      <c r="D362" s="118" t="s">
        <v>8</v>
      </c>
      <c r="E362" s="145">
        <v>2</v>
      </c>
      <c r="F362" s="118" t="s">
        <v>441</v>
      </c>
      <c r="G362" s="118"/>
      <c r="H362" s="118"/>
      <c r="I362" s="118"/>
      <c r="J362" s="119">
        <v>39898</v>
      </c>
      <c r="K362" s="136" t="s">
        <v>442</v>
      </c>
    </row>
    <row r="363" spans="1:11" s="7" customFormat="1" ht="30">
      <c r="A363" s="108">
        <v>361</v>
      </c>
      <c r="B363" s="118" t="s">
        <v>443</v>
      </c>
      <c r="C363" s="118" t="s">
        <v>31</v>
      </c>
      <c r="D363" s="118" t="s">
        <v>8</v>
      </c>
      <c r="E363" s="145">
        <v>1.2</v>
      </c>
      <c r="F363" s="118" t="s">
        <v>441</v>
      </c>
      <c r="G363" s="118"/>
      <c r="H363" s="118"/>
      <c r="I363" s="118"/>
      <c r="J363" s="119">
        <v>39898</v>
      </c>
      <c r="K363" s="136" t="s">
        <v>444</v>
      </c>
    </row>
    <row r="364" spans="1:11" s="7" customFormat="1" ht="30">
      <c r="A364" s="117">
        <v>362</v>
      </c>
      <c r="B364" s="118" t="s">
        <v>445</v>
      </c>
      <c r="C364" s="118" t="s">
        <v>31</v>
      </c>
      <c r="D364" s="118" t="s">
        <v>8</v>
      </c>
      <c r="E364" s="145">
        <v>2.5</v>
      </c>
      <c r="F364" s="118" t="s">
        <v>441</v>
      </c>
      <c r="G364" s="118"/>
      <c r="H364" s="118"/>
      <c r="I364" s="118"/>
      <c r="J364" s="119">
        <v>39898</v>
      </c>
      <c r="K364" s="136" t="s">
        <v>446</v>
      </c>
    </row>
    <row r="365" spans="1:11" s="7" customFormat="1">
      <c r="A365" s="108">
        <v>363</v>
      </c>
      <c r="B365" s="118" t="s">
        <v>1447</v>
      </c>
      <c r="C365" s="118" t="s">
        <v>31</v>
      </c>
      <c r="D365" s="27" t="s">
        <v>8</v>
      </c>
      <c r="E365" s="10">
        <v>0</v>
      </c>
      <c r="F365" s="118" t="s">
        <v>34</v>
      </c>
      <c r="G365" s="118"/>
      <c r="H365" s="118"/>
      <c r="I365" s="118"/>
      <c r="J365" s="119">
        <v>40263</v>
      </c>
      <c r="K365" s="136" t="s">
        <v>158</v>
      </c>
    </row>
    <row r="366" spans="1:11" s="7" customFormat="1">
      <c r="A366" s="117">
        <v>364</v>
      </c>
      <c r="B366" s="118" t="s">
        <v>1448</v>
      </c>
      <c r="C366" s="118" t="s">
        <v>31</v>
      </c>
      <c r="D366" s="27" t="s">
        <v>8</v>
      </c>
      <c r="E366" s="143" t="s">
        <v>1449</v>
      </c>
      <c r="F366" s="118"/>
      <c r="G366" s="118"/>
      <c r="H366" s="118">
        <v>1E-3</v>
      </c>
      <c r="I366" s="118">
        <v>0</v>
      </c>
      <c r="J366" s="119">
        <v>40302</v>
      </c>
      <c r="K366" s="136" t="s">
        <v>1450</v>
      </c>
    </row>
    <row r="367" spans="1:11" s="7" customFormat="1">
      <c r="A367" s="108">
        <v>365</v>
      </c>
      <c r="B367" s="118" t="s">
        <v>447</v>
      </c>
      <c r="C367" s="118" t="s">
        <v>31</v>
      </c>
      <c r="D367" s="118" t="s">
        <v>8</v>
      </c>
      <c r="E367" s="134">
        <v>8</v>
      </c>
      <c r="F367" s="118" t="s">
        <v>34</v>
      </c>
      <c r="G367" s="118"/>
      <c r="H367" s="118"/>
      <c r="I367" s="118"/>
      <c r="J367" s="119"/>
      <c r="K367" s="136"/>
    </row>
    <row r="368" spans="1:11" s="7" customFormat="1">
      <c r="A368" s="117">
        <v>366</v>
      </c>
      <c r="B368" s="118" t="s">
        <v>10</v>
      </c>
      <c r="C368" s="118" t="s">
        <v>31</v>
      </c>
      <c r="D368" s="118" t="s">
        <v>8</v>
      </c>
      <c r="E368" s="134">
        <v>8</v>
      </c>
      <c r="F368" s="118" t="s">
        <v>34</v>
      </c>
      <c r="G368" s="118"/>
      <c r="H368" s="118"/>
      <c r="I368" s="118"/>
      <c r="J368" s="119"/>
      <c r="K368" s="136"/>
    </row>
    <row r="369" spans="1:11" s="7" customFormat="1">
      <c r="A369" s="108">
        <v>367</v>
      </c>
      <c r="B369" s="118" t="s">
        <v>1451</v>
      </c>
      <c r="C369" s="118" t="s">
        <v>31</v>
      </c>
      <c r="D369" s="118" t="s">
        <v>8</v>
      </c>
      <c r="E369" s="134">
        <v>30</v>
      </c>
      <c r="F369" s="118" t="s">
        <v>34</v>
      </c>
      <c r="G369" s="118"/>
      <c r="H369" s="118"/>
      <c r="I369" s="118"/>
      <c r="J369" s="119">
        <v>40325</v>
      </c>
      <c r="K369" s="136" t="s">
        <v>1452</v>
      </c>
    </row>
    <row r="370" spans="1:11" s="7" customFormat="1">
      <c r="A370" s="117">
        <v>368</v>
      </c>
      <c r="B370" s="118" t="s">
        <v>448</v>
      </c>
      <c r="C370" s="118" t="s">
        <v>31</v>
      </c>
      <c r="D370" s="118" t="s">
        <v>8</v>
      </c>
      <c r="E370" s="134">
        <v>13</v>
      </c>
      <c r="F370" s="118" t="s">
        <v>34</v>
      </c>
      <c r="G370" s="118"/>
      <c r="H370" s="118"/>
      <c r="I370" s="118"/>
      <c r="J370" s="119"/>
      <c r="K370" s="136"/>
    </row>
    <row r="371" spans="1:11" s="7" customFormat="1">
      <c r="A371" s="108">
        <v>369</v>
      </c>
      <c r="B371" s="118" t="s">
        <v>449</v>
      </c>
      <c r="C371" s="118" t="s">
        <v>31</v>
      </c>
      <c r="D371" s="118" t="s">
        <v>8</v>
      </c>
      <c r="E371" s="134">
        <v>10</v>
      </c>
      <c r="F371" s="118" t="s">
        <v>34</v>
      </c>
      <c r="G371" s="118"/>
      <c r="H371" s="118"/>
      <c r="I371" s="118"/>
      <c r="J371" s="119"/>
      <c r="K371" s="136"/>
    </row>
    <row r="372" spans="1:11" s="7" customFormat="1">
      <c r="A372" s="117">
        <v>370</v>
      </c>
      <c r="B372" s="118" t="s">
        <v>450</v>
      </c>
      <c r="C372" s="118" t="s">
        <v>31</v>
      </c>
      <c r="D372" s="118" t="s">
        <v>8</v>
      </c>
      <c r="E372" s="134">
        <v>19.5</v>
      </c>
      <c r="F372" s="118" t="s">
        <v>34</v>
      </c>
      <c r="G372" s="118"/>
      <c r="H372" s="118"/>
      <c r="I372" s="118">
        <v>355</v>
      </c>
      <c r="J372" s="119"/>
      <c r="K372" s="136"/>
    </row>
    <row r="373" spans="1:11" s="7" customFormat="1">
      <c r="A373" s="108">
        <v>371</v>
      </c>
      <c r="B373" s="118" t="s">
        <v>451</v>
      </c>
      <c r="C373" s="118" t="s">
        <v>31</v>
      </c>
      <c r="D373" s="118" t="s">
        <v>8</v>
      </c>
      <c r="E373" s="134">
        <v>15</v>
      </c>
      <c r="F373" s="118" t="s">
        <v>34</v>
      </c>
      <c r="G373" s="118"/>
      <c r="H373" s="118"/>
      <c r="I373" s="118">
        <v>470</v>
      </c>
      <c r="J373" s="119"/>
      <c r="K373" s="136"/>
    </row>
    <row r="374" spans="1:11" s="7" customFormat="1">
      <c r="A374" s="117">
        <v>372</v>
      </c>
      <c r="B374" s="118" t="s">
        <v>452</v>
      </c>
      <c r="C374" s="118" t="s">
        <v>31</v>
      </c>
      <c r="D374" s="118" t="s">
        <v>8</v>
      </c>
      <c r="E374" s="134">
        <v>20</v>
      </c>
      <c r="F374" s="118" t="s">
        <v>34</v>
      </c>
      <c r="G374" s="118"/>
      <c r="H374" s="118"/>
      <c r="I374" s="118"/>
      <c r="J374" s="119"/>
      <c r="K374" s="136"/>
    </row>
    <row r="375" spans="1:11" s="7" customFormat="1">
      <c r="A375" s="108">
        <v>373</v>
      </c>
      <c r="B375" s="118" t="s">
        <v>1453</v>
      </c>
      <c r="C375" s="118" t="s">
        <v>31</v>
      </c>
      <c r="D375" s="118" t="s">
        <v>8</v>
      </c>
      <c r="E375" s="134">
        <v>120</v>
      </c>
      <c r="F375" s="118" t="s">
        <v>34</v>
      </c>
      <c r="G375" s="118"/>
      <c r="H375" s="118"/>
      <c r="I375" s="118"/>
      <c r="J375" s="119">
        <v>40325</v>
      </c>
      <c r="K375" s="136" t="s">
        <v>1452</v>
      </c>
    </row>
    <row r="376" spans="1:11" s="7" customFormat="1">
      <c r="A376" s="117">
        <v>374</v>
      </c>
      <c r="B376" s="118" t="s">
        <v>453</v>
      </c>
      <c r="C376" s="118" t="s">
        <v>31</v>
      </c>
      <c r="D376" s="118" t="s">
        <v>8</v>
      </c>
      <c r="E376" s="134">
        <v>45.5</v>
      </c>
      <c r="F376" s="118" t="s">
        <v>34</v>
      </c>
      <c r="G376" s="118"/>
      <c r="H376" s="118"/>
      <c r="I376" s="118"/>
      <c r="J376" s="119"/>
      <c r="K376" s="136" t="s">
        <v>1454</v>
      </c>
    </row>
    <row r="377" spans="1:11" s="7" customFormat="1">
      <c r="A377" s="108">
        <v>375</v>
      </c>
      <c r="B377" s="118" t="s">
        <v>454</v>
      </c>
      <c r="C377" s="118" t="s">
        <v>31</v>
      </c>
      <c r="D377" s="118" t="s">
        <v>8</v>
      </c>
      <c r="E377" s="134">
        <v>35</v>
      </c>
      <c r="F377" s="118" t="s">
        <v>34</v>
      </c>
      <c r="G377" s="118"/>
      <c r="H377" s="118"/>
      <c r="I377" s="118"/>
      <c r="J377" s="119"/>
      <c r="K377" s="136" t="s">
        <v>1454</v>
      </c>
    </row>
    <row r="378" spans="1:11" s="7" customFormat="1">
      <c r="A378" s="117">
        <v>376</v>
      </c>
      <c r="B378" s="118" t="s">
        <v>455</v>
      </c>
      <c r="C378" s="118" t="s">
        <v>31</v>
      </c>
      <c r="D378" s="118" t="s">
        <v>8</v>
      </c>
      <c r="E378" s="124">
        <v>0</v>
      </c>
      <c r="F378" s="118" t="s">
        <v>34</v>
      </c>
      <c r="G378" s="118"/>
      <c r="H378" s="118"/>
      <c r="I378" s="118"/>
      <c r="J378" s="119"/>
      <c r="K378" s="136" t="s">
        <v>158</v>
      </c>
    </row>
    <row r="379" spans="1:11" s="7" customFormat="1">
      <c r="A379" s="108">
        <v>377</v>
      </c>
      <c r="B379" s="118" t="s">
        <v>1455</v>
      </c>
      <c r="C379" s="118" t="s">
        <v>31</v>
      </c>
      <c r="D379" s="27" t="s">
        <v>8</v>
      </c>
      <c r="E379" s="10">
        <v>0</v>
      </c>
      <c r="F379" s="118" t="s">
        <v>34</v>
      </c>
      <c r="G379" s="118"/>
      <c r="H379" s="118"/>
      <c r="I379" s="118"/>
      <c r="J379" s="119">
        <v>40263</v>
      </c>
      <c r="K379" s="136" t="s">
        <v>158</v>
      </c>
    </row>
    <row r="380" spans="1:11" s="7" customFormat="1">
      <c r="A380" s="117">
        <v>378</v>
      </c>
      <c r="B380" s="118" t="s">
        <v>1456</v>
      </c>
      <c r="C380" s="118" t="s">
        <v>31</v>
      </c>
      <c r="D380" s="27" t="s">
        <v>8</v>
      </c>
      <c r="E380" s="10">
        <v>30</v>
      </c>
      <c r="F380" s="118" t="s">
        <v>205</v>
      </c>
      <c r="G380" s="118"/>
      <c r="H380" s="118"/>
      <c r="I380" s="118"/>
      <c r="J380" s="119">
        <v>40286</v>
      </c>
      <c r="K380" s="136"/>
    </row>
    <row r="381" spans="1:11" s="7" customFormat="1">
      <c r="A381" s="108">
        <v>379</v>
      </c>
      <c r="B381" s="118" t="s">
        <v>456</v>
      </c>
      <c r="C381" s="118" t="s">
        <v>31</v>
      </c>
      <c r="D381" s="118" t="s">
        <v>8</v>
      </c>
      <c r="E381" s="138">
        <v>30</v>
      </c>
      <c r="F381" s="118" t="s">
        <v>34</v>
      </c>
      <c r="G381" s="118"/>
      <c r="H381" s="118"/>
      <c r="I381" s="118"/>
      <c r="J381" s="119"/>
      <c r="K381" s="136" t="s">
        <v>457</v>
      </c>
    </row>
    <row r="382" spans="1:11" s="7" customFormat="1">
      <c r="A382" s="117">
        <v>380</v>
      </c>
      <c r="B382" s="118" t="s">
        <v>458</v>
      </c>
      <c r="C382" s="118" t="s">
        <v>31</v>
      </c>
      <c r="D382" s="118" t="s">
        <v>8</v>
      </c>
      <c r="E382" s="138">
        <v>0</v>
      </c>
      <c r="F382" s="118" t="s">
        <v>34</v>
      </c>
      <c r="G382" s="118"/>
      <c r="H382" s="118"/>
      <c r="I382" s="118"/>
      <c r="J382" s="119"/>
      <c r="K382" s="136" t="s">
        <v>158</v>
      </c>
    </row>
    <row r="383" spans="1:11" s="7" customFormat="1">
      <c r="A383" s="108">
        <v>381</v>
      </c>
      <c r="B383" s="118" t="s">
        <v>459</v>
      </c>
      <c r="C383" s="118" t="s">
        <v>31</v>
      </c>
      <c r="D383" s="118" t="s">
        <v>8</v>
      </c>
      <c r="E383" s="146">
        <v>3.5000000000000001E-3</v>
      </c>
      <c r="F383" s="118" t="s">
        <v>460</v>
      </c>
      <c r="G383" s="118"/>
      <c r="H383" s="118"/>
      <c r="I383" s="118"/>
      <c r="J383" s="119">
        <v>39898</v>
      </c>
      <c r="K383" s="136" t="s">
        <v>461</v>
      </c>
    </row>
    <row r="384" spans="1:11" s="7" customFormat="1">
      <c r="A384" s="117">
        <v>382</v>
      </c>
      <c r="B384" s="118" t="s">
        <v>462</v>
      </c>
      <c r="C384" s="118" t="s">
        <v>31</v>
      </c>
      <c r="D384" s="118" t="s">
        <v>8</v>
      </c>
      <c r="E384" s="146">
        <v>3.5000000000000001E-3</v>
      </c>
      <c r="F384" s="118" t="s">
        <v>460</v>
      </c>
      <c r="G384" s="118"/>
      <c r="H384" s="118"/>
      <c r="I384" s="118"/>
      <c r="J384" s="119">
        <v>39898</v>
      </c>
      <c r="K384" s="136" t="s">
        <v>461</v>
      </c>
    </row>
    <row r="385" spans="1:11" s="7" customFormat="1">
      <c r="A385" s="108">
        <v>383</v>
      </c>
      <c r="B385" s="118" t="s">
        <v>463</v>
      </c>
      <c r="C385" s="118" t="s">
        <v>31</v>
      </c>
      <c r="D385" s="118" t="s">
        <v>8</v>
      </c>
      <c r="E385" s="146">
        <v>3.5000000000000001E-3</v>
      </c>
      <c r="F385" s="118" t="s">
        <v>460</v>
      </c>
      <c r="G385" s="118"/>
      <c r="H385" s="118"/>
      <c r="I385" s="118"/>
      <c r="J385" s="119">
        <v>39898</v>
      </c>
      <c r="K385" s="136" t="s">
        <v>461</v>
      </c>
    </row>
    <row r="386" spans="1:11" s="7" customFormat="1">
      <c r="A386" s="117">
        <v>384</v>
      </c>
      <c r="B386" s="118" t="s">
        <v>1457</v>
      </c>
      <c r="C386" s="118" t="s">
        <v>31</v>
      </c>
      <c r="D386" s="27" t="s">
        <v>8</v>
      </c>
      <c r="E386" s="10">
        <v>0</v>
      </c>
      <c r="F386" s="118" t="s">
        <v>34</v>
      </c>
      <c r="G386" s="118"/>
      <c r="H386" s="118"/>
      <c r="I386" s="118"/>
      <c r="J386" s="119">
        <v>40263</v>
      </c>
      <c r="K386" s="136" t="s">
        <v>158</v>
      </c>
    </row>
    <row r="387" spans="1:11" s="7" customFormat="1">
      <c r="A387" s="108">
        <v>385</v>
      </c>
      <c r="B387" s="118" t="s">
        <v>464</v>
      </c>
      <c r="C387" s="118" t="s">
        <v>31</v>
      </c>
      <c r="D387" s="118" t="s">
        <v>8</v>
      </c>
      <c r="E387" s="124">
        <v>0</v>
      </c>
      <c r="F387" s="118" t="s">
        <v>34</v>
      </c>
      <c r="G387" s="118"/>
      <c r="H387" s="118"/>
      <c r="I387" s="118"/>
      <c r="J387" s="119"/>
      <c r="K387" s="136" t="s">
        <v>158</v>
      </c>
    </row>
    <row r="388" spans="1:11" s="7" customFormat="1">
      <c r="A388" s="117">
        <v>386</v>
      </c>
      <c r="B388" s="118" t="s">
        <v>465</v>
      </c>
      <c r="C388" s="118" t="s">
        <v>31</v>
      </c>
      <c r="D388" s="27" t="s">
        <v>8</v>
      </c>
      <c r="E388" s="147">
        <v>3.0000000000000001E-3</v>
      </c>
      <c r="F388" s="27" t="s">
        <v>460</v>
      </c>
      <c r="G388" s="27"/>
      <c r="H388" s="27"/>
      <c r="I388" s="27"/>
      <c r="J388" s="125"/>
      <c r="K388" s="27" t="s">
        <v>466</v>
      </c>
    </row>
    <row r="389" spans="1:11" s="7" customFormat="1">
      <c r="A389" s="108">
        <v>387</v>
      </c>
      <c r="B389" s="118" t="s">
        <v>467</v>
      </c>
      <c r="C389" s="118" t="s">
        <v>31</v>
      </c>
      <c r="D389" s="118" t="s">
        <v>8</v>
      </c>
      <c r="E389" s="124">
        <v>0</v>
      </c>
      <c r="F389" s="118" t="s">
        <v>34</v>
      </c>
      <c r="G389" s="118"/>
      <c r="H389" s="118"/>
      <c r="I389" s="118"/>
      <c r="J389" s="119"/>
      <c r="K389" s="118" t="s">
        <v>468</v>
      </c>
    </row>
    <row r="390" spans="1:11" s="7" customFormat="1">
      <c r="A390" s="117">
        <v>388</v>
      </c>
      <c r="B390" s="118" t="s">
        <v>469</v>
      </c>
      <c r="C390" s="118" t="s">
        <v>31</v>
      </c>
      <c r="D390" s="118" t="s">
        <v>8</v>
      </c>
      <c r="E390" s="120">
        <v>10</v>
      </c>
      <c r="F390" s="118" t="s">
        <v>34</v>
      </c>
      <c r="G390" s="118"/>
      <c r="H390" s="118"/>
      <c r="I390" s="118"/>
      <c r="J390" s="119"/>
      <c r="K390" s="118"/>
    </row>
    <row r="391" spans="1:11" s="7" customFormat="1">
      <c r="A391" s="108">
        <v>389</v>
      </c>
      <c r="B391" s="118" t="s">
        <v>470</v>
      </c>
      <c r="C391" s="27" t="s">
        <v>471</v>
      </c>
      <c r="D391" s="27" t="s">
        <v>8</v>
      </c>
      <c r="E391" s="124">
        <v>28.5</v>
      </c>
      <c r="F391" s="27" t="s">
        <v>34</v>
      </c>
      <c r="G391" s="27"/>
      <c r="H391" s="27"/>
      <c r="I391" s="27"/>
      <c r="J391" s="125">
        <v>40028</v>
      </c>
      <c r="K391" s="27"/>
    </row>
    <row r="392" spans="1:11" s="7" customFormat="1">
      <c r="A392" s="117">
        <v>390</v>
      </c>
      <c r="B392" s="118" t="s">
        <v>472</v>
      </c>
      <c r="C392" s="27" t="s">
        <v>471</v>
      </c>
      <c r="D392" s="27" t="s">
        <v>8</v>
      </c>
      <c r="E392" s="124">
        <v>12</v>
      </c>
      <c r="F392" s="27" t="s">
        <v>34</v>
      </c>
      <c r="G392" s="27"/>
      <c r="H392" s="27"/>
      <c r="I392" s="27"/>
      <c r="J392" s="125">
        <v>40028</v>
      </c>
      <c r="K392" s="27"/>
    </row>
    <row r="393" spans="1:11" s="7" customFormat="1">
      <c r="A393" s="108">
        <v>391</v>
      </c>
      <c r="B393" s="118" t="s">
        <v>473</v>
      </c>
      <c r="C393" s="118" t="s">
        <v>31</v>
      </c>
      <c r="D393" s="118" t="s">
        <v>8</v>
      </c>
      <c r="E393" s="120">
        <v>5</v>
      </c>
      <c r="F393" s="118" t="s">
        <v>34</v>
      </c>
      <c r="G393" s="118"/>
      <c r="H393" s="118"/>
      <c r="I393" s="118"/>
      <c r="J393" s="119"/>
      <c r="K393" s="118"/>
    </row>
    <row r="394" spans="1:11" s="7" customFormat="1">
      <c r="A394" s="117">
        <v>392</v>
      </c>
      <c r="B394" s="118" t="s">
        <v>474</v>
      </c>
      <c r="C394" s="118" t="s">
        <v>31</v>
      </c>
      <c r="D394" s="118" t="s">
        <v>8</v>
      </c>
      <c r="E394" s="120">
        <v>5</v>
      </c>
      <c r="F394" s="118" t="s">
        <v>34</v>
      </c>
      <c r="G394" s="118"/>
      <c r="H394" s="118"/>
      <c r="I394" s="118"/>
      <c r="J394" s="119">
        <v>39882</v>
      </c>
      <c r="K394" s="118"/>
    </row>
    <row r="395" spans="1:11" s="7" customFormat="1">
      <c r="A395" s="108">
        <v>393</v>
      </c>
      <c r="B395" s="118" t="s">
        <v>475</v>
      </c>
      <c r="C395" s="118" t="s">
        <v>31</v>
      </c>
      <c r="D395" s="118" t="s">
        <v>8</v>
      </c>
      <c r="E395" s="120">
        <v>5</v>
      </c>
      <c r="F395" s="118" t="s">
        <v>34</v>
      </c>
      <c r="G395" s="118"/>
      <c r="H395" s="118"/>
      <c r="I395" s="118"/>
      <c r="J395" s="119"/>
      <c r="K395" s="118"/>
    </row>
    <row r="396" spans="1:11" s="7" customFormat="1">
      <c r="A396" s="117">
        <v>394</v>
      </c>
      <c r="B396" s="118" t="s">
        <v>1458</v>
      </c>
      <c r="C396" s="118" t="s">
        <v>31</v>
      </c>
      <c r="D396" s="118" t="s">
        <v>8</v>
      </c>
      <c r="E396" s="120">
        <v>1</v>
      </c>
      <c r="F396" s="118" t="s">
        <v>34</v>
      </c>
      <c r="G396" s="118"/>
      <c r="H396" s="118"/>
      <c r="I396" s="118"/>
      <c r="J396" s="119">
        <v>40286</v>
      </c>
      <c r="K396" s="118"/>
    </row>
    <row r="397" spans="1:11" s="7" customFormat="1">
      <c r="A397" s="108">
        <v>395</v>
      </c>
      <c r="B397" s="118" t="s">
        <v>476</v>
      </c>
      <c r="C397" s="118" t="s">
        <v>65</v>
      </c>
      <c r="D397" s="118" t="s">
        <v>8</v>
      </c>
      <c r="E397" s="124">
        <v>0</v>
      </c>
      <c r="F397" s="118" t="s">
        <v>34</v>
      </c>
      <c r="G397" s="118"/>
      <c r="H397" s="118"/>
      <c r="I397" s="118"/>
      <c r="J397" s="119"/>
      <c r="K397" s="118"/>
    </row>
    <row r="398" spans="1:11" s="7" customFormat="1">
      <c r="A398" s="117">
        <v>396</v>
      </c>
      <c r="B398" s="118" t="s">
        <v>1459</v>
      </c>
      <c r="C398" s="118" t="s">
        <v>1460</v>
      </c>
      <c r="D398" s="118" t="s">
        <v>8</v>
      </c>
      <c r="E398" s="124">
        <v>105</v>
      </c>
      <c r="F398" s="118" t="s">
        <v>34</v>
      </c>
      <c r="G398" s="118"/>
      <c r="H398" s="118"/>
      <c r="I398" s="118"/>
      <c r="J398" s="119">
        <v>40286</v>
      </c>
      <c r="K398" s="118"/>
    </row>
    <row r="399" spans="1:11" s="7" customFormat="1">
      <c r="A399" s="108">
        <v>397</v>
      </c>
      <c r="B399" s="118" t="s">
        <v>477</v>
      </c>
      <c r="C399" s="118" t="s">
        <v>31</v>
      </c>
      <c r="D399" s="118" t="s">
        <v>8</v>
      </c>
      <c r="E399" s="124">
        <v>0</v>
      </c>
      <c r="F399" s="118" t="s">
        <v>34</v>
      </c>
      <c r="G399" s="118"/>
      <c r="H399" s="118"/>
      <c r="I399" s="118"/>
      <c r="J399" s="119"/>
      <c r="K399" s="118" t="s">
        <v>468</v>
      </c>
    </row>
    <row r="400" spans="1:11" s="7" customFormat="1">
      <c r="A400" s="117">
        <v>398</v>
      </c>
      <c r="B400" s="118" t="s">
        <v>478</v>
      </c>
      <c r="C400" s="118" t="s">
        <v>31</v>
      </c>
      <c r="D400" s="118" t="s">
        <v>8</v>
      </c>
      <c r="E400" s="124">
        <v>0</v>
      </c>
      <c r="F400" s="118" t="s">
        <v>34</v>
      </c>
      <c r="G400" s="118"/>
      <c r="H400" s="118"/>
      <c r="I400" s="118"/>
      <c r="J400" s="119"/>
      <c r="K400" s="118" t="s">
        <v>468</v>
      </c>
    </row>
    <row r="401" spans="1:11" s="7" customFormat="1">
      <c r="A401" s="108">
        <v>399</v>
      </c>
      <c r="B401" s="118" t="s">
        <v>479</v>
      </c>
      <c r="C401" s="118" t="s">
        <v>31</v>
      </c>
      <c r="D401" s="118" t="s">
        <v>8</v>
      </c>
      <c r="E401" s="124">
        <v>300</v>
      </c>
      <c r="F401" s="118" t="s">
        <v>34</v>
      </c>
      <c r="G401" s="118"/>
      <c r="H401" s="118"/>
      <c r="I401" s="118"/>
      <c r="J401" s="119"/>
      <c r="K401" s="118" t="s">
        <v>480</v>
      </c>
    </row>
    <row r="402" spans="1:11" s="7" customFormat="1">
      <c r="A402" s="117">
        <v>400</v>
      </c>
      <c r="B402" s="118" t="s">
        <v>481</v>
      </c>
      <c r="C402" s="118" t="s">
        <v>31</v>
      </c>
      <c r="D402" s="118" t="s">
        <v>8</v>
      </c>
      <c r="E402" s="124">
        <v>0</v>
      </c>
      <c r="F402" s="118" t="s">
        <v>34</v>
      </c>
      <c r="G402" s="118"/>
      <c r="H402" s="118"/>
      <c r="I402" s="118"/>
      <c r="J402" s="119"/>
      <c r="K402" s="27" t="s">
        <v>158</v>
      </c>
    </row>
    <row r="403" spans="1:11" s="7" customFormat="1">
      <c r="A403" s="108">
        <v>401</v>
      </c>
      <c r="B403" s="118" t="s">
        <v>482</v>
      </c>
      <c r="C403" s="118" t="s">
        <v>31</v>
      </c>
      <c r="D403" s="118" t="s">
        <v>8</v>
      </c>
      <c r="E403" s="124">
        <v>300</v>
      </c>
      <c r="F403" s="118" t="s">
        <v>34</v>
      </c>
      <c r="G403" s="118"/>
      <c r="H403" s="118"/>
      <c r="I403" s="118"/>
      <c r="J403" s="119"/>
      <c r="K403" s="118" t="s">
        <v>483</v>
      </c>
    </row>
    <row r="404" spans="1:11" s="7" customFormat="1">
      <c r="A404" s="117">
        <v>402</v>
      </c>
      <c r="B404" s="118" t="s">
        <v>484</v>
      </c>
      <c r="C404" s="118" t="s">
        <v>31</v>
      </c>
      <c r="D404" s="118" t="s">
        <v>485</v>
      </c>
      <c r="E404" s="124">
        <v>1E-4</v>
      </c>
      <c r="F404" s="118" t="s">
        <v>486</v>
      </c>
      <c r="G404" s="118"/>
      <c r="H404" s="118"/>
      <c r="I404" s="118"/>
      <c r="J404" s="119"/>
      <c r="K404" s="118" t="s">
        <v>487</v>
      </c>
    </row>
    <row r="405" spans="1:11" s="7" customFormat="1">
      <c r="A405" s="108">
        <v>403</v>
      </c>
      <c r="B405" s="118" t="s">
        <v>488</v>
      </c>
      <c r="C405" s="118" t="s">
        <v>31</v>
      </c>
      <c r="D405" s="118" t="s">
        <v>485</v>
      </c>
      <c r="E405" s="124">
        <v>0.75</v>
      </c>
      <c r="F405" s="118" t="s">
        <v>486</v>
      </c>
      <c r="G405" s="118"/>
      <c r="H405" s="118"/>
      <c r="I405" s="118"/>
      <c r="J405" s="119"/>
      <c r="K405" s="118" t="s">
        <v>489</v>
      </c>
    </row>
    <row r="406" spans="1:11" s="7" customFormat="1">
      <c r="A406" s="117">
        <v>404</v>
      </c>
      <c r="B406" s="118" t="s">
        <v>490</v>
      </c>
      <c r="C406" s="118" t="s">
        <v>31</v>
      </c>
      <c r="D406" s="118" t="s">
        <v>491</v>
      </c>
      <c r="E406" s="10">
        <v>1</v>
      </c>
      <c r="F406" s="118" t="s">
        <v>486</v>
      </c>
      <c r="G406" s="118"/>
      <c r="H406" s="118"/>
      <c r="I406" s="118"/>
      <c r="J406" s="119">
        <v>39866</v>
      </c>
      <c r="K406" s="27"/>
    </row>
    <row r="407" spans="1:11" s="7" customFormat="1">
      <c r="A407" s="108">
        <v>405</v>
      </c>
      <c r="B407" s="118" t="s">
        <v>492</v>
      </c>
      <c r="C407" s="118" t="s">
        <v>31</v>
      </c>
      <c r="D407" s="118" t="s">
        <v>491</v>
      </c>
      <c r="E407" s="124">
        <v>15</v>
      </c>
      <c r="F407" s="118" t="s">
        <v>34</v>
      </c>
      <c r="G407" s="118"/>
      <c r="H407" s="118"/>
      <c r="I407" s="118"/>
      <c r="J407" s="119">
        <v>39890</v>
      </c>
      <c r="K407" s="27"/>
    </row>
    <row r="408" spans="1:11" s="7" customFormat="1">
      <c r="A408" s="117">
        <v>406</v>
      </c>
      <c r="B408" s="118" t="s">
        <v>493</v>
      </c>
      <c r="C408" s="118" t="s">
        <v>31</v>
      </c>
      <c r="D408" s="118" t="s">
        <v>491</v>
      </c>
      <c r="E408" s="124">
        <v>7</v>
      </c>
      <c r="F408" s="118" t="s">
        <v>34</v>
      </c>
      <c r="G408" s="118"/>
      <c r="H408" s="118"/>
      <c r="I408" s="118"/>
      <c r="J408" s="119">
        <v>39873</v>
      </c>
      <c r="K408" s="27"/>
    </row>
    <row r="409" spans="1:11" s="7" customFormat="1">
      <c r="A409" s="108">
        <v>407</v>
      </c>
      <c r="B409" s="118" t="s">
        <v>1461</v>
      </c>
      <c r="C409" s="118" t="s">
        <v>31</v>
      </c>
      <c r="D409" s="118" t="s">
        <v>495</v>
      </c>
      <c r="E409" s="124">
        <v>0.15</v>
      </c>
      <c r="F409" s="118" t="s">
        <v>34</v>
      </c>
      <c r="G409" s="118"/>
      <c r="H409" s="118"/>
      <c r="I409" s="118"/>
      <c r="J409" s="119">
        <v>40321</v>
      </c>
      <c r="K409" s="27" t="s">
        <v>1462</v>
      </c>
    </row>
    <row r="410" spans="1:11" s="7" customFormat="1">
      <c r="A410" s="117">
        <v>408</v>
      </c>
      <c r="B410" s="118" t="s">
        <v>494</v>
      </c>
      <c r="C410" s="118" t="s">
        <v>31</v>
      </c>
      <c r="D410" s="118" t="s">
        <v>495</v>
      </c>
      <c r="E410" s="143" t="s">
        <v>1442</v>
      </c>
      <c r="F410" s="118" t="s">
        <v>37</v>
      </c>
      <c r="G410" s="118"/>
      <c r="H410" s="118">
        <v>0.125</v>
      </c>
      <c r="I410" s="118">
        <v>8</v>
      </c>
      <c r="J410" s="119">
        <v>39901</v>
      </c>
      <c r="K410" s="27" t="s">
        <v>496</v>
      </c>
    </row>
    <row r="411" spans="1:11" s="7" customFormat="1">
      <c r="A411" s="108">
        <v>409</v>
      </c>
      <c r="B411" s="118" t="s">
        <v>1463</v>
      </c>
      <c r="C411" s="118" t="s">
        <v>31</v>
      </c>
      <c r="D411" s="118" t="s">
        <v>495</v>
      </c>
      <c r="E411" s="137">
        <v>1.25</v>
      </c>
      <c r="F411" s="118" t="s">
        <v>34</v>
      </c>
      <c r="G411" s="118"/>
      <c r="H411" s="118"/>
      <c r="I411" s="118"/>
      <c r="J411" s="119">
        <v>40286</v>
      </c>
      <c r="K411" s="27"/>
    </row>
    <row r="412" spans="1:11" s="7" customFormat="1">
      <c r="A412" s="117">
        <v>410</v>
      </c>
      <c r="B412" s="118" t="s">
        <v>497</v>
      </c>
      <c r="C412" s="118" t="s">
        <v>31</v>
      </c>
      <c r="D412" s="118" t="s">
        <v>495</v>
      </c>
      <c r="E412" s="137">
        <v>0.05</v>
      </c>
      <c r="F412" s="118" t="s">
        <v>34</v>
      </c>
      <c r="G412" s="118"/>
      <c r="H412" s="118"/>
      <c r="I412" s="118"/>
      <c r="J412" s="119"/>
      <c r="K412" s="27" t="s">
        <v>498</v>
      </c>
    </row>
    <row r="413" spans="1:11" s="7" customFormat="1">
      <c r="A413" s="108">
        <v>411</v>
      </c>
      <c r="B413" s="118" t="s">
        <v>499</v>
      </c>
      <c r="C413" s="27" t="s">
        <v>31</v>
      </c>
      <c r="D413" s="27" t="s">
        <v>495</v>
      </c>
      <c r="E413" s="143" t="s">
        <v>378</v>
      </c>
      <c r="F413" s="118" t="s">
        <v>37</v>
      </c>
      <c r="G413" s="118"/>
      <c r="H413" s="118">
        <v>3.2000000000000001E-2</v>
      </c>
      <c r="I413" s="118">
        <v>1.1200000000000001</v>
      </c>
      <c r="J413" s="125"/>
      <c r="K413" s="27" t="s">
        <v>500</v>
      </c>
    </row>
    <row r="414" spans="1:11" s="7" customFormat="1">
      <c r="A414" s="117">
        <v>412</v>
      </c>
      <c r="B414" s="118" t="s">
        <v>501</v>
      </c>
      <c r="C414" s="27" t="s">
        <v>31</v>
      </c>
      <c r="D414" s="27" t="s">
        <v>495</v>
      </c>
      <c r="E414" s="143" t="s">
        <v>378</v>
      </c>
      <c r="F414" s="118" t="s">
        <v>37</v>
      </c>
      <c r="G414" s="118"/>
      <c r="H414" s="118">
        <v>0.05</v>
      </c>
      <c r="I414" s="118">
        <v>2.34</v>
      </c>
      <c r="J414" s="125"/>
      <c r="K414" s="27" t="s">
        <v>502</v>
      </c>
    </row>
    <row r="415" spans="1:11" s="7" customFormat="1">
      <c r="A415" s="108">
        <v>413</v>
      </c>
      <c r="B415" s="118" t="s">
        <v>503</v>
      </c>
      <c r="C415" s="27" t="s">
        <v>31</v>
      </c>
      <c r="D415" s="27" t="s">
        <v>495</v>
      </c>
      <c r="E415" s="143" t="s">
        <v>42</v>
      </c>
      <c r="F415" s="118" t="s">
        <v>37</v>
      </c>
      <c r="G415" s="118" t="s">
        <v>37</v>
      </c>
      <c r="H415" s="118">
        <v>0.04</v>
      </c>
      <c r="I415" s="118">
        <v>1.1599999999999999</v>
      </c>
      <c r="J415" s="125">
        <v>39886</v>
      </c>
      <c r="K415" s="27" t="s">
        <v>504</v>
      </c>
    </row>
    <row r="416" spans="1:11" s="7" customFormat="1" ht="30">
      <c r="A416" s="117">
        <v>414</v>
      </c>
      <c r="B416" s="118" t="s">
        <v>505</v>
      </c>
      <c r="C416" s="27" t="s">
        <v>31</v>
      </c>
      <c r="D416" s="27" t="s">
        <v>495</v>
      </c>
      <c r="E416" s="143" t="s">
        <v>378</v>
      </c>
      <c r="F416" s="118" t="s">
        <v>37</v>
      </c>
      <c r="G416" s="118"/>
      <c r="H416" s="118">
        <v>0.27</v>
      </c>
      <c r="I416" s="118">
        <v>0</v>
      </c>
      <c r="J416" s="125">
        <v>39901</v>
      </c>
      <c r="K416" s="27" t="s">
        <v>506</v>
      </c>
    </row>
    <row r="417" spans="1:11" s="7" customFormat="1">
      <c r="A417" s="108">
        <v>415</v>
      </c>
      <c r="B417" s="118" t="s">
        <v>507</v>
      </c>
      <c r="C417" s="27" t="s">
        <v>31</v>
      </c>
      <c r="D417" s="27" t="s">
        <v>495</v>
      </c>
      <c r="E417" s="143">
        <v>0.1</v>
      </c>
      <c r="F417" s="118" t="s">
        <v>34</v>
      </c>
      <c r="G417" s="118"/>
      <c r="H417" s="118"/>
      <c r="I417" s="118"/>
      <c r="J417" s="125">
        <v>39889</v>
      </c>
      <c r="K417" s="27" t="s">
        <v>508</v>
      </c>
    </row>
    <row r="418" spans="1:11" s="7" customFormat="1">
      <c r="A418" s="117">
        <v>416</v>
      </c>
      <c r="B418" s="118" t="s">
        <v>509</v>
      </c>
      <c r="C418" s="118" t="s">
        <v>31</v>
      </c>
      <c r="D418" s="118" t="s">
        <v>510</v>
      </c>
      <c r="E418" s="120">
        <v>0</v>
      </c>
      <c r="F418" s="118" t="s">
        <v>34</v>
      </c>
      <c r="G418" s="118"/>
      <c r="H418" s="118"/>
      <c r="I418" s="118"/>
      <c r="J418" s="119"/>
      <c r="K418" s="27" t="s">
        <v>511</v>
      </c>
    </row>
    <row r="419" spans="1:11" s="7" customFormat="1">
      <c r="A419" s="108">
        <v>417</v>
      </c>
      <c r="B419" s="118" t="s">
        <v>512</v>
      </c>
      <c r="C419" s="118" t="s">
        <v>31</v>
      </c>
      <c r="D419" s="118" t="s">
        <v>510</v>
      </c>
      <c r="E419" s="126">
        <v>1</v>
      </c>
      <c r="F419" s="118" t="s">
        <v>34</v>
      </c>
      <c r="G419" s="118"/>
      <c r="H419" s="118"/>
      <c r="I419" s="118"/>
      <c r="J419" s="119">
        <v>39873</v>
      </c>
      <c r="K419" s="27"/>
    </row>
    <row r="420" spans="1:11" s="7" customFormat="1">
      <c r="A420" s="117">
        <v>418</v>
      </c>
      <c r="B420" s="118" t="s">
        <v>514</v>
      </c>
      <c r="C420" s="118" t="s">
        <v>31</v>
      </c>
      <c r="D420" s="118" t="s">
        <v>510</v>
      </c>
      <c r="E420" s="10" t="s">
        <v>55</v>
      </c>
      <c r="F420" s="118" t="s">
        <v>37</v>
      </c>
      <c r="G420" s="118"/>
      <c r="H420" s="122">
        <v>0.01</v>
      </c>
      <c r="I420" s="122">
        <v>0.61</v>
      </c>
      <c r="J420" s="119">
        <v>39866</v>
      </c>
      <c r="K420" s="118" t="s">
        <v>515</v>
      </c>
    </row>
    <row r="421" spans="1:11" s="7" customFormat="1">
      <c r="A421" s="108">
        <v>419</v>
      </c>
      <c r="B421" s="118" t="s">
        <v>516</v>
      </c>
      <c r="C421" s="118" t="s">
        <v>31</v>
      </c>
      <c r="D421" s="118" t="s">
        <v>510</v>
      </c>
      <c r="E421" s="120">
        <v>3</v>
      </c>
      <c r="F421" s="118" t="s">
        <v>34</v>
      </c>
      <c r="G421" s="118"/>
      <c r="H421" s="118"/>
      <c r="I421" s="118"/>
      <c r="J421" s="119"/>
      <c r="K421" s="27" t="s">
        <v>517</v>
      </c>
    </row>
    <row r="422" spans="1:11" s="7" customFormat="1">
      <c r="A422" s="117">
        <v>420</v>
      </c>
      <c r="B422" s="118" t="s">
        <v>518</v>
      </c>
      <c r="C422" s="118" t="s">
        <v>519</v>
      </c>
      <c r="D422" s="118" t="s">
        <v>510</v>
      </c>
      <c r="E422" s="10">
        <v>232</v>
      </c>
      <c r="F422" s="118" t="s">
        <v>34</v>
      </c>
      <c r="G422" s="118"/>
      <c r="H422" s="118"/>
      <c r="I422" s="118"/>
      <c r="J422" s="119">
        <v>39866</v>
      </c>
      <c r="K422" s="27"/>
    </row>
    <row r="423" spans="1:11" s="7" customFormat="1">
      <c r="A423" s="108">
        <v>421</v>
      </c>
      <c r="B423" s="118" t="s">
        <v>520</v>
      </c>
      <c r="C423" s="118" t="s">
        <v>31</v>
      </c>
      <c r="D423" s="118" t="s">
        <v>510</v>
      </c>
      <c r="E423" s="147">
        <v>5.0000000000000001E-3</v>
      </c>
      <c r="F423" s="118" t="s">
        <v>460</v>
      </c>
      <c r="G423" s="118"/>
      <c r="H423" s="118"/>
      <c r="I423" s="118"/>
      <c r="J423" s="119"/>
      <c r="K423" s="27"/>
    </row>
    <row r="424" spans="1:11" s="7" customFormat="1">
      <c r="A424" s="117">
        <v>422</v>
      </c>
      <c r="B424" s="118" t="s">
        <v>521</v>
      </c>
      <c r="C424" s="118" t="s">
        <v>31</v>
      </c>
      <c r="D424" s="118" t="s">
        <v>510</v>
      </c>
      <c r="E424" s="124">
        <v>50</v>
      </c>
      <c r="F424" s="118" t="s">
        <v>205</v>
      </c>
      <c r="G424" s="118"/>
      <c r="H424" s="118"/>
      <c r="I424" s="118"/>
      <c r="J424" s="119"/>
      <c r="K424" s="27" t="s">
        <v>522</v>
      </c>
    </row>
    <row r="425" spans="1:11" s="7" customFormat="1">
      <c r="A425" s="108">
        <v>423</v>
      </c>
      <c r="B425" s="118" t="s">
        <v>523</v>
      </c>
      <c r="C425" s="118" t="s">
        <v>31</v>
      </c>
      <c r="D425" s="118" t="s">
        <v>510</v>
      </c>
      <c r="E425" s="120">
        <v>0.15</v>
      </c>
      <c r="F425" s="118" t="s">
        <v>379</v>
      </c>
      <c r="G425" s="118"/>
      <c r="H425" s="118"/>
      <c r="I425" s="118"/>
      <c r="J425" s="119"/>
      <c r="K425" s="118"/>
    </row>
    <row r="426" spans="1:11" s="7" customFormat="1">
      <c r="A426" s="117">
        <v>424</v>
      </c>
      <c r="B426" s="118" t="s">
        <v>524</v>
      </c>
      <c r="C426" s="118" t="s">
        <v>31</v>
      </c>
      <c r="D426" s="118" t="s">
        <v>510</v>
      </c>
      <c r="E426" s="124">
        <v>0</v>
      </c>
      <c r="F426" s="118" t="s">
        <v>525</v>
      </c>
      <c r="G426" s="118"/>
      <c r="H426" s="118"/>
      <c r="I426" s="118"/>
      <c r="J426" s="119"/>
      <c r="K426" s="27" t="s">
        <v>158</v>
      </c>
    </row>
    <row r="427" spans="1:11" s="7" customFormat="1">
      <c r="A427" s="108">
        <v>425</v>
      </c>
      <c r="B427" s="118" t="s">
        <v>526</v>
      </c>
      <c r="C427" s="118" t="s">
        <v>31</v>
      </c>
      <c r="D427" s="118" t="s">
        <v>510</v>
      </c>
      <c r="E427" s="137">
        <v>10</v>
      </c>
      <c r="F427" s="118" t="s">
        <v>205</v>
      </c>
      <c r="G427" s="118"/>
      <c r="H427" s="118"/>
      <c r="I427" s="118"/>
      <c r="J427" s="119"/>
      <c r="K427" s="27"/>
    </row>
    <row r="428" spans="1:11" s="7" customFormat="1">
      <c r="A428" s="117">
        <v>426</v>
      </c>
      <c r="B428" s="118" t="s">
        <v>527</v>
      </c>
      <c r="C428" s="118" t="s">
        <v>31</v>
      </c>
      <c r="D428" s="118" t="s">
        <v>510</v>
      </c>
      <c r="E428" s="124">
        <v>0.05</v>
      </c>
      <c r="F428" s="118" t="s">
        <v>382</v>
      </c>
      <c r="G428" s="118"/>
      <c r="H428" s="118"/>
      <c r="I428" s="118"/>
      <c r="J428" s="119"/>
      <c r="K428" s="27"/>
    </row>
    <row r="429" spans="1:11" s="7" customFormat="1">
      <c r="A429" s="108">
        <v>427</v>
      </c>
      <c r="B429" s="118" t="s">
        <v>528</v>
      </c>
      <c r="C429" s="118" t="s">
        <v>31</v>
      </c>
      <c r="D429" s="118" t="s">
        <v>510</v>
      </c>
      <c r="E429" s="124">
        <v>0</v>
      </c>
      <c r="F429" s="118" t="s">
        <v>34</v>
      </c>
      <c r="G429" s="118"/>
      <c r="H429" s="118"/>
      <c r="I429" s="118"/>
      <c r="J429" s="119"/>
      <c r="K429" s="27" t="s">
        <v>158</v>
      </c>
    </row>
    <row r="430" spans="1:11" s="7" customFormat="1">
      <c r="A430" s="117">
        <v>428</v>
      </c>
      <c r="B430" s="118" t="s">
        <v>1065</v>
      </c>
      <c r="C430" s="118" t="s">
        <v>31</v>
      </c>
      <c r="D430" s="118" t="s">
        <v>510</v>
      </c>
      <c r="E430" s="124">
        <v>0</v>
      </c>
      <c r="F430" s="118" t="s">
        <v>34</v>
      </c>
      <c r="G430" s="118"/>
      <c r="H430" s="118"/>
      <c r="I430" s="118"/>
      <c r="J430" s="119">
        <v>40286</v>
      </c>
      <c r="K430" s="27" t="s">
        <v>1464</v>
      </c>
    </row>
    <row r="431" spans="1:11" s="7" customFormat="1">
      <c r="A431" s="108">
        <v>429</v>
      </c>
      <c r="B431" s="118" t="s">
        <v>529</v>
      </c>
      <c r="C431" s="118" t="s">
        <v>81</v>
      </c>
      <c r="D431" s="118" t="s">
        <v>510</v>
      </c>
      <c r="E431" s="126">
        <v>85</v>
      </c>
      <c r="F431" s="118" t="s">
        <v>34</v>
      </c>
      <c r="G431" s="118"/>
      <c r="H431" s="118"/>
      <c r="I431" s="118"/>
      <c r="J431" s="119">
        <v>39873</v>
      </c>
      <c r="K431" s="27"/>
    </row>
    <row r="432" spans="1:11" s="7" customFormat="1" ht="30">
      <c r="A432" s="117">
        <v>430</v>
      </c>
      <c r="B432" s="118" t="s">
        <v>531</v>
      </c>
      <c r="C432" s="118" t="s">
        <v>513</v>
      </c>
      <c r="D432" s="118" t="s">
        <v>11</v>
      </c>
      <c r="E432" s="126">
        <v>110</v>
      </c>
      <c r="F432" s="118" t="s">
        <v>34</v>
      </c>
      <c r="G432" s="118"/>
      <c r="H432" s="118"/>
      <c r="I432" s="118"/>
      <c r="J432" s="119">
        <v>39924</v>
      </c>
      <c r="K432" s="27" t="s">
        <v>532</v>
      </c>
    </row>
    <row r="433" spans="1:11" s="7" customFormat="1">
      <c r="A433" s="108">
        <v>431</v>
      </c>
      <c r="B433" s="118" t="s">
        <v>530</v>
      </c>
      <c r="C433" s="118" t="s">
        <v>81</v>
      </c>
      <c r="D433" s="118" t="s">
        <v>11</v>
      </c>
      <c r="E433" s="126">
        <v>360</v>
      </c>
      <c r="F433" s="118" t="s">
        <v>34</v>
      </c>
      <c r="G433" s="118"/>
      <c r="H433" s="118"/>
      <c r="I433" s="118"/>
      <c r="J433" s="119">
        <v>39873</v>
      </c>
      <c r="K433" s="27"/>
    </row>
    <row r="434" spans="1:11" s="7" customFormat="1">
      <c r="A434" s="117">
        <v>432</v>
      </c>
      <c r="B434" s="118" t="s">
        <v>1465</v>
      </c>
      <c r="C434" s="118" t="s">
        <v>138</v>
      </c>
      <c r="D434" s="118" t="s">
        <v>11</v>
      </c>
      <c r="E434" s="126">
        <v>61</v>
      </c>
      <c r="F434" s="118" t="s">
        <v>34</v>
      </c>
      <c r="G434" s="118"/>
      <c r="H434" s="118"/>
      <c r="I434" s="118"/>
      <c r="J434" s="119">
        <v>40286</v>
      </c>
      <c r="K434" s="27"/>
    </row>
    <row r="435" spans="1:11" s="7" customFormat="1">
      <c r="A435" s="108">
        <v>433</v>
      </c>
      <c r="B435" s="118" t="s">
        <v>533</v>
      </c>
      <c r="C435" s="27" t="s">
        <v>31</v>
      </c>
      <c r="D435" s="27" t="s">
        <v>534</v>
      </c>
      <c r="E435" s="143" t="s">
        <v>378</v>
      </c>
      <c r="F435" s="27" t="s">
        <v>37</v>
      </c>
      <c r="G435" s="27"/>
      <c r="H435" s="27">
        <v>1.1000000000000001</v>
      </c>
      <c r="I435" s="27">
        <v>0.22</v>
      </c>
      <c r="J435" s="125">
        <v>39880</v>
      </c>
      <c r="K435" s="27" t="s">
        <v>535</v>
      </c>
    </row>
    <row r="436" spans="1:11" s="7" customFormat="1">
      <c r="A436" s="117">
        <v>434</v>
      </c>
      <c r="B436" s="118" t="s">
        <v>536</v>
      </c>
      <c r="C436" s="27" t="s">
        <v>31</v>
      </c>
      <c r="D436" s="27" t="s">
        <v>534</v>
      </c>
      <c r="E436" s="143" t="s">
        <v>42</v>
      </c>
      <c r="F436" s="27" t="s">
        <v>37</v>
      </c>
      <c r="G436" s="27"/>
      <c r="H436" s="27">
        <v>0.02</v>
      </c>
      <c r="I436" s="27">
        <v>2.23</v>
      </c>
      <c r="J436" s="125">
        <v>39880</v>
      </c>
      <c r="K436" s="27" t="s">
        <v>537</v>
      </c>
    </row>
    <row r="437" spans="1:11" s="7" customFormat="1">
      <c r="A437" s="108">
        <v>435</v>
      </c>
      <c r="B437" s="118" t="s">
        <v>538</v>
      </c>
      <c r="C437" s="118" t="s">
        <v>31</v>
      </c>
      <c r="D437" s="118" t="s">
        <v>534</v>
      </c>
      <c r="E437" s="124" t="s">
        <v>378</v>
      </c>
      <c r="F437" s="118" t="s">
        <v>37</v>
      </c>
      <c r="G437" s="27"/>
      <c r="H437" s="27">
        <v>0.17599999999999999</v>
      </c>
      <c r="I437" s="27">
        <v>5.6000000000000001E-2</v>
      </c>
      <c r="J437" s="125">
        <v>39883</v>
      </c>
      <c r="K437" s="27" t="s">
        <v>539</v>
      </c>
    </row>
    <row r="438" spans="1:11" s="7" customFormat="1">
      <c r="A438" s="117">
        <v>436</v>
      </c>
      <c r="B438" s="118" t="s">
        <v>540</v>
      </c>
      <c r="C438" s="118" t="s">
        <v>31</v>
      </c>
      <c r="D438" s="118" t="s">
        <v>534</v>
      </c>
      <c r="E438" s="124">
        <v>0.5</v>
      </c>
      <c r="F438" s="118"/>
      <c r="G438" s="27"/>
      <c r="H438" s="27"/>
      <c r="I438" s="27"/>
      <c r="J438" s="125">
        <v>39922</v>
      </c>
      <c r="K438" s="27" t="s">
        <v>541</v>
      </c>
    </row>
    <row r="439" spans="1:11" s="7" customFormat="1" ht="30">
      <c r="A439" s="108">
        <v>437</v>
      </c>
      <c r="B439" s="118" t="s">
        <v>542</v>
      </c>
      <c r="C439" s="118" t="s">
        <v>31</v>
      </c>
      <c r="D439" s="118" t="s">
        <v>534</v>
      </c>
      <c r="E439" s="124" t="s">
        <v>42</v>
      </c>
      <c r="F439" s="118" t="s">
        <v>37</v>
      </c>
      <c r="G439" s="27" t="s">
        <v>37</v>
      </c>
      <c r="H439" s="27">
        <v>3.2000000000000001E-2</v>
      </c>
      <c r="I439" s="27">
        <v>1.33</v>
      </c>
      <c r="J439" s="125">
        <v>39901</v>
      </c>
      <c r="K439" s="27" t="s">
        <v>543</v>
      </c>
    </row>
    <row r="440" spans="1:11" s="7" customFormat="1">
      <c r="A440" s="117">
        <v>438</v>
      </c>
      <c r="B440" s="118" t="s">
        <v>544</v>
      </c>
      <c r="C440" s="118" t="s">
        <v>31</v>
      </c>
      <c r="D440" s="118" t="s">
        <v>534</v>
      </c>
      <c r="E440" s="124">
        <v>0.5</v>
      </c>
      <c r="F440" s="118"/>
      <c r="G440" s="27"/>
      <c r="H440" s="27"/>
      <c r="I440" s="27"/>
      <c r="J440" s="125">
        <v>39922</v>
      </c>
      <c r="K440" s="27" t="s">
        <v>541</v>
      </c>
    </row>
    <row r="441" spans="1:11" s="7" customFormat="1" ht="30">
      <c r="A441" s="108">
        <v>439</v>
      </c>
      <c r="B441" s="118" t="s">
        <v>545</v>
      </c>
      <c r="C441" s="118" t="s">
        <v>31</v>
      </c>
      <c r="D441" s="118" t="s">
        <v>534</v>
      </c>
      <c r="E441" s="124" t="s">
        <v>42</v>
      </c>
      <c r="F441" s="118" t="s">
        <v>37</v>
      </c>
      <c r="G441" s="27" t="s">
        <v>37</v>
      </c>
      <c r="H441" s="27">
        <v>4.8000000000000001E-2</v>
      </c>
      <c r="I441" s="27">
        <v>1.9950000000000001</v>
      </c>
      <c r="J441" s="125">
        <v>39901</v>
      </c>
      <c r="K441" s="27" t="s">
        <v>543</v>
      </c>
    </row>
    <row r="442" spans="1:11" s="7" customFormat="1">
      <c r="A442" s="117">
        <v>440</v>
      </c>
      <c r="B442" s="118" t="s">
        <v>546</v>
      </c>
      <c r="C442" s="118" t="s">
        <v>31</v>
      </c>
      <c r="D442" s="118" t="s">
        <v>534</v>
      </c>
      <c r="E442" s="124" t="s">
        <v>42</v>
      </c>
      <c r="F442" s="118" t="s">
        <v>37</v>
      </c>
      <c r="G442" s="27" t="s">
        <v>37</v>
      </c>
      <c r="H442" s="27">
        <v>1.55E-2</v>
      </c>
      <c r="I442" s="27">
        <v>5.82</v>
      </c>
      <c r="J442" s="125">
        <v>39883</v>
      </c>
      <c r="K442" s="27" t="s">
        <v>547</v>
      </c>
    </row>
    <row r="443" spans="1:11" s="7" customFormat="1">
      <c r="A443" s="108">
        <v>441</v>
      </c>
      <c r="B443" s="118" t="s">
        <v>548</v>
      </c>
      <c r="C443" s="118" t="s">
        <v>31</v>
      </c>
      <c r="D443" s="118" t="s">
        <v>534</v>
      </c>
      <c r="E443" s="124" t="s">
        <v>42</v>
      </c>
      <c r="F443" s="118" t="s">
        <v>37</v>
      </c>
      <c r="G443" s="27" t="s">
        <v>37</v>
      </c>
      <c r="H443" s="27">
        <v>1.9E-2</v>
      </c>
      <c r="I443" s="27">
        <v>10.67</v>
      </c>
      <c r="J443" s="125">
        <v>39883</v>
      </c>
      <c r="K443" s="27" t="s">
        <v>549</v>
      </c>
    </row>
    <row r="444" spans="1:11" s="7" customFormat="1">
      <c r="A444" s="117">
        <v>442</v>
      </c>
      <c r="B444" s="118" t="s">
        <v>550</v>
      </c>
      <c r="C444" s="118" t="s">
        <v>31</v>
      </c>
      <c r="D444" s="118" t="s">
        <v>534</v>
      </c>
      <c r="E444" s="124" t="s">
        <v>42</v>
      </c>
      <c r="F444" s="118" t="s">
        <v>37</v>
      </c>
      <c r="G444" s="27" t="s">
        <v>37</v>
      </c>
      <c r="H444" s="27">
        <v>1.55E-2</v>
      </c>
      <c r="I444" s="27">
        <v>15.24</v>
      </c>
      <c r="J444" s="125">
        <v>39883</v>
      </c>
      <c r="K444" s="27" t="s">
        <v>549</v>
      </c>
    </row>
    <row r="445" spans="1:11" s="7" customFormat="1">
      <c r="A445" s="108">
        <v>443</v>
      </c>
      <c r="B445" s="118" t="s">
        <v>551</v>
      </c>
      <c r="C445" s="118" t="s">
        <v>31</v>
      </c>
      <c r="D445" s="118" t="s">
        <v>534</v>
      </c>
      <c r="E445" s="124" t="s">
        <v>42</v>
      </c>
      <c r="F445" s="118" t="s">
        <v>37</v>
      </c>
      <c r="G445" s="27" t="s">
        <v>37</v>
      </c>
      <c r="H445" s="27">
        <v>1.4E-2</v>
      </c>
      <c r="I445" s="27">
        <v>10.54</v>
      </c>
      <c r="J445" s="125">
        <v>39883</v>
      </c>
      <c r="K445" s="27" t="s">
        <v>549</v>
      </c>
    </row>
    <row r="446" spans="1:11" s="7" customFormat="1">
      <c r="A446" s="117">
        <v>444</v>
      </c>
      <c r="B446" s="118" t="s">
        <v>552</v>
      </c>
      <c r="C446" s="118" t="s">
        <v>31</v>
      </c>
      <c r="D446" s="118" t="s">
        <v>534</v>
      </c>
      <c r="E446" s="124" t="s">
        <v>42</v>
      </c>
      <c r="F446" s="118" t="s">
        <v>37</v>
      </c>
      <c r="G446" s="27" t="s">
        <v>37</v>
      </c>
      <c r="H446" s="27">
        <v>1.4999999999999999E-2</v>
      </c>
      <c r="I446" s="27">
        <v>12.91</v>
      </c>
      <c r="J446" s="125">
        <v>39883</v>
      </c>
      <c r="K446" s="27" t="s">
        <v>549</v>
      </c>
    </row>
    <row r="447" spans="1:11" s="7" customFormat="1">
      <c r="A447" s="108">
        <v>445</v>
      </c>
      <c r="B447" s="118" t="s">
        <v>553</v>
      </c>
      <c r="C447" s="118" t="s">
        <v>31</v>
      </c>
      <c r="D447" s="118" t="s">
        <v>534</v>
      </c>
      <c r="E447" s="124" t="s">
        <v>42</v>
      </c>
      <c r="F447" s="118" t="s">
        <v>37</v>
      </c>
      <c r="G447" s="27" t="s">
        <v>37</v>
      </c>
      <c r="H447" s="27">
        <v>8.0000000000000002E-3</v>
      </c>
      <c r="I447" s="27">
        <v>3.3</v>
      </c>
      <c r="J447" s="125">
        <v>39883</v>
      </c>
      <c r="K447" s="27" t="s">
        <v>547</v>
      </c>
    </row>
    <row r="448" spans="1:11" s="7" customFormat="1">
      <c r="A448" s="117">
        <v>446</v>
      </c>
      <c r="B448" s="118" t="s">
        <v>554</v>
      </c>
      <c r="C448" s="118" t="s">
        <v>31</v>
      </c>
      <c r="D448" s="118" t="s">
        <v>534</v>
      </c>
      <c r="E448" s="124" t="s">
        <v>42</v>
      </c>
      <c r="F448" s="118" t="s">
        <v>37</v>
      </c>
      <c r="G448" s="27" t="s">
        <v>37</v>
      </c>
      <c r="H448" s="27">
        <v>7.1999999999999998E-3</v>
      </c>
      <c r="I448" s="27">
        <v>5.47</v>
      </c>
      <c r="J448" s="125">
        <v>39883</v>
      </c>
      <c r="K448" s="27" t="s">
        <v>547</v>
      </c>
    </row>
    <row r="449" spans="1:11" s="7" customFormat="1">
      <c r="A449" s="108">
        <v>447</v>
      </c>
      <c r="B449" s="118" t="s">
        <v>555</v>
      </c>
      <c r="C449" s="118" t="s">
        <v>31</v>
      </c>
      <c r="D449" s="118" t="s">
        <v>534</v>
      </c>
      <c r="E449" s="124" t="s">
        <v>42</v>
      </c>
      <c r="F449" s="118" t="s">
        <v>37</v>
      </c>
      <c r="G449" s="27" t="s">
        <v>37</v>
      </c>
      <c r="H449" s="27">
        <v>2.4E-2</v>
      </c>
      <c r="I449" s="27">
        <v>2.36</v>
      </c>
      <c r="J449" s="125">
        <v>39883</v>
      </c>
      <c r="K449" s="27" t="s">
        <v>547</v>
      </c>
    </row>
    <row r="450" spans="1:11" s="7" customFormat="1">
      <c r="A450" s="117">
        <v>448</v>
      </c>
      <c r="B450" s="118" t="s">
        <v>556</v>
      </c>
      <c r="C450" s="118" t="s">
        <v>31</v>
      </c>
      <c r="D450" s="118" t="s">
        <v>534</v>
      </c>
      <c r="E450" s="124" t="s">
        <v>42</v>
      </c>
      <c r="F450" s="118" t="s">
        <v>37</v>
      </c>
      <c r="G450" s="27" t="s">
        <v>37</v>
      </c>
      <c r="H450" s="27">
        <v>2.4E-2</v>
      </c>
      <c r="I450" s="27">
        <v>2.36</v>
      </c>
      <c r="J450" s="125">
        <v>39883</v>
      </c>
      <c r="K450" s="27" t="s">
        <v>547</v>
      </c>
    </row>
    <row r="451" spans="1:11" s="7" customFormat="1">
      <c r="A451" s="108">
        <v>449</v>
      </c>
      <c r="B451" s="118" t="s">
        <v>557</v>
      </c>
      <c r="C451" s="118" t="s">
        <v>31</v>
      </c>
      <c r="D451" s="118" t="s">
        <v>534</v>
      </c>
      <c r="E451" s="124" t="s">
        <v>42</v>
      </c>
      <c r="F451" s="118" t="s">
        <v>37</v>
      </c>
      <c r="G451" s="27" t="s">
        <v>37</v>
      </c>
      <c r="H451" s="27">
        <v>1.2999999999999999E-2</v>
      </c>
      <c r="I451" s="27">
        <v>6.47</v>
      </c>
      <c r="J451" s="125">
        <v>39883</v>
      </c>
      <c r="K451" s="27" t="s">
        <v>547</v>
      </c>
    </row>
    <row r="452" spans="1:11" s="7" customFormat="1">
      <c r="A452" s="117">
        <v>450</v>
      </c>
      <c r="B452" s="118" t="s">
        <v>558</v>
      </c>
      <c r="C452" s="118" t="s">
        <v>31</v>
      </c>
      <c r="D452" s="118" t="s">
        <v>534</v>
      </c>
      <c r="E452" s="124" t="s">
        <v>42</v>
      </c>
      <c r="F452" s="118" t="s">
        <v>37</v>
      </c>
      <c r="G452" s="27" t="s">
        <v>37</v>
      </c>
      <c r="H452" s="27">
        <v>0.01</v>
      </c>
      <c r="I452" s="27">
        <v>12.15</v>
      </c>
      <c r="J452" s="125">
        <v>39883</v>
      </c>
      <c r="K452" s="27" t="s">
        <v>547</v>
      </c>
    </row>
    <row r="453" spans="1:11" s="7" customFormat="1" ht="30">
      <c r="A453" s="108">
        <v>451</v>
      </c>
      <c r="B453" s="118" t="s">
        <v>559</v>
      </c>
      <c r="C453" s="118" t="s">
        <v>31</v>
      </c>
      <c r="D453" s="118" t="s">
        <v>534</v>
      </c>
      <c r="E453" s="124" t="s">
        <v>42</v>
      </c>
      <c r="F453" s="118" t="s">
        <v>37</v>
      </c>
      <c r="G453" s="27" t="s">
        <v>37</v>
      </c>
      <c r="H453" s="27">
        <v>0.14399999999999999</v>
      </c>
      <c r="I453" s="27">
        <v>8.6300000000000008</v>
      </c>
      <c r="J453" s="125">
        <v>39883</v>
      </c>
      <c r="K453" s="27" t="s">
        <v>547</v>
      </c>
    </row>
    <row r="454" spans="1:11" s="7" customFormat="1">
      <c r="A454" s="117">
        <v>452</v>
      </c>
      <c r="B454" s="118" t="s">
        <v>560</v>
      </c>
      <c r="C454" s="118" t="s">
        <v>31</v>
      </c>
      <c r="D454" s="118" t="s">
        <v>534</v>
      </c>
      <c r="E454" s="124" t="s">
        <v>42</v>
      </c>
      <c r="F454" s="118" t="s">
        <v>37</v>
      </c>
      <c r="G454" s="27" t="s">
        <v>37</v>
      </c>
      <c r="H454" s="27">
        <v>2.4E-2</v>
      </c>
      <c r="I454" s="27">
        <v>7.55</v>
      </c>
      <c r="J454" s="125">
        <v>39883</v>
      </c>
      <c r="K454" s="27" t="s">
        <v>549</v>
      </c>
    </row>
    <row r="455" spans="1:11" s="7" customFormat="1">
      <c r="A455" s="108">
        <v>453</v>
      </c>
      <c r="B455" s="118" t="s">
        <v>561</v>
      </c>
      <c r="C455" s="118" t="s">
        <v>31</v>
      </c>
      <c r="D455" s="118" t="s">
        <v>534</v>
      </c>
      <c r="E455" s="124" t="s">
        <v>42</v>
      </c>
      <c r="F455" s="118" t="s">
        <v>37</v>
      </c>
      <c r="G455" s="27" t="s">
        <v>37</v>
      </c>
      <c r="H455" s="27">
        <v>7.0000000000000007E-2</v>
      </c>
      <c r="I455" s="27">
        <v>13.1</v>
      </c>
      <c r="J455" s="125">
        <v>39883</v>
      </c>
      <c r="K455" s="27" t="s">
        <v>549</v>
      </c>
    </row>
    <row r="456" spans="1:11" s="7" customFormat="1">
      <c r="A456" s="117">
        <v>454</v>
      </c>
      <c r="B456" s="118" t="s">
        <v>562</v>
      </c>
      <c r="C456" s="118" t="s">
        <v>31</v>
      </c>
      <c r="D456" s="118" t="s">
        <v>534</v>
      </c>
      <c r="E456" s="124" t="s">
        <v>42</v>
      </c>
      <c r="F456" s="118" t="s">
        <v>37</v>
      </c>
      <c r="G456" s="27" t="s">
        <v>37</v>
      </c>
      <c r="H456" s="27">
        <v>1.7999999999999999E-2</v>
      </c>
      <c r="I456" s="27">
        <v>6.45</v>
      </c>
      <c r="J456" s="125">
        <v>39883</v>
      </c>
      <c r="K456" s="27" t="s">
        <v>547</v>
      </c>
    </row>
    <row r="457" spans="1:11" s="7" customFormat="1">
      <c r="A457" s="108">
        <v>455</v>
      </c>
      <c r="B457" s="118" t="s">
        <v>563</v>
      </c>
      <c r="C457" s="118" t="s">
        <v>31</v>
      </c>
      <c r="D457" s="118" t="s">
        <v>534</v>
      </c>
      <c r="E457" s="124" t="s">
        <v>42</v>
      </c>
      <c r="F457" s="118" t="s">
        <v>37</v>
      </c>
      <c r="G457" s="27" t="s">
        <v>37</v>
      </c>
      <c r="H457" s="27">
        <v>0.08</v>
      </c>
      <c r="I457" s="27">
        <v>8.92</v>
      </c>
      <c r="J457" s="125">
        <v>39883</v>
      </c>
      <c r="K457" s="27" t="s">
        <v>549</v>
      </c>
    </row>
    <row r="458" spans="1:11" s="7" customFormat="1">
      <c r="A458" s="117">
        <v>456</v>
      </c>
      <c r="B458" s="118" t="s">
        <v>564</v>
      </c>
      <c r="C458" s="118" t="s">
        <v>31</v>
      </c>
      <c r="D458" s="118" t="s">
        <v>534</v>
      </c>
      <c r="E458" s="124" t="s">
        <v>42</v>
      </c>
      <c r="F458" s="118" t="s">
        <v>37</v>
      </c>
      <c r="G458" s="27" t="s">
        <v>37</v>
      </c>
      <c r="H458" s="27">
        <v>4.0000000000000001E-3</v>
      </c>
      <c r="I458" s="27">
        <v>4.34</v>
      </c>
      <c r="J458" s="125">
        <v>39883</v>
      </c>
      <c r="K458" s="27" t="s">
        <v>547</v>
      </c>
    </row>
    <row r="459" spans="1:11" s="7" customFormat="1">
      <c r="A459" s="108">
        <v>457</v>
      </c>
      <c r="B459" s="118" t="s">
        <v>565</v>
      </c>
      <c r="C459" s="118" t="s">
        <v>31</v>
      </c>
      <c r="D459" s="118" t="s">
        <v>534</v>
      </c>
      <c r="E459" s="124" t="s">
        <v>42</v>
      </c>
      <c r="F459" s="118" t="s">
        <v>37</v>
      </c>
      <c r="G459" s="27" t="s">
        <v>37</v>
      </c>
      <c r="H459" s="27">
        <v>5.9999999999999995E-4</v>
      </c>
      <c r="I459" s="27">
        <v>1.47</v>
      </c>
      <c r="J459" s="125">
        <v>39883</v>
      </c>
      <c r="K459" s="27" t="s">
        <v>547</v>
      </c>
    </row>
    <row r="460" spans="1:11" s="7" customFormat="1" ht="30">
      <c r="A460" s="117">
        <v>458</v>
      </c>
      <c r="B460" s="118" t="s">
        <v>566</v>
      </c>
      <c r="C460" s="118" t="s">
        <v>31</v>
      </c>
      <c r="D460" s="118" t="s">
        <v>534</v>
      </c>
      <c r="E460" s="124" t="s">
        <v>42</v>
      </c>
      <c r="F460" s="118" t="s">
        <v>37</v>
      </c>
      <c r="G460" s="27" t="s">
        <v>37</v>
      </c>
      <c r="H460" s="27">
        <v>2.0000000000000001E-4</v>
      </c>
      <c r="I460" s="27">
        <v>11.55</v>
      </c>
      <c r="J460" s="125">
        <v>39883</v>
      </c>
      <c r="K460" s="27" t="s">
        <v>547</v>
      </c>
    </row>
    <row r="461" spans="1:11" s="7" customFormat="1">
      <c r="A461" s="108">
        <v>459</v>
      </c>
      <c r="B461" s="118" t="s">
        <v>567</v>
      </c>
      <c r="C461" s="118" t="s">
        <v>31</v>
      </c>
      <c r="D461" s="118" t="s">
        <v>534</v>
      </c>
      <c r="E461" s="124" t="s">
        <v>42</v>
      </c>
      <c r="F461" s="118" t="s">
        <v>37</v>
      </c>
      <c r="G461" s="27" t="s">
        <v>37</v>
      </c>
      <c r="H461" s="27">
        <v>4.0000000000000002E-4</v>
      </c>
      <c r="I461" s="27">
        <v>18.59</v>
      </c>
      <c r="J461" s="125">
        <v>39883</v>
      </c>
      <c r="K461" s="27" t="s">
        <v>547</v>
      </c>
    </row>
    <row r="462" spans="1:11" s="7" customFormat="1">
      <c r="A462" s="117">
        <v>460</v>
      </c>
      <c r="B462" s="118" t="s">
        <v>568</v>
      </c>
      <c r="C462" s="118" t="s">
        <v>31</v>
      </c>
      <c r="D462" s="118" t="s">
        <v>534</v>
      </c>
      <c r="E462" s="124" t="s">
        <v>42</v>
      </c>
      <c r="F462" s="118" t="s">
        <v>37</v>
      </c>
      <c r="G462" s="27" t="s">
        <v>37</v>
      </c>
      <c r="H462" s="27">
        <v>5.9999999999999995E-4</v>
      </c>
      <c r="I462" s="27">
        <v>6.78</v>
      </c>
      <c r="J462" s="125">
        <v>39883</v>
      </c>
      <c r="K462" s="27" t="s">
        <v>547</v>
      </c>
    </row>
    <row r="463" spans="1:11" s="7" customFormat="1" ht="30">
      <c r="A463" s="108">
        <v>461</v>
      </c>
      <c r="B463" s="118" t="s">
        <v>569</v>
      </c>
      <c r="C463" s="118" t="s">
        <v>31</v>
      </c>
      <c r="D463" s="118" t="s">
        <v>534</v>
      </c>
      <c r="E463" s="124" t="s">
        <v>42</v>
      </c>
      <c r="F463" s="118" t="s">
        <v>37</v>
      </c>
      <c r="G463" s="27" t="s">
        <v>37</v>
      </c>
      <c r="H463" s="27">
        <v>4.0000000000000002E-4</v>
      </c>
      <c r="I463" s="27">
        <v>5.28</v>
      </c>
      <c r="J463" s="125">
        <v>39883</v>
      </c>
      <c r="K463" s="27" t="s">
        <v>547</v>
      </c>
    </row>
    <row r="464" spans="1:11" s="7" customFormat="1">
      <c r="A464" s="117">
        <v>462</v>
      </c>
      <c r="B464" s="118" t="s">
        <v>570</v>
      </c>
      <c r="C464" s="118" t="s">
        <v>31</v>
      </c>
      <c r="D464" s="118" t="s">
        <v>534</v>
      </c>
      <c r="E464" s="124" t="s">
        <v>42</v>
      </c>
      <c r="F464" s="118" t="s">
        <v>37</v>
      </c>
      <c r="G464" s="27" t="s">
        <v>37</v>
      </c>
      <c r="H464" s="27">
        <v>5.9999999999999995E-4</v>
      </c>
      <c r="I464" s="27">
        <v>9</v>
      </c>
      <c r="J464" s="125">
        <v>39883</v>
      </c>
      <c r="K464" s="27" t="s">
        <v>547</v>
      </c>
    </row>
    <row r="465" spans="1:256" s="7" customFormat="1">
      <c r="A465" s="108">
        <v>463</v>
      </c>
      <c r="B465" s="118" t="s">
        <v>571</v>
      </c>
      <c r="C465" s="118" t="s">
        <v>31</v>
      </c>
      <c r="D465" s="118" t="s">
        <v>534</v>
      </c>
      <c r="E465" s="124" t="s">
        <v>42</v>
      </c>
      <c r="F465" s="118" t="s">
        <v>37</v>
      </c>
      <c r="G465" s="27" t="s">
        <v>37</v>
      </c>
      <c r="H465" s="27">
        <v>2.9999999999999997E-4</v>
      </c>
      <c r="I465" s="27">
        <v>1.88</v>
      </c>
      <c r="J465" s="125">
        <v>39883</v>
      </c>
      <c r="K465" s="27" t="s">
        <v>547</v>
      </c>
    </row>
    <row r="466" spans="1:256" s="7" customFormat="1">
      <c r="A466" s="117">
        <v>464</v>
      </c>
      <c r="B466" s="118" t="s">
        <v>572</v>
      </c>
      <c r="C466" s="118" t="s">
        <v>31</v>
      </c>
      <c r="D466" s="118" t="s">
        <v>534</v>
      </c>
      <c r="E466" s="124" t="s">
        <v>42</v>
      </c>
      <c r="F466" s="118" t="s">
        <v>37</v>
      </c>
      <c r="G466" s="27" t="s">
        <v>37</v>
      </c>
      <c r="H466" s="27">
        <v>3.5000000000000003E-2</v>
      </c>
      <c r="I466" s="27">
        <v>3.5</v>
      </c>
      <c r="J466" s="125">
        <v>39883</v>
      </c>
      <c r="K466" s="27" t="s">
        <v>547</v>
      </c>
    </row>
    <row r="467" spans="1:256" s="7" customFormat="1">
      <c r="A467" s="108">
        <v>465</v>
      </c>
      <c r="B467" s="118" t="s">
        <v>573</v>
      </c>
      <c r="C467" s="118" t="s">
        <v>31</v>
      </c>
      <c r="D467" s="118" t="s">
        <v>534</v>
      </c>
      <c r="E467" s="124" t="s">
        <v>42</v>
      </c>
      <c r="F467" s="118" t="s">
        <v>37</v>
      </c>
      <c r="G467" s="27" t="s">
        <v>37</v>
      </c>
      <c r="H467" s="27">
        <v>6.6000000000000003E-2</v>
      </c>
      <c r="I467" s="27">
        <v>9.7899999999999991</v>
      </c>
      <c r="J467" s="125">
        <v>39883</v>
      </c>
      <c r="K467" s="27" t="s">
        <v>549</v>
      </c>
    </row>
    <row r="468" spans="1:256" s="7" customFormat="1">
      <c r="A468" s="117">
        <v>466</v>
      </c>
      <c r="B468" s="118" t="s">
        <v>574</v>
      </c>
      <c r="C468" s="118" t="s">
        <v>31</v>
      </c>
      <c r="D468" s="118" t="s">
        <v>534</v>
      </c>
      <c r="E468" s="124" t="s">
        <v>42</v>
      </c>
      <c r="F468" s="118" t="s">
        <v>37</v>
      </c>
      <c r="G468" s="27" t="s">
        <v>37</v>
      </c>
      <c r="H468" s="27">
        <v>6.9000000000000006E-2</v>
      </c>
      <c r="I468" s="27">
        <v>10.98</v>
      </c>
      <c r="J468" s="125">
        <v>39883</v>
      </c>
      <c r="K468" s="27" t="s">
        <v>549</v>
      </c>
    </row>
    <row r="469" spans="1:256" s="7" customFormat="1">
      <c r="A469" s="108">
        <v>467</v>
      </c>
      <c r="B469" s="118" t="s">
        <v>575</v>
      </c>
      <c r="C469" s="118" t="s">
        <v>31</v>
      </c>
      <c r="D469" s="118" t="s">
        <v>534</v>
      </c>
      <c r="E469" s="124" t="s">
        <v>42</v>
      </c>
      <c r="F469" s="118" t="s">
        <v>37</v>
      </c>
      <c r="G469" s="27" t="s">
        <v>37</v>
      </c>
      <c r="H469" s="27">
        <v>6.7000000000000004E-2</v>
      </c>
      <c r="I469" s="27">
        <v>3.93</v>
      </c>
      <c r="J469" s="125">
        <v>39883</v>
      </c>
      <c r="K469" s="27" t="s">
        <v>547</v>
      </c>
    </row>
    <row r="470" spans="1:256" s="7" customFormat="1">
      <c r="A470" s="117">
        <v>468</v>
      </c>
      <c r="B470" s="118" t="s">
        <v>576</v>
      </c>
      <c r="C470" s="118" t="s">
        <v>31</v>
      </c>
      <c r="D470" s="118" t="s">
        <v>534</v>
      </c>
      <c r="E470" s="124" t="s">
        <v>42</v>
      </c>
      <c r="F470" s="118" t="s">
        <v>37</v>
      </c>
      <c r="G470" s="27" t="s">
        <v>37</v>
      </c>
      <c r="H470" s="27">
        <v>1.6E-2</v>
      </c>
      <c r="I470" s="27">
        <v>7.2</v>
      </c>
      <c r="J470" s="125">
        <v>39883</v>
      </c>
      <c r="K470" s="27" t="s">
        <v>577</v>
      </c>
    </row>
    <row r="471" spans="1:256" s="7" customFormat="1">
      <c r="A471" s="108">
        <v>469</v>
      </c>
      <c r="B471" s="118" t="s">
        <v>578</v>
      </c>
      <c r="C471" s="118" t="s">
        <v>31</v>
      </c>
      <c r="D471" s="118" t="s">
        <v>534</v>
      </c>
      <c r="E471" s="124" t="s">
        <v>42</v>
      </c>
      <c r="F471" s="118" t="s">
        <v>37</v>
      </c>
      <c r="G471" s="27" t="s">
        <v>37</v>
      </c>
      <c r="H471" s="27">
        <v>6.3E-3</v>
      </c>
      <c r="I471" s="27">
        <v>1.75</v>
      </c>
      <c r="J471" s="125">
        <v>39883</v>
      </c>
      <c r="K471" s="27" t="s">
        <v>547</v>
      </c>
    </row>
    <row r="472" spans="1:256" s="7" customFormat="1">
      <c r="A472" s="117">
        <v>470</v>
      </c>
      <c r="B472" s="118" t="s">
        <v>579</v>
      </c>
      <c r="C472" s="118" t="s">
        <v>31</v>
      </c>
      <c r="D472" s="118" t="s">
        <v>534</v>
      </c>
      <c r="E472" s="124" t="s">
        <v>42</v>
      </c>
      <c r="F472" s="118" t="s">
        <v>37</v>
      </c>
      <c r="G472" s="27" t="s">
        <v>37</v>
      </c>
      <c r="H472" s="27">
        <v>1.2E-2</v>
      </c>
      <c r="I472" s="27">
        <v>7.13</v>
      </c>
      <c r="J472" s="125">
        <v>39883</v>
      </c>
      <c r="K472" s="27" t="s">
        <v>549</v>
      </c>
    </row>
    <row r="473" spans="1:256" s="7" customFormat="1">
      <c r="A473" s="108">
        <v>471</v>
      </c>
      <c r="B473" s="118" t="s">
        <v>580</v>
      </c>
      <c r="C473" s="118" t="s">
        <v>31</v>
      </c>
      <c r="D473" s="118" t="s">
        <v>534</v>
      </c>
      <c r="E473" s="124" t="s">
        <v>42</v>
      </c>
      <c r="F473" s="118" t="s">
        <v>37</v>
      </c>
      <c r="G473" s="27" t="s">
        <v>37</v>
      </c>
      <c r="H473" s="27">
        <v>6.3E-3</v>
      </c>
      <c r="I473" s="27">
        <v>1.75</v>
      </c>
      <c r="J473" s="125">
        <v>39883</v>
      </c>
      <c r="K473" s="27" t="s">
        <v>547</v>
      </c>
    </row>
    <row r="474" spans="1:256" s="7" customFormat="1">
      <c r="A474" s="117">
        <v>472</v>
      </c>
      <c r="B474" s="118" t="s">
        <v>581</v>
      </c>
      <c r="C474" s="118" t="s">
        <v>31</v>
      </c>
      <c r="D474" s="118" t="s">
        <v>534</v>
      </c>
      <c r="E474" s="124" t="s">
        <v>42</v>
      </c>
      <c r="F474" s="118" t="s">
        <v>37</v>
      </c>
      <c r="G474" s="27" t="s">
        <v>37</v>
      </c>
      <c r="H474" s="27">
        <v>1.24E-2</v>
      </c>
      <c r="I474" s="27">
        <v>9.33</v>
      </c>
      <c r="J474" s="125">
        <v>39883</v>
      </c>
      <c r="K474" s="27" t="s">
        <v>547</v>
      </c>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c r="CL474" s="20"/>
      <c r="CM474" s="20"/>
      <c r="CN474" s="20"/>
      <c r="CO474" s="20"/>
      <c r="CP474" s="20"/>
      <c r="CQ474" s="20"/>
      <c r="CR474" s="20"/>
      <c r="CS474" s="20"/>
      <c r="CT474" s="20"/>
      <c r="CU474" s="20"/>
      <c r="CV474" s="20"/>
      <c r="CW474" s="20"/>
      <c r="CX474" s="20"/>
      <c r="CY474" s="20"/>
      <c r="CZ474" s="20"/>
      <c r="DA474" s="20"/>
      <c r="DB474" s="20"/>
      <c r="DC474" s="20"/>
      <c r="DD474" s="20"/>
      <c r="DE474" s="20"/>
      <c r="DF474" s="20"/>
      <c r="DG474" s="20"/>
      <c r="DH474" s="20"/>
      <c r="DI474" s="20"/>
      <c r="DJ474" s="20"/>
      <c r="DK474" s="20"/>
      <c r="DL474" s="20"/>
      <c r="DM474" s="20"/>
      <c r="DN474" s="20"/>
      <c r="DO474" s="20"/>
      <c r="DP474" s="20"/>
      <c r="DQ474" s="20"/>
      <c r="DR474" s="20"/>
      <c r="DS474" s="20"/>
      <c r="DT474" s="20"/>
      <c r="DU474" s="20"/>
      <c r="DV474" s="20"/>
      <c r="DW474" s="20"/>
      <c r="DX474" s="20"/>
      <c r="DY474" s="20"/>
      <c r="DZ474" s="20"/>
      <c r="EA474" s="20"/>
      <c r="EB474" s="20"/>
      <c r="EC474" s="20"/>
      <c r="ED474" s="20"/>
      <c r="EE474" s="20"/>
      <c r="EF474" s="20"/>
      <c r="EG474" s="20"/>
      <c r="EH474" s="20"/>
      <c r="EI474" s="20"/>
      <c r="EJ474" s="20"/>
      <c r="EK474" s="20"/>
      <c r="EL474" s="20"/>
      <c r="EM474" s="20"/>
      <c r="EN474" s="20"/>
      <c r="EO474" s="20"/>
      <c r="EP474" s="20"/>
      <c r="EQ474" s="20"/>
      <c r="ER474" s="20"/>
      <c r="ES474" s="20"/>
      <c r="ET474" s="20"/>
      <c r="EU474" s="20"/>
      <c r="EV474" s="20"/>
      <c r="EW474" s="20"/>
      <c r="EX474" s="20"/>
      <c r="EY474" s="20"/>
      <c r="EZ474" s="20"/>
      <c r="FA474" s="20"/>
      <c r="FB474" s="20"/>
      <c r="FC474" s="20"/>
      <c r="FD474" s="20"/>
      <c r="FE474" s="20"/>
      <c r="FF474" s="20"/>
      <c r="FG474" s="20"/>
      <c r="FH474" s="20"/>
      <c r="FI474" s="20"/>
      <c r="FJ474" s="20"/>
      <c r="FK474" s="20"/>
      <c r="FL474" s="20"/>
      <c r="FM474" s="20"/>
      <c r="FN474" s="20"/>
      <c r="FO474" s="20"/>
      <c r="FP474" s="20"/>
      <c r="FQ474" s="20"/>
      <c r="FR474" s="20"/>
      <c r="FS474" s="20"/>
      <c r="FT474" s="20"/>
      <c r="FU474" s="20"/>
      <c r="FV474" s="20"/>
      <c r="FW474" s="20"/>
      <c r="FX474" s="20"/>
      <c r="FY474" s="20"/>
      <c r="FZ474" s="20"/>
      <c r="GA474" s="20"/>
      <c r="GB474" s="20"/>
      <c r="GC474" s="20"/>
      <c r="GD474" s="20"/>
      <c r="GE474" s="20"/>
      <c r="GF474" s="20"/>
      <c r="GG474" s="20"/>
      <c r="GH474" s="20"/>
      <c r="GI474" s="20"/>
      <c r="GJ474" s="20"/>
      <c r="GK474" s="20"/>
      <c r="GL474" s="20"/>
      <c r="GM474" s="20"/>
      <c r="GN474" s="20"/>
      <c r="GO474" s="20"/>
      <c r="GP474" s="20"/>
      <c r="GQ474" s="20"/>
      <c r="GR474" s="20"/>
      <c r="GS474" s="20"/>
      <c r="GT474" s="20"/>
      <c r="GU474" s="20"/>
      <c r="GV474" s="20"/>
      <c r="GW474" s="20"/>
      <c r="GX474" s="20"/>
      <c r="GY474" s="20"/>
      <c r="GZ474" s="20"/>
      <c r="HA474" s="20"/>
      <c r="HB474" s="20"/>
      <c r="HC474" s="20"/>
      <c r="HD474" s="20"/>
      <c r="HE474" s="20"/>
      <c r="HF474" s="20"/>
      <c r="HG474" s="20"/>
      <c r="HH474" s="20"/>
      <c r="HI474" s="20"/>
      <c r="HJ474" s="20"/>
      <c r="HK474" s="20"/>
      <c r="HL474" s="20"/>
      <c r="HM474" s="20"/>
      <c r="HN474" s="20"/>
      <c r="HO474" s="20"/>
      <c r="HP474" s="20"/>
      <c r="HQ474" s="20"/>
      <c r="HR474" s="20"/>
      <c r="HS474" s="20"/>
      <c r="HT474" s="20"/>
      <c r="HU474" s="20"/>
      <c r="HV474" s="20"/>
      <c r="HW474" s="20"/>
      <c r="HX474" s="20"/>
      <c r="HY474" s="20"/>
      <c r="HZ474" s="20"/>
      <c r="IA474" s="20"/>
      <c r="IB474" s="20"/>
      <c r="IC474" s="20"/>
      <c r="ID474" s="20"/>
      <c r="IE474" s="20"/>
      <c r="IF474" s="20"/>
      <c r="IG474" s="20"/>
      <c r="IH474" s="20"/>
      <c r="II474" s="20"/>
      <c r="IJ474" s="20"/>
      <c r="IK474" s="20"/>
      <c r="IL474" s="20"/>
      <c r="IM474" s="20"/>
      <c r="IN474" s="20"/>
      <c r="IO474" s="20"/>
      <c r="IP474" s="20"/>
      <c r="IQ474" s="20"/>
      <c r="IR474" s="20"/>
      <c r="IS474" s="20"/>
      <c r="IT474" s="20"/>
      <c r="IU474" s="20"/>
      <c r="IV474" s="20"/>
    </row>
    <row r="475" spans="1:256" s="7" customFormat="1">
      <c r="A475" s="108">
        <v>473</v>
      </c>
      <c r="B475" s="118" t="s">
        <v>582</v>
      </c>
      <c r="C475" s="118" t="s">
        <v>31</v>
      </c>
      <c r="D475" s="118" t="s">
        <v>534</v>
      </c>
      <c r="E475" s="124" t="s">
        <v>42</v>
      </c>
      <c r="F475" s="118" t="s">
        <v>37</v>
      </c>
      <c r="G475" s="27" t="s">
        <v>37</v>
      </c>
      <c r="H475" s="27">
        <v>8.8999999999999999E-3</v>
      </c>
      <c r="I475" s="27">
        <v>4.2</v>
      </c>
      <c r="J475" s="125">
        <v>39883</v>
      </c>
      <c r="K475" s="27" t="s">
        <v>547</v>
      </c>
    </row>
    <row r="476" spans="1:256" s="7" customFormat="1">
      <c r="A476" s="117">
        <v>474</v>
      </c>
      <c r="B476" s="118" t="s">
        <v>583</v>
      </c>
      <c r="C476" s="148" t="s">
        <v>31</v>
      </c>
      <c r="D476" s="148" t="s">
        <v>534</v>
      </c>
      <c r="E476" s="149" t="s">
        <v>378</v>
      </c>
      <c r="F476" s="118" t="s">
        <v>37</v>
      </c>
      <c r="G476" s="118"/>
      <c r="H476" s="118">
        <v>0.68</v>
      </c>
      <c r="I476" s="118">
        <v>0</v>
      </c>
      <c r="J476" s="119">
        <v>39896</v>
      </c>
      <c r="K476" s="27" t="s">
        <v>584</v>
      </c>
    </row>
    <row r="477" spans="1:256" s="7" customFormat="1">
      <c r="A477" s="108">
        <v>475</v>
      </c>
      <c r="B477" s="118" t="s">
        <v>585</v>
      </c>
      <c r="C477" s="148" t="s">
        <v>31</v>
      </c>
      <c r="D477" s="148" t="s">
        <v>534</v>
      </c>
      <c r="E477" s="149" t="s">
        <v>378</v>
      </c>
      <c r="F477" s="118" t="s">
        <v>37</v>
      </c>
      <c r="G477" s="118"/>
      <c r="H477" s="118">
        <v>0.68</v>
      </c>
      <c r="I477" s="118">
        <v>0</v>
      </c>
      <c r="J477" s="119">
        <v>39896</v>
      </c>
      <c r="K477" s="27" t="s">
        <v>584</v>
      </c>
    </row>
    <row r="478" spans="1:256" s="7" customFormat="1">
      <c r="A478" s="117">
        <v>476</v>
      </c>
      <c r="B478" s="118" t="s">
        <v>586</v>
      </c>
      <c r="C478" s="118" t="s">
        <v>31</v>
      </c>
      <c r="D478" s="118" t="s">
        <v>534</v>
      </c>
      <c r="E478" s="149" t="s">
        <v>378</v>
      </c>
      <c r="F478" s="118" t="s">
        <v>37</v>
      </c>
      <c r="G478" s="118"/>
      <c r="H478" s="118">
        <v>1.25</v>
      </c>
      <c r="I478" s="118">
        <v>1.875</v>
      </c>
      <c r="J478" s="119">
        <v>39896</v>
      </c>
      <c r="K478" s="27" t="s">
        <v>587</v>
      </c>
    </row>
    <row r="479" spans="1:256" s="7" customFormat="1">
      <c r="A479" s="108">
        <v>477</v>
      </c>
      <c r="B479" s="118" t="s">
        <v>588</v>
      </c>
      <c r="C479" s="118" t="s">
        <v>31</v>
      </c>
      <c r="D479" s="118" t="s">
        <v>534</v>
      </c>
      <c r="E479" s="149" t="s">
        <v>378</v>
      </c>
      <c r="F479" s="118" t="s">
        <v>37</v>
      </c>
      <c r="G479" s="118"/>
      <c r="H479" s="118">
        <v>2.625</v>
      </c>
      <c r="I479" s="118">
        <v>0</v>
      </c>
      <c r="J479" s="119">
        <v>39896</v>
      </c>
      <c r="K479" s="27" t="s">
        <v>587</v>
      </c>
    </row>
    <row r="480" spans="1:256" s="7" customFormat="1">
      <c r="A480" s="117">
        <v>478</v>
      </c>
      <c r="B480" s="118" t="s">
        <v>589</v>
      </c>
      <c r="C480" s="118" t="s">
        <v>31</v>
      </c>
      <c r="D480" s="118" t="s">
        <v>534</v>
      </c>
      <c r="E480" s="149" t="s">
        <v>378</v>
      </c>
      <c r="F480" s="118" t="s">
        <v>37</v>
      </c>
      <c r="G480" s="118"/>
      <c r="H480" s="118">
        <v>1.5</v>
      </c>
      <c r="I480" s="118">
        <v>2.25</v>
      </c>
      <c r="J480" s="119">
        <v>39896</v>
      </c>
      <c r="K480" s="27" t="s">
        <v>587</v>
      </c>
    </row>
    <row r="481" spans="1:11" s="7" customFormat="1">
      <c r="A481" s="108">
        <v>479</v>
      </c>
      <c r="B481" s="118" t="s">
        <v>590</v>
      </c>
      <c r="C481" s="118" t="s">
        <v>31</v>
      </c>
      <c r="D481" s="118" t="s">
        <v>534</v>
      </c>
      <c r="E481" s="149" t="s">
        <v>378</v>
      </c>
      <c r="F481" s="118" t="s">
        <v>37</v>
      </c>
      <c r="G481" s="118"/>
      <c r="H481" s="118">
        <v>3.15</v>
      </c>
      <c r="I481" s="118">
        <v>0</v>
      </c>
      <c r="J481" s="119">
        <v>39896</v>
      </c>
      <c r="K481" s="27" t="s">
        <v>587</v>
      </c>
    </row>
    <row r="482" spans="1:11" s="7" customFormat="1">
      <c r="A482" s="117">
        <v>480</v>
      </c>
      <c r="B482" s="118" t="s">
        <v>591</v>
      </c>
      <c r="C482" s="118" t="s">
        <v>31</v>
      </c>
      <c r="D482" s="118" t="s">
        <v>534</v>
      </c>
      <c r="E482" s="149" t="s">
        <v>378</v>
      </c>
      <c r="F482" s="118" t="s">
        <v>37</v>
      </c>
      <c r="G482" s="118"/>
      <c r="H482" s="118">
        <v>1</v>
      </c>
      <c r="I482" s="118">
        <v>1.5</v>
      </c>
      <c r="J482" s="119">
        <v>39896</v>
      </c>
      <c r="K482" s="27" t="s">
        <v>587</v>
      </c>
    </row>
    <row r="483" spans="1:11" s="7" customFormat="1">
      <c r="A483" s="108">
        <v>481</v>
      </c>
      <c r="B483" s="118" t="s">
        <v>592</v>
      </c>
      <c r="C483" s="118" t="s">
        <v>31</v>
      </c>
      <c r="D483" s="118" t="s">
        <v>534</v>
      </c>
      <c r="E483" s="149" t="s">
        <v>378</v>
      </c>
      <c r="F483" s="118" t="s">
        <v>37</v>
      </c>
      <c r="G483" s="118"/>
      <c r="H483" s="118">
        <v>1.5</v>
      </c>
      <c r="I483" s="118">
        <v>2.25</v>
      </c>
      <c r="J483" s="119">
        <v>39896</v>
      </c>
      <c r="K483" s="27" t="s">
        <v>593</v>
      </c>
    </row>
    <row r="484" spans="1:11" s="7" customFormat="1">
      <c r="A484" s="117">
        <v>482</v>
      </c>
      <c r="B484" s="118" t="s">
        <v>594</v>
      </c>
      <c r="C484" s="118" t="s">
        <v>31</v>
      </c>
      <c r="D484" s="118" t="s">
        <v>534</v>
      </c>
      <c r="E484" s="149" t="s">
        <v>378</v>
      </c>
      <c r="F484" s="118" t="s">
        <v>37</v>
      </c>
      <c r="G484" s="118"/>
      <c r="H484" s="118">
        <v>3.15</v>
      </c>
      <c r="I484" s="118">
        <v>0</v>
      </c>
      <c r="J484" s="119">
        <v>39896</v>
      </c>
      <c r="K484" s="27" t="s">
        <v>593</v>
      </c>
    </row>
    <row r="485" spans="1:11" s="7" customFormat="1">
      <c r="A485" s="108">
        <v>483</v>
      </c>
      <c r="B485" s="118" t="s">
        <v>595</v>
      </c>
      <c r="C485" s="118" t="s">
        <v>31</v>
      </c>
      <c r="D485" s="118" t="s">
        <v>534</v>
      </c>
      <c r="E485" s="149" t="s">
        <v>378</v>
      </c>
      <c r="F485" s="118" t="s">
        <v>37</v>
      </c>
      <c r="G485" s="118"/>
      <c r="H485" s="118">
        <v>2.1</v>
      </c>
      <c r="I485" s="118">
        <v>0</v>
      </c>
      <c r="J485" s="119">
        <v>39896</v>
      </c>
      <c r="K485" s="27" t="s">
        <v>587</v>
      </c>
    </row>
    <row r="486" spans="1:11" s="7" customFormat="1">
      <c r="A486" s="117">
        <v>484</v>
      </c>
      <c r="B486" s="118" t="s">
        <v>596</v>
      </c>
      <c r="C486" s="118" t="s">
        <v>31</v>
      </c>
      <c r="D486" s="118" t="s">
        <v>534</v>
      </c>
      <c r="E486" s="120">
        <v>1</v>
      </c>
      <c r="F486" s="118" t="s">
        <v>597</v>
      </c>
      <c r="G486" s="118"/>
      <c r="H486" s="118"/>
      <c r="I486" s="118"/>
      <c r="J486" s="119"/>
      <c r="K486" s="27" t="s">
        <v>598</v>
      </c>
    </row>
    <row r="487" spans="1:11" s="7" customFormat="1">
      <c r="A487" s="108">
        <v>485</v>
      </c>
      <c r="B487" s="118" t="s">
        <v>1466</v>
      </c>
      <c r="C487" s="118" t="s">
        <v>1467</v>
      </c>
      <c r="D487" s="118" t="s">
        <v>534</v>
      </c>
      <c r="E487" s="124">
        <v>85</v>
      </c>
      <c r="F487" s="118" t="s">
        <v>34</v>
      </c>
      <c r="G487" s="118"/>
      <c r="H487" s="118"/>
      <c r="I487" s="118"/>
      <c r="J487" s="119">
        <v>40321</v>
      </c>
      <c r="K487" s="150" t="s">
        <v>601</v>
      </c>
    </row>
    <row r="488" spans="1:11" s="7" customFormat="1">
      <c r="A488" s="117">
        <v>486</v>
      </c>
      <c r="B488" s="118" t="s">
        <v>599</v>
      </c>
      <c r="C488" s="118" t="s">
        <v>600</v>
      </c>
      <c r="D488" s="118" t="s">
        <v>534</v>
      </c>
      <c r="E488" s="124">
        <v>85</v>
      </c>
      <c r="F488" s="118" t="s">
        <v>34</v>
      </c>
      <c r="G488" s="118"/>
      <c r="H488" s="118"/>
      <c r="I488" s="118"/>
      <c r="J488" s="119">
        <v>39886</v>
      </c>
      <c r="K488" s="150" t="s">
        <v>601</v>
      </c>
    </row>
    <row r="489" spans="1:11" s="7" customFormat="1">
      <c r="A489" s="108">
        <v>487</v>
      </c>
      <c r="B489" s="118" t="s">
        <v>1468</v>
      </c>
      <c r="C489" s="118" t="s">
        <v>1467</v>
      </c>
      <c r="D489" s="118" t="s">
        <v>534</v>
      </c>
      <c r="E489" s="124">
        <v>73.5</v>
      </c>
      <c r="F489" s="118" t="s">
        <v>34</v>
      </c>
      <c r="G489" s="118"/>
      <c r="H489" s="118"/>
      <c r="I489" s="118"/>
      <c r="J489" s="119">
        <v>40321</v>
      </c>
      <c r="K489" s="150" t="s">
        <v>601</v>
      </c>
    </row>
    <row r="490" spans="1:11" s="7" customFormat="1">
      <c r="A490" s="117">
        <v>488</v>
      </c>
      <c r="B490" s="118" t="s">
        <v>602</v>
      </c>
      <c r="C490" s="118" t="s">
        <v>600</v>
      </c>
      <c r="D490" s="118" t="s">
        <v>534</v>
      </c>
      <c r="E490" s="124">
        <v>73.5</v>
      </c>
      <c r="F490" s="118" t="s">
        <v>34</v>
      </c>
      <c r="G490" s="118"/>
      <c r="H490" s="118"/>
      <c r="I490" s="118"/>
      <c r="J490" s="119">
        <v>39886</v>
      </c>
      <c r="K490" s="150" t="s">
        <v>601</v>
      </c>
    </row>
    <row r="491" spans="1:11" s="7" customFormat="1">
      <c r="A491" s="108">
        <v>489</v>
      </c>
      <c r="B491" s="118" t="s">
        <v>1469</v>
      </c>
      <c r="C491" s="118" t="s">
        <v>603</v>
      </c>
      <c r="D491" s="118" t="s">
        <v>534</v>
      </c>
      <c r="E491" s="124">
        <v>10</v>
      </c>
      <c r="F491" s="118" t="s">
        <v>34</v>
      </c>
      <c r="G491" s="118"/>
      <c r="H491" s="118"/>
      <c r="I491" s="118"/>
      <c r="J491" s="119">
        <v>39922</v>
      </c>
      <c r="K491" s="150"/>
    </row>
    <row r="492" spans="1:11" s="7" customFormat="1">
      <c r="A492" s="117">
        <v>490</v>
      </c>
      <c r="B492" s="118" t="s">
        <v>604</v>
      </c>
      <c r="C492" s="118" t="s">
        <v>31</v>
      </c>
      <c r="D492" s="118" t="s">
        <v>534</v>
      </c>
      <c r="E492" s="149" t="s">
        <v>378</v>
      </c>
      <c r="F492" s="118" t="s">
        <v>37</v>
      </c>
      <c r="G492" s="118"/>
      <c r="H492" s="118">
        <v>2.7E-2</v>
      </c>
      <c r="I492" s="118">
        <v>0.12</v>
      </c>
      <c r="J492" s="119">
        <v>39896</v>
      </c>
      <c r="K492" s="27" t="s">
        <v>605</v>
      </c>
    </row>
    <row r="493" spans="1:11" s="7" customFormat="1">
      <c r="A493" s="108">
        <v>491</v>
      </c>
      <c r="B493" s="118" t="s">
        <v>606</v>
      </c>
      <c r="C493" s="27" t="s">
        <v>31</v>
      </c>
      <c r="D493" s="27" t="s">
        <v>534</v>
      </c>
      <c r="E493" s="143" t="s">
        <v>378</v>
      </c>
      <c r="F493" s="27" t="s">
        <v>37</v>
      </c>
      <c r="G493" s="27"/>
      <c r="H493" s="27">
        <v>9.2999999999999999E-2</v>
      </c>
      <c r="I493" s="27">
        <v>0.05</v>
      </c>
      <c r="J493" s="125">
        <v>39880</v>
      </c>
      <c r="K493" s="27" t="s">
        <v>607</v>
      </c>
    </row>
    <row r="494" spans="1:11" s="7" customFormat="1">
      <c r="A494" s="117">
        <v>492</v>
      </c>
      <c r="B494" s="118" t="s">
        <v>608</v>
      </c>
      <c r="C494" s="27" t="s">
        <v>31</v>
      </c>
      <c r="D494" s="27" t="s">
        <v>534</v>
      </c>
      <c r="E494" s="143" t="s">
        <v>378</v>
      </c>
      <c r="F494" s="27" t="s">
        <v>37</v>
      </c>
      <c r="G494" s="27"/>
      <c r="H494" s="27">
        <v>9.2999999999999999E-2</v>
      </c>
      <c r="I494" s="27">
        <v>0.05</v>
      </c>
      <c r="J494" s="125">
        <v>39880</v>
      </c>
      <c r="K494" s="27" t="s">
        <v>607</v>
      </c>
    </row>
    <row r="495" spans="1:11" s="7" customFormat="1">
      <c r="A495" s="108">
        <v>493</v>
      </c>
      <c r="B495" s="118" t="s">
        <v>609</v>
      </c>
      <c r="C495" s="118" t="s">
        <v>31</v>
      </c>
      <c r="D495" s="118" t="s">
        <v>534</v>
      </c>
      <c r="E495" s="124">
        <v>3</v>
      </c>
      <c r="F495" s="118" t="s">
        <v>34</v>
      </c>
      <c r="G495" s="118"/>
      <c r="H495" s="118"/>
      <c r="I495" s="118"/>
      <c r="J495" s="119">
        <v>39873</v>
      </c>
      <c r="K495" s="27" t="s">
        <v>610</v>
      </c>
    </row>
    <row r="496" spans="1:11" s="7" customFormat="1">
      <c r="A496" s="117">
        <v>494</v>
      </c>
      <c r="B496" s="118" t="s">
        <v>611</v>
      </c>
      <c r="C496" s="118" t="s">
        <v>612</v>
      </c>
      <c r="D496" s="118" t="s">
        <v>534</v>
      </c>
      <c r="E496" s="124">
        <v>14.5</v>
      </c>
      <c r="F496" s="118" t="s">
        <v>34</v>
      </c>
      <c r="G496" s="118"/>
      <c r="H496" s="118"/>
      <c r="I496" s="118"/>
      <c r="J496" s="119">
        <v>39873</v>
      </c>
      <c r="K496" s="151" t="s">
        <v>613</v>
      </c>
    </row>
    <row r="497" spans="1:11" s="7" customFormat="1">
      <c r="A497" s="108">
        <v>495</v>
      </c>
      <c r="B497" s="118" t="s">
        <v>614</v>
      </c>
      <c r="C497" s="118" t="s">
        <v>612</v>
      </c>
      <c r="D497" s="118" t="s">
        <v>534</v>
      </c>
      <c r="E497" s="124">
        <v>14.5</v>
      </c>
      <c r="F497" s="118" t="s">
        <v>34</v>
      </c>
      <c r="G497" s="118"/>
      <c r="H497" s="118"/>
      <c r="I497" s="118"/>
      <c r="J497" s="119">
        <v>39873</v>
      </c>
      <c r="K497" s="151" t="s">
        <v>613</v>
      </c>
    </row>
    <row r="498" spans="1:11" s="7" customFormat="1">
      <c r="A498" s="117">
        <v>496</v>
      </c>
      <c r="B498" s="118" t="s">
        <v>615</v>
      </c>
      <c r="C498" s="118" t="s">
        <v>612</v>
      </c>
      <c r="D498" s="118" t="s">
        <v>534</v>
      </c>
      <c r="E498" s="124">
        <v>11.5</v>
      </c>
      <c r="F498" s="118" t="s">
        <v>34</v>
      </c>
      <c r="G498" s="118"/>
      <c r="H498" s="118"/>
      <c r="I498" s="118"/>
      <c r="J498" s="119">
        <v>39873</v>
      </c>
      <c r="K498" s="151" t="s">
        <v>613</v>
      </c>
    </row>
    <row r="499" spans="1:11" s="7" customFormat="1">
      <c r="A499" s="108">
        <v>497</v>
      </c>
      <c r="B499" s="118" t="s">
        <v>616</v>
      </c>
      <c r="C499" s="118" t="s">
        <v>612</v>
      </c>
      <c r="D499" s="118" t="s">
        <v>534</v>
      </c>
      <c r="E499" s="124">
        <v>16</v>
      </c>
      <c r="F499" s="118" t="s">
        <v>34</v>
      </c>
      <c r="G499" s="118"/>
      <c r="H499" s="118"/>
      <c r="I499" s="118"/>
      <c r="J499" s="119">
        <v>39873</v>
      </c>
      <c r="K499" s="151" t="s">
        <v>613</v>
      </c>
    </row>
    <row r="500" spans="1:11" s="7" customFormat="1">
      <c r="A500" s="117">
        <v>498</v>
      </c>
      <c r="B500" s="118" t="s">
        <v>617</v>
      </c>
      <c r="C500" s="118" t="s">
        <v>612</v>
      </c>
      <c r="D500" s="118" t="s">
        <v>534</v>
      </c>
      <c r="E500" s="124">
        <v>18.5</v>
      </c>
      <c r="F500" s="118" t="s">
        <v>34</v>
      </c>
      <c r="G500" s="118"/>
      <c r="H500" s="118"/>
      <c r="I500" s="118"/>
      <c r="J500" s="119">
        <v>39873</v>
      </c>
      <c r="K500" s="151" t="s">
        <v>613</v>
      </c>
    </row>
    <row r="501" spans="1:11" s="7" customFormat="1" ht="30">
      <c r="A501" s="108">
        <v>499</v>
      </c>
      <c r="B501" s="118" t="s">
        <v>618</v>
      </c>
      <c r="C501" s="118" t="s">
        <v>612</v>
      </c>
      <c r="D501" s="118" t="s">
        <v>534</v>
      </c>
      <c r="E501" s="124">
        <v>17.5</v>
      </c>
      <c r="F501" s="118" t="s">
        <v>34</v>
      </c>
      <c r="G501" s="118"/>
      <c r="H501" s="118"/>
      <c r="I501" s="118"/>
      <c r="J501" s="119">
        <v>39873</v>
      </c>
      <c r="K501" s="151" t="s">
        <v>613</v>
      </c>
    </row>
    <row r="502" spans="1:11" s="7" customFormat="1">
      <c r="A502" s="117">
        <v>500</v>
      </c>
      <c r="B502" s="118" t="s">
        <v>619</v>
      </c>
      <c r="C502" s="27" t="s">
        <v>31</v>
      </c>
      <c r="D502" s="27" t="s">
        <v>534</v>
      </c>
      <c r="E502" s="148" t="s">
        <v>378</v>
      </c>
      <c r="F502" s="27" t="s">
        <v>37</v>
      </c>
      <c r="G502" s="27"/>
      <c r="H502" s="27">
        <v>0.25</v>
      </c>
      <c r="I502" s="128">
        <v>0.4</v>
      </c>
      <c r="J502" s="119">
        <v>39897</v>
      </c>
      <c r="K502" s="128" t="s">
        <v>620</v>
      </c>
    </row>
    <row r="503" spans="1:11" s="7" customFormat="1">
      <c r="A503" s="108">
        <v>501</v>
      </c>
      <c r="B503" s="118" t="s">
        <v>621</v>
      </c>
      <c r="C503" s="27" t="s">
        <v>31</v>
      </c>
      <c r="D503" s="27" t="s">
        <v>534</v>
      </c>
      <c r="E503" s="148" t="s">
        <v>378</v>
      </c>
      <c r="F503" s="27" t="s">
        <v>37</v>
      </c>
      <c r="G503" s="27"/>
      <c r="H503" s="27">
        <v>0.25</v>
      </c>
      <c r="I503" s="128">
        <v>0.4</v>
      </c>
      <c r="J503" s="119">
        <v>39897</v>
      </c>
      <c r="K503" s="128" t="s">
        <v>620</v>
      </c>
    </row>
    <row r="504" spans="1:11" s="7" customFormat="1">
      <c r="A504" s="117">
        <v>502</v>
      </c>
      <c r="B504" s="118" t="s">
        <v>622</v>
      </c>
      <c r="C504" s="27" t="s">
        <v>31</v>
      </c>
      <c r="D504" s="27" t="s">
        <v>534</v>
      </c>
      <c r="E504" s="143" t="s">
        <v>378</v>
      </c>
      <c r="F504" s="27" t="s">
        <v>37</v>
      </c>
      <c r="G504" s="27"/>
      <c r="H504" s="27">
        <v>0.2</v>
      </c>
      <c r="I504" s="27">
        <v>0.95</v>
      </c>
      <c r="J504" s="125">
        <v>39880</v>
      </c>
      <c r="K504" s="27" t="s">
        <v>623</v>
      </c>
    </row>
    <row r="505" spans="1:11" s="7" customFormat="1">
      <c r="A505" s="108">
        <v>503</v>
      </c>
      <c r="B505" s="118" t="s">
        <v>624</v>
      </c>
      <c r="C505" s="27" t="s">
        <v>31</v>
      </c>
      <c r="D505" s="27" t="s">
        <v>534</v>
      </c>
      <c r="E505" s="143" t="s">
        <v>378</v>
      </c>
      <c r="F505" s="27" t="s">
        <v>37</v>
      </c>
      <c r="G505" s="27"/>
      <c r="H505" s="27">
        <v>0.2</v>
      </c>
      <c r="I505" s="27">
        <v>0.95</v>
      </c>
      <c r="J505" s="125">
        <v>39880</v>
      </c>
      <c r="K505" s="27" t="s">
        <v>623</v>
      </c>
    </row>
    <row r="506" spans="1:11" s="7" customFormat="1">
      <c r="A506" s="117">
        <v>504</v>
      </c>
      <c r="B506" s="118" t="s">
        <v>625</v>
      </c>
      <c r="C506" s="118"/>
      <c r="D506" s="118" t="s">
        <v>534</v>
      </c>
      <c r="E506" s="120" t="s">
        <v>626</v>
      </c>
      <c r="F506" s="118" t="s">
        <v>37</v>
      </c>
      <c r="G506" s="118"/>
      <c r="H506" s="148">
        <v>1.3</v>
      </c>
      <c r="I506" s="148">
        <v>4.3999999999999997E-2</v>
      </c>
      <c r="J506" s="119">
        <v>39890</v>
      </c>
      <c r="K506" s="150" t="s">
        <v>627</v>
      </c>
    </row>
    <row r="507" spans="1:11" s="7" customFormat="1">
      <c r="A507" s="108">
        <v>505</v>
      </c>
      <c r="B507" s="118" t="s">
        <v>628</v>
      </c>
      <c r="C507" s="118" t="s">
        <v>31</v>
      </c>
      <c r="D507" s="118" t="s">
        <v>534</v>
      </c>
      <c r="E507" s="143" t="s">
        <v>378</v>
      </c>
      <c r="F507" s="118" t="s">
        <v>37</v>
      </c>
      <c r="G507" s="118"/>
      <c r="H507" s="118">
        <v>0.5</v>
      </c>
      <c r="I507" s="118">
        <v>16</v>
      </c>
      <c r="J507" s="119">
        <v>39886</v>
      </c>
      <c r="K507" s="150" t="s">
        <v>623</v>
      </c>
    </row>
    <row r="508" spans="1:11" s="7" customFormat="1">
      <c r="A508" s="117">
        <v>506</v>
      </c>
      <c r="B508" s="118" t="s">
        <v>629</v>
      </c>
      <c r="C508" s="118" t="s">
        <v>31</v>
      </c>
      <c r="D508" s="118" t="s">
        <v>534</v>
      </c>
      <c r="E508" s="143" t="s">
        <v>378</v>
      </c>
      <c r="F508" s="118" t="s">
        <v>37</v>
      </c>
      <c r="G508" s="118"/>
      <c r="H508" s="118">
        <v>1.6</v>
      </c>
      <c r="I508" s="118">
        <v>8</v>
      </c>
      <c r="J508" s="119">
        <v>39886</v>
      </c>
      <c r="K508" s="150" t="s">
        <v>623</v>
      </c>
    </row>
    <row r="509" spans="1:11" s="7" customFormat="1">
      <c r="A509" s="108">
        <v>507</v>
      </c>
      <c r="B509" s="118" t="s">
        <v>630</v>
      </c>
      <c r="C509" s="118" t="s">
        <v>31</v>
      </c>
      <c r="D509" s="118" t="s">
        <v>534</v>
      </c>
      <c r="E509" s="143" t="s">
        <v>378</v>
      </c>
      <c r="F509" s="118" t="s">
        <v>37</v>
      </c>
      <c r="G509" s="118"/>
      <c r="H509" s="118">
        <v>0.32</v>
      </c>
      <c r="I509" s="118">
        <v>4.5</v>
      </c>
      <c r="J509" s="119">
        <v>39886</v>
      </c>
      <c r="K509" s="150" t="s">
        <v>623</v>
      </c>
    </row>
    <row r="510" spans="1:11" s="7" customFormat="1">
      <c r="A510" s="117">
        <v>508</v>
      </c>
      <c r="B510" s="118" t="s">
        <v>631</v>
      </c>
      <c r="C510" s="118"/>
      <c r="D510" s="118" t="s">
        <v>534</v>
      </c>
      <c r="E510" s="124" t="s">
        <v>378</v>
      </c>
      <c r="F510" s="118" t="s">
        <v>37</v>
      </c>
      <c r="G510" s="27"/>
      <c r="H510" s="27">
        <v>0.9</v>
      </c>
      <c r="I510" s="27">
        <v>7.3</v>
      </c>
      <c r="J510" s="125">
        <v>39883</v>
      </c>
      <c r="K510" s="27" t="s">
        <v>632</v>
      </c>
    </row>
    <row r="511" spans="1:11" s="7" customFormat="1">
      <c r="A511" s="108">
        <v>509</v>
      </c>
      <c r="B511" s="118" t="s">
        <v>633</v>
      </c>
      <c r="C511" s="118"/>
      <c r="D511" s="118" t="s">
        <v>534</v>
      </c>
      <c r="E511" s="124" t="s">
        <v>378</v>
      </c>
      <c r="F511" s="118" t="s">
        <v>37</v>
      </c>
      <c r="G511" s="27"/>
      <c r="H511" s="27">
        <v>0.6</v>
      </c>
      <c r="I511" s="27">
        <v>9.5</v>
      </c>
      <c r="J511" s="125">
        <v>39883</v>
      </c>
      <c r="K511" s="27" t="s">
        <v>632</v>
      </c>
    </row>
    <row r="512" spans="1:11" s="7" customFormat="1">
      <c r="A512" s="117">
        <v>510</v>
      </c>
      <c r="B512" s="118" t="s">
        <v>634</v>
      </c>
      <c r="C512" s="118"/>
      <c r="D512" s="118" t="s">
        <v>534</v>
      </c>
      <c r="E512" s="124" t="s">
        <v>378</v>
      </c>
      <c r="F512" s="118" t="s">
        <v>37</v>
      </c>
      <c r="G512" s="27"/>
      <c r="H512" s="27">
        <v>0</v>
      </c>
      <c r="I512" s="27">
        <v>11</v>
      </c>
      <c r="J512" s="125">
        <v>39883</v>
      </c>
      <c r="K512" s="27" t="s">
        <v>632</v>
      </c>
    </row>
    <row r="513" spans="1:11" s="7" customFormat="1">
      <c r="A513" s="108">
        <v>511</v>
      </c>
      <c r="B513" s="118" t="s">
        <v>635</v>
      </c>
      <c r="C513" s="118"/>
      <c r="D513" s="118" t="s">
        <v>534</v>
      </c>
      <c r="E513" s="124" t="s">
        <v>378</v>
      </c>
      <c r="F513" s="118" t="s">
        <v>37</v>
      </c>
      <c r="G513" s="27"/>
      <c r="H513" s="27">
        <v>1.04</v>
      </c>
      <c r="I513" s="27">
        <v>-0.41</v>
      </c>
      <c r="J513" s="125">
        <v>39883</v>
      </c>
      <c r="K513" s="27" t="s">
        <v>632</v>
      </c>
    </row>
    <row r="514" spans="1:11" s="7" customFormat="1">
      <c r="A514" s="117">
        <v>512</v>
      </c>
      <c r="B514" s="118" t="s">
        <v>636</v>
      </c>
      <c r="C514" s="118"/>
      <c r="D514" s="118" t="s">
        <v>534</v>
      </c>
      <c r="E514" s="124" t="s">
        <v>378</v>
      </c>
      <c r="F514" s="118" t="s">
        <v>37</v>
      </c>
      <c r="G514" s="27"/>
      <c r="H514" s="27">
        <v>0.43</v>
      </c>
      <c r="I514" s="27">
        <v>6.8</v>
      </c>
      <c r="J514" s="125">
        <v>39883</v>
      </c>
      <c r="K514" s="27" t="s">
        <v>632</v>
      </c>
    </row>
    <row r="515" spans="1:11" s="7" customFormat="1">
      <c r="A515" s="108">
        <v>513</v>
      </c>
      <c r="B515" s="118" t="s">
        <v>637</v>
      </c>
      <c r="C515" s="118"/>
      <c r="D515" s="118" t="s">
        <v>534</v>
      </c>
      <c r="E515" s="124" t="s">
        <v>378</v>
      </c>
      <c r="F515" s="118" t="s">
        <v>37</v>
      </c>
      <c r="G515" s="27"/>
      <c r="H515" s="27">
        <v>0</v>
      </c>
      <c r="I515" s="27">
        <v>12</v>
      </c>
      <c r="J515" s="125">
        <v>39883</v>
      </c>
      <c r="K515" s="27" t="s">
        <v>632</v>
      </c>
    </row>
    <row r="516" spans="1:11" s="7" customFormat="1">
      <c r="A516" s="117">
        <v>514</v>
      </c>
      <c r="B516" s="118" t="s">
        <v>638</v>
      </c>
      <c r="C516" s="118"/>
      <c r="D516" s="118" t="s">
        <v>534</v>
      </c>
      <c r="E516" s="124" t="s">
        <v>378</v>
      </c>
      <c r="F516" s="118" t="s">
        <v>37</v>
      </c>
      <c r="G516" s="27"/>
      <c r="H516" s="27">
        <v>0</v>
      </c>
      <c r="I516" s="27">
        <v>15</v>
      </c>
      <c r="J516" s="125">
        <v>39883</v>
      </c>
      <c r="K516" s="27" t="s">
        <v>632</v>
      </c>
    </row>
    <row r="517" spans="1:11" s="7" customFormat="1">
      <c r="A517" s="108">
        <v>515</v>
      </c>
      <c r="B517" s="118" t="s">
        <v>639</v>
      </c>
      <c r="C517" s="118"/>
      <c r="D517" s="118" t="s">
        <v>534</v>
      </c>
      <c r="E517" s="124" t="s">
        <v>378</v>
      </c>
      <c r="F517" s="118" t="s">
        <v>37</v>
      </c>
      <c r="G517" s="27"/>
      <c r="H517" s="27">
        <v>0.67</v>
      </c>
      <c r="I517" s="27">
        <v>-2.1</v>
      </c>
      <c r="J517" s="125">
        <v>39883</v>
      </c>
      <c r="K517" s="27" t="s">
        <v>632</v>
      </c>
    </row>
    <row r="518" spans="1:11" s="7" customFormat="1">
      <c r="A518" s="117">
        <v>516</v>
      </c>
      <c r="B518" s="118" t="s">
        <v>640</v>
      </c>
      <c r="C518" s="118"/>
      <c r="D518" s="118" t="s">
        <v>534</v>
      </c>
      <c r="E518" s="124" t="s">
        <v>378</v>
      </c>
      <c r="F518" s="118" t="s">
        <v>37</v>
      </c>
      <c r="G518" s="27"/>
      <c r="H518" s="27">
        <v>0</v>
      </c>
      <c r="I518" s="27">
        <v>8</v>
      </c>
      <c r="J518" s="125">
        <v>39883</v>
      </c>
      <c r="K518" s="27" t="s">
        <v>632</v>
      </c>
    </row>
    <row r="519" spans="1:11" s="7" customFormat="1">
      <c r="A519" s="108">
        <v>517</v>
      </c>
      <c r="B519" s="118" t="s">
        <v>641</v>
      </c>
      <c r="C519" s="118"/>
      <c r="D519" s="118" t="s">
        <v>534</v>
      </c>
      <c r="E519" s="124" t="s">
        <v>378</v>
      </c>
      <c r="F519" s="118" t="s">
        <v>37</v>
      </c>
      <c r="G519" s="27"/>
      <c r="H519" s="27">
        <v>0.87</v>
      </c>
      <c r="I519" s="27">
        <v>-3.64</v>
      </c>
      <c r="J519" s="125">
        <v>39883</v>
      </c>
      <c r="K519" s="27" t="s">
        <v>632</v>
      </c>
    </row>
    <row r="520" spans="1:11" s="7" customFormat="1">
      <c r="A520" s="117">
        <v>518</v>
      </c>
      <c r="B520" s="118" t="s">
        <v>642</v>
      </c>
      <c r="C520" s="118"/>
      <c r="D520" s="118" t="s">
        <v>534</v>
      </c>
      <c r="E520" s="124" t="s">
        <v>378</v>
      </c>
      <c r="F520" s="118" t="s">
        <v>37</v>
      </c>
      <c r="G520" s="27"/>
      <c r="H520" s="27">
        <v>0.53</v>
      </c>
      <c r="I520" s="27">
        <v>3.43</v>
      </c>
      <c r="J520" s="125">
        <v>39883</v>
      </c>
      <c r="K520" s="27" t="s">
        <v>632</v>
      </c>
    </row>
    <row r="521" spans="1:11" s="7" customFormat="1">
      <c r="A521" s="108">
        <v>519</v>
      </c>
      <c r="B521" s="118" t="s">
        <v>643</v>
      </c>
      <c r="C521" s="118"/>
      <c r="D521" s="118" t="s">
        <v>534</v>
      </c>
      <c r="E521" s="124" t="s">
        <v>378</v>
      </c>
      <c r="F521" s="118" t="s">
        <v>37</v>
      </c>
      <c r="G521" s="27"/>
      <c r="H521" s="27">
        <v>0.66</v>
      </c>
      <c r="I521" s="27">
        <v>-2.14</v>
      </c>
      <c r="J521" s="125">
        <v>39883</v>
      </c>
      <c r="K521" s="27" t="s">
        <v>539</v>
      </c>
    </row>
    <row r="522" spans="1:11" s="7" customFormat="1">
      <c r="A522" s="117">
        <v>520</v>
      </c>
      <c r="B522" s="118" t="s">
        <v>644</v>
      </c>
      <c r="C522" s="118"/>
      <c r="D522" s="118" t="s">
        <v>534</v>
      </c>
      <c r="E522" s="124" t="s">
        <v>378</v>
      </c>
      <c r="F522" s="118" t="s">
        <v>37</v>
      </c>
      <c r="G522" s="27"/>
      <c r="H522" s="27">
        <v>0.32</v>
      </c>
      <c r="I522" s="27">
        <v>0</v>
      </c>
      <c r="J522" s="125">
        <v>39883</v>
      </c>
      <c r="K522" s="27" t="s">
        <v>539</v>
      </c>
    </row>
    <row r="523" spans="1:11" s="7" customFormat="1">
      <c r="A523" s="108">
        <v>521</v>
      </c>
      <c r="B523" s="118" t="s">
        <v>645</v>
      </c>
      <c r="C523" s="118"/>
      <c r="D523" s="118" t="s">
        <v>534</v>
      </c>
      <c r="E523" s="124" t="s">
        <v>378</v>
      </c>
      <c r="F523" s="118" t="s">
        <v>37</v>
      </c>
      <c r="G523" s="27"/>
      <c r="H523" s="27">
        <v>0.35</v>
      </c>
      <c r="I523" s="27">
        <v>34.4</v>
      </c>
      <c r="J523" s="125">
        <v>39883</v>
      </c>
      <c r="K523" s="27" t="s">
        <v>539</v>
      </c>
    </row>
    <row r="524" spans="1:11" s="7" customFormat="1">
      <c r="A524" s="117">
        <v>522</v>
      </c>
      <c r="B524" s="118" t="s">
        <v>646</v>
      </c>
      <c r="C524" s="118"/>
      <c r="D524" s="118" t="s">
        <v>534</v>
      </c>
      <c r="E524" s="124" t="s">
        <v>378</v>
      </c>
      <c r="F524" s="118" t="s">
        <v>37</v>
      </c>
      <c r="G524" s="27"/>
      <c r="H524" s="27">
        <v>2.23</v>
      </c>
      <c r="I524" s="27">
        <v>13.11</v>
      </c>
      <c r="J524" s="125">
        <v>39883</v>
      </c>
      <c r="K524" s="27" t="s">
        <v>539</v>
      </c>
    </row>
    <row r="525" spans="1:11" s="7" customFormat="1">
      <c r="A525" s="108">
        <v>523</v>
      </c>
      <c r="B525" s="118" t="s">
        <v>647</v>
      </c>
      <c r="C525" s="118"/>
      <c r="D525" s="118" t="s">
        <v>534</v>
      </c>
      <c r="E525" s="124" t="s">
        <v>378</v>
      </c>
      <c r="F525" s="118" t="s">
        <v>37</v>
      </c>
      <c r="G525" s="27"/>
      <c r="H525" s="27">
        <v>1.34</v>
      </c>
      <c r="I525" s="27">
        <v>25.34</v>
      </c>
      <c r="J525" s="125">
        <v>39883</v>
      </c>
      <c r="K525" s="27" t="s">
        <v>539</v>
      </c>
    </row>
    <row r="526" spans="1:11" s="7" customFormat="1">
      <c r="A526" s="117">
        <v>524</v>
      </c>
      <c r="B526" s="118" t="s">
        <v>648</v>
      </c>
      <c r="C526" s="118"/>
      <c r="D526" s="118" t="s">
        <v>534</v>
      </c>
      <c r="E526" s="124" t="s">
        <v>378</v>
      </c>
      <c r="F526" s="118" t="s">
        <v>37</v>
      </c>
      <c r="G526" s="27"/>
      <c r="H526" s="27">
        <v>2.52</v>
      </c>
      <c r="I526" s="27">
        <v>10.199999999999999</v>
      </c>
      <c r="J526" s="125">
        <v>39883</v>
      </c>
      <c r="K526" s="27" t="s">
        <v>539</v>
      </c>
    </row>
    <row r="527" spans="1:11" s="7" customFormat="1">
      <c r="A527" s="108">
        <v>525</v>
      </c>
      <c r="B527" s="118" t="s">
        <v>649</v>
      </c>
      <c r="C527" s="118"/>
      <c r="D527" s="118" t="s">
        <v>534</v>
      </c>
      <c r="E527" s="124" t="s">
        <v>378</v>
      </c>
      <c r="F527" s="118" t="s">
        <v>37</v>
      </c>
      <c r="G527" s="27"/>
      <c r="H527" s="27">
        <v>1.77</v>
      </c>
      <c r="I527" s="27">
        <v>19.75</v>
      </c>
      <c r="J527" s="125">
        <v>39883</v>
      </c>
      <c r="K527" s="27" t="s">
        <v>539</v>
      </c>
    </row>
    <row r="528" spans="1:11" s="7" customFormat="1">
      <c r="A528" s="117">
        <v>526</v>
      </c>
      <c r="B528" s="118" t="s">
        <v>650</v>
      </c>
      <c r="C528" s="118"/>
      <c r="D528" s="118" t="s">
        <v>534</v>
      </c>
      <c r="E528" s="124" t="s">
        <v>378</v>
      </c>
      <c r="F528" s="118" t="s">
        <v>37</v>
      </c>
      <c r="G528" s="27"/>
      <c r="H528" s="27">
        <v>4.42</v>
      </c>
      <c r="I528" s="27">
        <v>-19.21</v>
      </c>
      <c r="J528" s="125">
        <v>39883</v>
      </c>
      <c r="K528" s="27" t="s">
        <v>539</v>
      </c>
    </row>
    <row r="529" spans="1:11" s="7" customFormat="1">
      <c r="A529" s="108">
        <v>527</v>
      </c>
      <c r="B529" s="118" t="s">
        <v>651</v>
      </c>
      <c r="C529" s="118"/>
      <c r="D529" s="118" t="s">
        <v>534</v>
      </c>
      <c r="E529" s="124" t="s">
        <v>378</v>
      </c>
      <c r="F529" s="118" t="s">
        <v>37</v>
      </c>
      <c r="G529" s="27"/>
      <c r="H529" s="27">
        <v>2.1</v>
      </c>
      <c r="I529" s="27">
        <v>4.59</v>
      </c>
      <c r="J529" s="125">
        <v>39883</v>
      </c>
      <c r="K529" s="27" t="s">
        <v>539</v>
      </c>
    </row>
    <row r="530" spans="1:11" s="7" customFormat="1">
      <c r="A530" s="117">
        <v>528</v>
      </c>
      <c r="B530" s="118" t="s">
        <v>652</v>
      </c>
      <c r="C530" s="118"/>
      <c r="D530" s="118" t="s">
        <v>534</v>
      </c>
      <c r="E530" s="124" t="s">
        <v>378</v>
      </c>
      <c r="F530" s="118" t="s">
        <v>37</v>
      </c>
      <c r="G530" s="27"/>
      <c r="H530" s="27">
        <v>1.59</v>
      </c>
      <c r="I530" s="27">
        <v>19</v>
      </c>
      <c r="J530" s="125">
        <v>39883</v>
      </c>
      <c r="K530" s="27" t="s">
        <v>539</v>
      </c>
    </row>
    <row r="531" spans="1:11" s="7" customFormat="1">
      <c r="A531" s="108">
        <v>529</v>
      </c>
      <c r="B531" s="118" t="s">
        <v>653</v>
      </c>
      <c r="C531" s="118"/>
      <c r="D531" s="118" t="s">
        <v>534</v>
      </c>
      <c r="E531" s="124" t="s">
        <v>378</v>
      </c>
      <c r="F531" s="118" t="s">
        <v>37</v>
      </c>
      <c r="G531" s="27"/>
      <c r="H531" s="27">
        <v>2.11</v>
      </c>
      <c r="I531" s="27">
        <v>-2.68</v>
      </c>
      <c r="J531" s="125">
        <v>39883</v>
      </c>
      <c r="K531" s="27" t="s">
        <v>539</v>
      </c>
    </row>
    <row r="532" spans="1:11" s="7" customFormat="1">
      <c r="A532" s="117">
        <v>530</v>
      </c>
      <c r="B532" s="118" t="s">
        <v>654</v>
      </c>
      <c r="C532" s="118"/>
      <c r="D532" s="118" t="s">
        <v>534</v>
      </c>
      <c r="E532" s="124" t="s">
        <v>378</v>
      </c>
      <c r="F532" s="118" t="s">
        <v>37</v>
      </c>
      <c r="G532" s="27"/>
      <c r="H532" s="27">
        <v>2.2400000000000002</v>
      </c>
      <c r="I532" s="27">
        <v>3.86</v>
      </c>
      <c r="J532" s="125">
        <v>39883</v>
      </c>
      <c r="K532" s="27" t="s">
        <v>539</v>
      </c>
    </row>
    <row r="533" spans="1:11" s="7" customFormat="1">
      <c r="A533" s="108">
        <v>531</v>
      </c>
      <c r="B533" s="118" t="s">
        <v>655</v>
      </c>
      <c r="C533" s="118"/>
      <c r="D533" s="118" t="s">
        <v>534</v>
      </c>
      <c r="E533" s="124" t="s">
        <v>378</v>
      </c>
      <c r="F533" s="118" t="s">
        <v>37</v>
      </c>
      <c r="G533" s="27"/>
      <c r="H533" s="27">
        <v>1.6</v>
      </c>
      <c r="I533" s="27">
        <v>13.4</v>
      </c>
      <c r="J533" s="125">
        <v>39883</v>
      </c>
      <c r="K533" s="27" t="s">
        <v>539</v>
      </c>
    </row>
    <row r="534" spans="1:11" s="7" customFormat="1">
      <c r="A534" s="117">
        <v>532</v>
      </c>
      <c r="B534" s="118" t="s">
        <v>656</v>
      </c>
      <c r="C534" s="118"/>
      <c r="D534" s="118" t="s">
        <v>534</v>
      </c>
      <c r="E534" s="124" t="s">
        <v>378</v>
      </c>
      <c r="F534" s="118" t="s">
        <v>37</v>
      </c>
      <c r="G534" s="27"/>
      <c r="H534" s="27">
        <v>4.72</v>
      </c>
      <c r="I534" s="27">
        <v>-8.0399999999999991</v>
      </c>
      <c r="J534" s="125">
        <v>39883</v>
      </c>
      <c r="K534" s="27" t="s">
        <v>539</v>
      </c>
    </row>
    <row r="535" spans="1:11" s="7" customFormat="1">
      <c r="A535" s="108">
        <v>533</v>
      </c>
      <c r="B535" s="118" t="s">
        <v>657</v>
      </c>
      <c r="C535" s="118"/>
      <c r="D535" s="118" t="s">
        <v>534</v>
      </c>
      <c r="E535" s="124" t="s">
        <v>378</v>
      </c>
      <c r="F535" s="118" t="s">
        <v>37</v>
      </c>
      <c r="G535" s="27"/>
      <c r="H535" s="27">
        <v>2.1</v>
      </c>
      <c r="I535" s="27">
        <v>4.59</v>
      </c>
      <c r="J535" s="125">
        <v>39883</v>
      </c>
      <c r="K535" s="27" t="s">
        <v>539</v>
      </c>
    </row>
    <row r="536" spans="1:11" s="7" customFormat="1">
      <c r="A536" s="117">
        <v>534</v>
      </c>
      <c r="B536" s="118" t="s">
        <v>658</v>
      </c>
      <c r="C536" s="118"/>
      <c r="D536" s="118" t="s">
        <v>534</v>
      </c>
      <c r="E536" s="124" t="s">
        <v>378</v>
      </c>
      <c r="F536" s="118" t="s">
        <v>37</v>
      </c>
      <c r="G536" s="27"/>
      <c r="H536" s="27">
        <v>1.06</v>
      </c>
      <c r="I536" s="27">
        <v>29.53</v>
      </c>
      <c r="J536" s="125">
        <v>39883</v>
      </c>
      <c r="K536" s="27" t="s">
        <v>539</v>
      </c>
    </row>
    <row r="537" spans="1:11" s="7" customFormat="1">
      <c r="A537" s="108">
        <v>535</v>
      </c>
      <c r="B537" s="118" t="s">
        <v>659</v>
      </c>
      <c r="C537" s="118"/>
      <c r="D537" s="118" t="s">
        <v>534</v>
      </c>
      <c r="E537" s="124" t="s">
        <v>378</v>
      </c>
      <c r="F537" s="118" t="s">
        <v>37</v>
      </c>
      <c r="G537" s="27"/>
      <c r="H537" s="27">
        <v>1.46</v>
      </c>
      <c r="I537" s="27">
        <v>5.85</v>
      </c>
      <c r="J537" s="125">
        <v>39883</v>
      </c>
      <c r="K537" s="27" t="s">
        <v>539</v>
      </c>
    </row>
    <row r="538" spans="1:11" s="7" customFormat="1">
      <c r="A538" s="117">
        <v>536</v>
      </c>
      <c r="B538" s="118" t="s">
        <v>660</v>
      </c>
      <c r="C538" s="118"/>
      <c r="D538" s="118" t="s">
        <v>534</v>
      </c>
      <c r="E538" s="124" t="s">
        <v>378</v>
      </c>
      <c r="F538" s="118" t="s">
        <v>37</v>
      </c>
      <c r="G538" s="27"/>
      <c r="H538" s="27">
        <v>2.37</v>
      </c>
      <c r="I538" s="27">
        <v>1.22</v>
      </c>
      <c r="J538" s="125">
        <v>39883</v>
      </c>
      <c r="K538" s="27" t="s">
        <v>539</v>
      </c>
    </row>
    <row r="539" spans="1:11" s="7" customFormat="1">
      <c r="A539" s="108">
        <v>537</v>
      </c>
      <c r="B539" s="118" t="s">
        <v>661</v>
      </c>
      <c r="C539" s="118"/>
      <c r="D539" s="118" t="s">
        <v>534</v>
      </c>
      <c r="E539" s="124" t="s">
        <v>378</v>
      </c>
      <c r="F539" s="118" t="s">
        <v>37</v>
      </c>
      <c r="G539" s="27"/>
      <c r="H539" s="27">
        <v>1.6</v>
      </c>
      <c r="I539" s="27">
        <v>13.6</v>
      </c>
      <c r="J539" s="125">
        <v>39883</v>
      </c>
      <c r="K539" s="27" t="s">
        <v>539</v>
      </c>
    </row>
    <row r="540" spans="1:11" s="7" customFormat="1">
      <c r="A540" s="117">
        <v>538</v>
      </c>
      <c r="B540" s="118" t="s">
        <v>662</v>
      </c>
      <c r="C540" s="118"/>
      <c r="D540" s="118" t="s">
        <v>534</v>
      </c>
      <c r="E540" s="124" t="s">
        <v>378</v>
      </c>
      <c r="F540" s="118" t="s">
        <v>37</v>
      </c>
      <c r="G540" s="27"/>
      <c r="H540" s="27">
        <v>4.78</v>
      </c>
      <c r="I540" s="27">
        <v>-12.53</v>
      </c>
      <c r="J540" s="125">
        <v>39883</v>
      </c>
      <c r="K540" s="27" t="s">
        <v>539</v>
      </c>
    </row>
    <row r="541" spans="1:11" s="7" customFormat="1">
      <c r="A541" s="108">
        <v>539</v>
      </c>
      <c r="B541" s="118" t="s">
        <v>663</v>
      </c>
      <c r="C541" s="118"/>
      <c r="D541" s="118" t="s">
        <v>534</v>
      </c>
      <c r="E541" s="124" t="s">
        <v>42</v>
      </c>
      <c r="F541" s="118" t="s">
        <v>37</v>
      </c>
      <c r="G541" s="27" t="s">
        <v>37</v>
      </c>
      <c r="H541" s="27">
        <v>3.2000000000000001E-2</v>
      </c>
      <c r="I541" s="27">
        <v>1.33</v>
      </c>
      <c r="J541" s="125">
        <v>39883</v>
      </c>
      <c r="K541" s="27" t="s">
        <v>547</v>
      </c>
    </row>
    <row r="542" spans="1:11" s="7" customFormat="1">
      <c r="A542" s="117">
        <v>540</v>
      </c>
      <c r="B542" s="118" t="s">
        <v>664</v>
      </c>
      <c r="C542" s="118"/>
      <c r="D542" s="118" t="s">
        <v>534</v>
      </c>
      <c r="E542" s="124" t="s">
        <v>378</v>
      </c>
      <c r="F542" s="118" t="s">
        <v>37</v>
      </c>
      <c r="G542" s="27"/>
      <c r="H542" s="27">
        <v>2.73</v>
      </c>
      <c r="I542" s="27">
        <v>6.7</v>
      </c>
      <c r="J542" s="125">
        <v>39883</v>
      </c>
      <c r="K542" s="27" t="s">
        <v>539</v>
      </c>
    </row>
    <row r="543" spans="1:11" s="7" customFormat="1">
      <c r="A543" s="108">
        <v>541</v>
      </c>
      <c r="B543" s="118" t="s">
        <v>665</v>
      </c>
      <c r="C543" s="118"/>
      <c r="D543" s="118" t="s">
        <v>534</v>
      </c>
      <c r="E543" s="124" t="s">
        <v>378</v>
      </c>
      <c r="F543" s="118" t="s">
        <v>37</v>
      </c>
      <c r="G543" s="27"/>
      <c r="H543" s="27">
        <v>2.2000000000000002</v>
      </c>
      <c r="I543" s="27">
        <v>24</v>
      </c>
      <c r="J543" s="125">
        <v>39883</v>
      </c>
      <c r="K543" s="27" t="s">
        <v>539</v>
      </c>
    </row>
    <row r="544" spans="1:11" s="7" customFormat="1">
      <c r="A544" s="117">
        <v>542</v>
      </c>
      <c r="B544" s="118" t="s">
        <v>666</v>
      </c>
      <c r="C544" s="118"/>
      <c r="D544" s="118" t="s">
        <v>534</v>
      </c>
      <c r="E544" s="124" t="s">
        <v>378</v>
      </c>
      <c r="F544" s="118" t="s">
        <v>37</v>
      </c>
      <c r="G544" s="27"/>
      <c r="H544" s="27">
        <v>0</v>
      </c>
      <c r="I544" s="27">
        <v>65</v>
      </c>
      <c r="J544" s="125">
        <v>39883</v>
      </c>
      <c r="K544" s="27" t="s">
        <v>539</v>
      </c>
    </row>
    <row r="545" spans="1:18" s="7" customFormat="1">
      <c r="A545" s="108">
        <v>543</v>
      </c>
      <c r="B545" s="118" t="s">
        <v>667</v>
      </c>
      <c r="C545" s="118"/>
      <c r="D545" s="118" t="s">
        <v>534</v>
      </c>
      <c r="E545" s="124" t="s">
        <v>378</v>
      </c>
      <c r="F545" s="118" t="s">
        <v>37</v>
      </c>
      <c r="G545" s="27"/>
      <c r="H545" s="27">
        <v>1.32</v>
      </c>
      <c r="I545" s="27">
        <v>-6.08</v>
      </c>
      <c r="J545" s="125">
        <v>39883</v>
      </c>
      <c r="K545" s="27" t="s">
        <v>539</v>
      </c>
    </row>
    <row r="546" spans="1:18" s="7" customFormat="1">
      <c r="A546" s="117">
        <v>544</v>
      </c>
      <c r="B546" s="118" t="s">
        <v>668</v>
      </c>
      <c r="C546" s="118"/>
      <c r="D546" s="118" t="s">
        <v>534</v>
      </c>
      <c r="E546" s="124" t="s">
        <v>378</v>
      </c>
      <c r="F546" s="118" t="s">
        <v>37</v>
      </c>
      <c r="G546" s="27"/>
      <c r="H546" s="27">
        <v>1.64</v>
      </c>
      <c r="I546" s="27">
        <v>-3.15</v>
      </c>
      <c r="J546" s="125">
        <v>39883</v>
      </c>
      <c r="K546" s="27" t="s">
        <v>539</v>
      </c>
    </row>
    <row r="547" spans="1:18" s="7" customFormat="1">
      <c r="A547" s="108">
        <v>545</v>
      </c>
      <c r="B547" s="118" t="s">
        <v>669</v>
      </c>
      <c r="C547" s="118"/>
      <c r="D547" s="118" t="s">
        <v>534</v>
      </c>
      <c r="E547" s="124" t="s">
        <v>378</v>
      </c>
      <c r="F547" s="118" t="s">
        <v>37</v>
      </c>
      <c r="G547" s="27"/>
      <c r="H547" s="27">
        <v>1.8</v>
      </c>
      <c r="I547" s="27">
        <v>-6.45</v>
      </c>
      <c r="J547" s="125">
        <v>39883</v>
      </c>
      <c r="K547" s="27" t="s">
        <v>539</v>
      </c>
    </row>
    <row r="548" spans="1:18" s="7" customFormat="1">
      <c r="A548" s="117">
        <v>546</v>
      </c>
      <c r="B548" s="118" t="s">
        <v>670</v>
      </c>
      <c r="C548" s="118"/>
      <c r="D548" s="118" t="s">
        <v>534</v>
      </c>
      <c r="E548" s="124" t="s">
        <v>378</v>
      </c>
      <c r="F548" s="118" t="s">
        <v>37</v>
      </c>
      <c r="G548" s="27"/>
      <c r="H548" s="27">
        <v>6.52</v>
      </c>
      <c r="I548" s="27">
        <v>-27.18</v>
      </c>
      <c r="J548" s="125">
        <v>39883</v>
      </c>
      <c r="K548" s="27" t="s">
        <v>539</v>
      </c>
    </row>
    <row r="549" spans="1:18" s="7" customFormat="1">
      <c r="A549" s="108">
        <v>547</v>
      </c>
      <c r="B549" s="118" t="s">
        <v>671</v>
      </c>
      <c r="C549" s="118"/>
      <c r="D549" s="118" t="s">
        <v>534</v>
      </c>
      <c r="E549" s="124" t="s">
        <v>378</v>
      </c>
      <c r="F549" s="118" t="s">
        <v>37</v>
      </c>
      <c r="G549" s="27"/>
      <c r="H549" s="27">
        <v>0.2</v>
      </c>
      <c r="I549" s="27">
        <v>8.9</v>
      </c>
      <c r="J549" s="125">
        <v>39929</v>
      </c>
      <c r="K549" s="27" t="s">
        <v>539</v>
      </c>
    </row>
    <row r="550" spans="1:18" s="7" customFormat="1">
      <c r="A550" s="117">
        <v>548</v>
      </c>
      <c r="B550" s="118" t="s">
        <v>672</v>
      </c>
      <c r="C550" s="118"/>
      <c r="D550" s="118" t="s">
        <v>534</v>
      </c>
      <c r="E550" s="124" t="s">
        <v>378</v>
      </c>
      <c r="F550" s="118" t="s">
        <v>37</v>
      </c>
      <c r="G550" s="27"/>
      <c r="H550" s="27">
        <v>0.36799999999999999</v>
      </c>
      <c r="I550" s="27">
        <v>-1.34</v>
      </c>
      <c r="J550" s="125">
        <v>39883</v>
      </c>
      <c r="K550" s="27" t="s">
        <v>539</v>
      </c>
      <c r="L550" s="21"/>
      <c r="M550" s="22"/>
      <c r="N550" s="22"/>
      <c r="R550" s="14"/>
    </row>
    <row r="551" spans="1:18" s="7" customFormat="1">
      <c r="A551" s="108">
        <v>549</v>
      </c>
      <c r="B551" s="118" t="s">
        <v>673</v>
      </c>
      <c r="C551" s="118"/>
      <c r="D551" s="118" t="s">
        <v>534</v>
      </c>
      <c r="E551" s="124" t="s">
        <v>378</v>
      </c>
      <c r="F551" s="118" t="s">
        <v>37</v>
      </c>
      <c r="G551" s="27"/>
      <c r="H551" s="27">
        <v>0.11</v>
      </c>
      <c r="I551" s="27">
        <v>1.71</v>
      </c>
      <c r="J551" s="125">
        <v>39883</v>
      </c>
      <c r="K551" s="27" t="s">
        <v>539</v>
      </c>
      <c r="L551" s="23"/>
      <c r="M551" s="21"/>
      <c r="N551" s="21"/>
      <c r="R551" s="14"/>
    </row>
    <row r="552" spans="1:18" s="7" customFormat="1">
      <c r="A552" s="117">
        <v>550</v>
      </c>
      <c r="B552" s="118" t="s">
        <v>674</v>
      </c>
      <c r="C552" s="118"/>
      <c r="D552" s="118" t="s">
        <v>534</v>
      </c>
      <c r="E552" s="124" t="s">
        <v>378</v>
      </c>
      <c r="F552" s="118" t="s">
        <v>37</v>
      </c>
      <c r="G552" s="27"/>
      <c r="H552" s="27">
        <v>0.18</v>
      </c>
      <c r="I552" s="27">
        <v>0</v>
      </c>
      <c r="J552" s="125">
        <v>39883</v>
      </c>
      <c r="K552" s="27" t="s">
        <v>539</v>
      </c>
      <c r="L552" s="23"/>
      <c r="M552" s="22"/>
      <c r="N552" s="22"/>
      <c r="R552" s="14"/>
    </row>
    <row r="553" spans="1:18" s="7" customFormat="1">
      <c r="A553" s="108">
        <v>551</v>
      </c>
      <c r="B553" s="118" t="s">
        <v>675</v>
      </c>
      <c r="C553" s="118"/>
      <c r="D553" s="118" t="s">
        <v>534</v>
      </c>
      <c r="E553" s="124" t="s">
        <v>378</v>
      </c>
      <c r="F553" s="118" t="s">
        <v>37</v>
      </c>
      <c r="G553" s="27"/>
      <c r="H553" s="27">
        <v>0.23</v>
      </c>
      <c r="I553" s="27">
        <v>0</v>
      </c>
      <c r="J553" s="125">
        <v>39883</v>
      </c>
      <c r="K553" s="27" t="s">
        <v>539</v>
      </c>
      <c r="L553" s="23"/>
      <c r="M553" s="22"/>
      <c r="N553" s="22"/>
      <c r="R553" s="14"/>
    </row>
    <row r="554" spans="1:18" s="7" customFormat="1">
      <c r="A554" s="117">
        <v>552</v>
      </c>
      <c r="B554" s="118" t="s">
        <v>676</v>
      </c>
      <c r="C554" s="118"/>
      <c r="D554" s="118" t="s">
        <v>534</v>
      </c>
      <c r="E554" s="124">
        <v>0.5</v>
      </c>
      <c r="F554" s="118" t="s">
        <v>34</v>
      </c>
      <c r="G554" s="27"/>
      <c r="H554" s="27"/>
      <c r="I554" s="27"/>
      <c r="J554" s="125">
        <v>39934</v>
      </c>
      <c r="K554" s="27" t="s">
        <v>677</v>
      </c>
      <c r="L554" s="23"/>
      <c r="M554" s="22"/>
      <c r="N554" s="22"/>
      <c r="R554" s="14"/>
    </row>
    <row r="555" spans="1:18" s="7" customFormat="1">
      <c r="A555" s="108">
        <v>553</v>
      </c>
      <c r="B555" s="118" t="s">
        <v>678</v>
      </c>
      <c r="C555" s="118"/>
      <c r="D555" s="118" t="s">
        <v>534</v>
      </c>
      <c r="E555" s="124">
        <v>0.5</v>
      </c>
      <c r="F555" s="118" t="s">
        <v>34</v>
      </c>
      <c r="G555" s="27"/>
      <c r="H555" s="27"/>
      <c r="I555" s="27"/>
      <c r="J555" s="125">
        <v>39934</v>
      </c>
      <c r="K555" s="27" t="s">
        <v>677</v>
      </c>
      <c r="L555" s="23"/>
      <c r="M555" s="22"/>
      <c r="N555" s="22"/>
      <c r="R555" s="14"/>
    </row>
    <row r="556" spans="1:18" s="7" customFormat="1">
      <c r="A556" s="117">
        <v>554</v>
      </c>
      <c r="B556" s="118" t="s">
        <v>679</v>
      </c>
      <c r="C556" s="118"/>
      <c r="D556" s="118" t="s">
        <v>534</v>
      </c>
      <c r="E556" s="124">
        <v>0.5</v>
      </c>
      <c r="F556" s="118" t="s">
        <v>34</v>
      </c>
      <c r="G556" s="27"/>
      <c r="H556" s="27"/>
      <c r="I556" s="27"/>
      <c r="J556" s="125">
        <v>39934</v>
      </c>
      <c r="K556" s="27" t="s">
        <v>677</v>
      </c>
      <c r="L556" s="23"/>
      <c r="M556" s="22"/>
      <c r="N556" s="22"/>
      <c r="R556" s="14"/>
    </row>
    <row r="557" spans="1:18" s="7" customFormat="1" ht="30">
      <c r="A557" s="108">
        <v>555</v>
      </c>
      <c r="B557" s="118" t="s">
        <v>680</v>
      </c>
      <c r="C557" s="118"/>
      <c r="D557" s="118" t="s">
        <v>534</v>
      </c>
      <c r="E557" s="124" t="s">
        <v>378</v>
      </c>
      <c r="F557" s="118" t="s">
        <v>37</v>
      </c>
      <c r="G557" s="27"/>
      <c r="H557" s="27">
        <v>2.4700000000000002</v>
      </c>
      <c r="I557" s="27">
        <v>-2.71</v>
      </c>
      <c r="J557" s="125">
        <v>39883</v>
      </c>
      <c r="K557" s="27" t="s">
        <v>681</v>
      </c>
      <c r="L557" s="23"/>
      <c r="M557" s="21"/>
      <c r="N557" s="21"/>
      <c r="R557" s="14"/>
    </row>
    <row r="558" spans="1:18" s="7" customFormat="1">
      <c r="A558" s="117">
        <v>556</v>
      </c>
      <c r="B558" s="118" t="s">
        <v>682</v>
      </c>
      <c r="C558" s="118"/>
      <c r="D558" s="118" t="s">
        <v>534</v>
      </c>
      <c r="E558" s="124" t="s">
        <v>378</v>
      </c>
      <c r="F558" s="118" t="s">
        <v>37</v>
      </c>
      <c r="G558" s="27"/>
      <c r="H558" s="27">
        <v>3.24</v>
      </c>
      <c r="I558" s="27">
        <v>9.7200000000000006</v>
      </c>
      <c r="J558" s="125">
        <v>39883</v>
      </c>
      <c r="K558" s="27" t="s">
        <v>683</v>
      </c>
      <c r="L558" s="23"/>
      <c r="M558" s="22"/>
      <c r="N558" s="22"/>
      <c r="R558" s="14"/>
    </row>
    <row r="559" spans="1:18" s="7" customFormat="1">
      <c r="A559" s="108">
        <v>557</v>
      </c>
      <c r="B559" s="118" t="s">
        <v>684</v>
      </c>
      <c r="C559" s="118"/>
      <c r="D559" s="118" t="s">
        <v>534</v>
      </c>
      <c r="E559" s="124" t="s">
        <v>378</v>
      </c>
      <c r="F559" s="118" t="s">
        <v>37</v>
      </c>
      <c r="G559" s="27"/>
      <c r="H559" s="27">
        <v>2.23</v>
      </c>
      <c r="I559" s="27">
        <v>3.52</v>
      </c>
      <c r="J559" s="125">
        <v>39883</v>
      </c>
      <c r="K559" s="27" t="s">
        <v>683</v>
      </c>
      <c r="L559" s="23"/>
      <c r="M559" s="22"/>
      <c r="N559" s="22"/>
      <c r="R559" s="14"/>
    </row>
    <row r="560" spans="1:18" s="7" customFormat="1">
      <c r="A560" s="117">
        <v>558</v>
      </c>
      <c r="B560" s="118" t="s">
        <v>685</v>
      </c>
      <c r="C560" s="118"/>
      <c r="D560" s="118" t="s">
        <v>534</v>
      </c>
      <c r="E560" s="124" t="s">
        <v>378</v>
      </c>
      <c r="F560" s="118" t="s">
        <v>37</v>
      </c>
      <c r="G560" s="27"/>
      <c r="H560" s="27">
        <v>0.99</v>
      </c>
      <c r="I560" s="27">
        <v>4.5</v>
      </c>
      <c r="J560" s="125">
        <v>39883</v>
      </c>
      <c r="K560" s="27" t="s">
        <v>686</v>
      </c>
      <c r="L560" s="23"/>
      <c r="M560" s="22"/>
      <c r="N560" s="22"/>
      <c r="R560" s="14"/>
    </row>
    <row r="561" spans="1:18" s="7" customFormat="1">
      <c r="A561" s="108">
        <v>559</v>
      </c>
      <c r="B561" s="118" t="s">
        <v>687</v>
      </c>
      <c r="C561" s="118" t="s">
        <v>31</v>
      </c>
      <c r="D561" s="118" t="s">
        <v>534</v>
      </c>
      <c r="E561" s="120" t="s">
        <v>688</v>
      </c>
      <c r="F561" s="118" t="s">
        <v>37</v>
      </c>
      <c r="G561" s="118" t="s">
        <v>297</v>
      </c>
      <c r="H561" s="148">
        <v>7.0000000000000007E-2</v>
      </c>
      <c r="I561" s="118">
        <v>0</v>
      </c>
      <c r="J561" s="119">
        <v>39901</v>
      </c>
      <c r="K561" s="150" t="s">
        <v>689</v>
      </c>
      <c r="L561" s="23"/>
      <c r="M561" s="22"/>
      <c r="N561" s="22"/>
      <c r="R561" s="14"/>
    </row>
    <row r="562" spans="1:18" s="7" customFormat="1">
      <c r="A562" s="117">
        <v>560</v>
      </c>
      <c r="B562" s="118" t="s">
        <v>690</v>
      </c>
      <c r="C562" s="118" t="s">
        <v>31</v>
      </c>
      <c r="D562" s="118" t="s">
        <v>534</v>
      </c>
      <c r="E562" s="120" t="s">
        <v>688</v>
      </c>
      <c r="F562" s="118" t="s">
        <v>37</v>
      </c>
      <c r="G562" s="118" t="s">
        <v>297</v>
      </c>
      <c r="H562" s="118">
        <v>0.18</v>
      </c>
      <c r="I562" s="118">
        <v>0</v>
      </c>
      <c r="J562" s="119">
        <v>39934</v>
      </c>
      <c r="K562" s="150" t="s">
        <v>691</v>
      </c>
      <c r="L562" s="23"/>
      <c r="M562" s="22"/>
      <c r="N562" s="22"/>
      <c r="R562" s="14"/>
    </row>
    <row r="563" spans="1:18" s="7" customFormat="1">
      <c r="A563" s="108">
        <v>561</v>
      </c>
      <c r="B563" s="118" t="s">
        <v>690</v>
      </c>
      <c r="C563" s="118"/>
      <c r="D563" s="118" t="s">
        <v>534</v>
      </c>
      <c r="E563" s="124" t="s">
        <v>378</v>
      </c>
      <c r="F563" s="118" t="s">
        <v>37</v>
      </c>
      <c r="G563" s="27"/>
      <c r="H563" s="27">
        <v>0.18</v>
      </c>
      <c r="I563" s="27">
        <v>0</v>
      </c>
      <c r="J563" s="125">
        <v>39883</v>
      </c>
      <c r="K563" s="27" t="s">
        <v>692</v>
      </c>
      <c r="L563" s="23"/>
      <c r="M563" s="21"/>
      <c r="N563" s="21"/>
      <c r="R563" s="14"/>
    </row>
    <row r="564" spans="1:18" s="7" customFormat="1">
      <c r="A564" s="117">
        <v>562</v>
      </c>
      <c r="B564" s="118" t="s">
        <v>693</v>
      </c>
      <c r="C564" s="118" t="s">
        <v>31</v>
      </c>
      <c r="D564" s="118" t="s">
        <v>534</v>
      </c>
      <c r="E564" s="120" t="s">
        <v>688</v>
      </c>
      <c r="F564" s="118" t="s">
        <v>37</v>
      </c>
      <c r="G564" s="118" t="s">
        <v>297</v>
      </c>
      <c r="H564" s="148">
        <v>0.47</v>
      </c>
      <c r="I564" s="148">
        <v>0</v>
      </c>
      <c r="J564" s="119">
        <v>39873</v>
      </c>
      <c r="K564" s="150" t="s">
        <v>691</v>
      </c>
      <c r="L564" s="23"/>
      <c r="M564" s="22"/>
      <c r="N564" s="22"/>
      <c r="R564" s="14"/>
    </row>
    <row r="565" spans="1:18" s="7" customFormat="1">
      <c r="A565" s="108">
        <v>563</v>
      </c>
      <c r="B565" s="118" t="s">
        <v>694</v>
      </c>
      <c r="C565" s="118">
        <v>0.126</v>
      </c>
      <c r="D565" s="118" t="s">
        <v>534</v>
      </c>
      <c r="E565" s="124" t="s">
        <v>378</v>
      </c>
      <c r="F565" s="118" t="s">
        <v>37</v>
      </c>
      <c r="G565" s="27"/>
      <c r="H565" s="27">
        <v>0.126</v>
      </c>
      <c r="I565" s="27">
        <v>1.57</v>
      </c>
      <c r="J565" s="125">
        <v>39883</v>
      </c>
      <c r="K565" s="27" t="s">
        <v>539</v>
      </c>
      <c r="L565" s="23"/>
      <c r="M565" s="22"/>
      <c r="N565" s="22"/>
      <c r="R565" s="14"/>
    </row>
    <row r="566" spans="1:18" s="7" customFormat="1">
      <c r="A566" s="117">
        <v>564</v>
      </c>
      <c r="B566" s="118" t="s">
        <v>695</v>
      </c>
      <c r="C566" s="118">
        <v>0.38500000000000001</v>
      </c>
      <c r="D566" s="118" t="s">
        <v>534</v>
      </c>
      <c r="E566" s="124" t="s">
        <v>378</v>
      </c>
      <c r="F566" s="118" t="s">
        <v>37</v>
      </c>
      <c r="G566" s="27"/>
      <c r="H566" s="27">
        <v>0.38500000000000001</v>
      </c>
      <c r="I566" s="27">
        <v>0.8</v>
      </c>
      <c r="J566" s="125">
        <v>39883</v>
      </c>
      <c r="K566" s="27" t="s">
        <v>539</v>
      </c>
      <c r="L566" s="23"/>
      <c r="M566" s="22"/>
      <c r="N566" s="22"/>
      <c r="R566" s="14"/>
    </row>
    <row r="567" spans="1:18" s="7" customFormat="1">
      <c r="A567" s="108">
        <v>565</v>
      </c>
      <c r="B567" s="118" t="s">
        <v>696</v>
      </c>
      <c r="C567" s="118">
        <v>0.312</v>
      </c>
      <c r="D567" s="118" t="s">
        <v>534</v>
      </c>
      <c r="E567" s="124" t="s">
        <v>378</v>
      </c>
      <c r="F567" s="118" t="s">
        <v>37</v>
      </c>
      <c r="G567" s="27"/>
      <c r="H567" s="27">
        <v>0.312</v>
      </c>
      <c r="I567" s="27">
        <v>0.90500000000000003</v>
      </c>
      <c r="J567" s="125">
        <v>39883</v>
      </c>
      <c r="K567" s="27" t="s">
        <v>539</v>
      </c>
      <c r="L567" s="23"/>
      <c r="M567" s="22"/>
      <c r="N567" s="22"/>
      <c r="R567" s="14"/>
    </row>
    <row r="568" spans="1:18" s="7" customFormat="1">
      <c r="A568" s="117">
        <v>566</v>
      </c>
      <c r="B568" s="118" t="s">
        <v>697</v>
      </c>
      <c r="C568" s="118">
        <v>0.38</v>
      </c>
      <c r="D568" s="118" t="s">
        <v>534</v>
      </c>
      <c r="E568" s="124" t="s">
        <v>378</v>
      </c>
      <c r="F568" s="118" t="s">
        <v>37</v>
      </c>
      <c r="G568" s="27"/>
      <c r="H568" s="27">
        <v>0.38</v>
      </c>
      <c r="I568" s="27">
        <v>5.4180000000000001</v>
      </c>
      <c r="J568" s="125">
        <v>39883</v>
      </c>
      <c r="K568" s="27" t="s">
        <v>539</v>
      </c>
      <c r="L568" s="23"/>
      <c r="M568" s="22"/>
      <c r="N568" s="22"/>
      <c r="R568" s="14"/>
    </row>
    <row r="569" spans="1:18" s="7" customFormat="1">
      <c r="A569" s="108">
        <v>567</v>
      </c>
      <c r="B569" s="118" t="s">
        <v>698</v>
      </c>
      <c r="C569" s="118">
        <v>0.36</v>
      </c>
      <c r="D569" s="118" t="s">
        <v>534</v>
      </c>
      <c r="E569" s="124" t="s">
        <v>378</v>
      </c>
      <c r="F569" s="118" t="s">
        <v>37</v>
      </c>
      <c r="G569" s="27"/>
      <c r="H569" s="27">
        <v>0.36</v>
      </c>
      <c r="I569" s="27">
        <v>1.78</v>
      </c>
      <c r="J569" s="125">
        <v>39883</v>
      </c>
      <c r="K569" s="27" t="s">
        <v>539</v>
      </c>
      <c r="L569" s="23"/>
      <c r="M569" s="22"/>
      <c r="N569" s="22"/>
      <c r="R569" s="14"/>
    </row>
    <row r="570" spans="1:18" s="7" customFormat="1">
      <c r="A570" s="117">
        <v>568</v>
      </c>
      <c r="B570" s="118" t="s">
        <v>699</v>
      </c>
      <c r="C570" s="118" t="s">
        <v>700</v>
      </c>
      <c r="D570" s="118" t="s">
        <v>534</v>
      </c>
      <c r="E570" s="124">
        <v>473</v>
      </c>
      <c r="F570" s="118" t="s">
        <v>34</v>
      </c>
      <c r="G570" s="27"/>
      <c r="H570" s="27"/>
      <c r="I570" s="27"/>
      <c r="J570" s="125">
        <v>39901</v>
      </c>
      <c r="K570" s="27"/>
      <c r="L570" s="23"/>
      <c r="M570" s="22"/>
      <c r="N570" s="22"/>
      <c r="R570" s="14"/>
    </row>
    <row r="571" spans="1:18" s="7" customFormat="1">
      <c r="A571" s="108">
        <v>569</v>
      </c>
      <c r="B571" s="118" t="s">
        <v>701</v>
      </c>
      <c r="C571" s="118"/>
      <c r="D571" s="118" t="s">
        <v>534</v>
      </c>
      <c r="E571" s="124">
        <v>2.25</v>
      </c>
      <c r="F571" s="118" t="s">
        <v>208</v>
      </c>
      <c r="G571" s="27"/>
      <c r="H571" s="27"/>
      <c r="I571" s="27"/>
      <c r="J571" s="125">
        <v>39883</v>
      </c>
      <c r="K571" s="27" t="s">
        <v>702</v>
      </c>
      <c r="L571" s="23"/>
      <c r="M571" s="22"/>
      <c r="N571" s="22"/>
      <c r="R571" s="14"/>
    </row>
    <row r="572" spans="1:18" s="7" customFormat="1">
      <c r="A572" s="117">
        <v>570</v>
      </c>
      <c r="B572" s="118" t="s">
        <v>703</v>
      </c>
      <c r="C572" s="118" t="s">
        <v>31</v>
      </c>
      <c r="D572" s="118" t="s">
        <v>704</v>
      </c>
      <c r="E572" s="145">
        <v>33</v>
      </c>
      <c r="F572" s="118" t="s">
        <v>208</v>
      </c>
      <c r="G572" s="118"/>
      <c r="H572" s="118"/>
      <c r="I572" s="118"/>
      <c r="J572" s="119"/>
      <c r="K572" s="150"/>
      <c r="L572" s="23"/>
      <c r="M572" s="22"/>
      <c r="N572" s="22"/>
      <c r="R572" s="14"/>
    </row>
    <row r="573" spans="1:18" s="7" customFormat="1">
      <c r="A573" s="108">
        <v>571</v>
      </c>
      <c r="B573" s="118" t="s">
        <v>705</v>
      </c>
      <c r="C573" s="118" t="s">
        <v>31</v>
      </c>
      <c r="D573" s="118" t="s">
        <v>704</v>
      </c>
      <c r="E573" s="135">
        <v>4.2</v>
      </c>
      <c r="F573" s="118" t="s">
        <v>208</v>
      </c>
      <c r="G573" s="118"/>
      <c r="H573" s="118"/>
      <c r="I573" s="118"/>
      <c r="J573" s="119"/>
      <c r="K573" s="150" t="s">
        <v>706</v>
      </c>
      <c r="L573" s="23"/>
      <c r="M573" s="22"/>
      <c r="N573" s="22"/>
      <c r="R573" s="14"/>
    </row>
    <row r="574" spans="1:18" s="7" customFormat="1">
      <c r="A574" s="117">
        <v>572</v>
      </c>
      <c r="B574" s="118" t="s">
        <v>707</v>
      </c>
      <c r="C574" s="118" t="s">
        <v>31</v>
      </c>
      <c r="D574" s="118" t="s">
        <v>704</v>
      </c>
      <c r="E574" s="135">
        <v>4.2</v>
      </c>
      <c r="F574" s="118" t="s">
        <v>208</v>
      </c>
      <c r="G574" s="118"/>
      <c r="H574" s="118"/>
      <c r="I574" s="118"/>
      <c r="J574" s="119"/>
      <c r="K574" s="150" t="s">
        <v>708</v>
      </c>
      <c r="L574" s="23"/>
      <c r="M574" s="22"/>
      <c r="N574" s="22"/>
      <c r="R574" s="14"/>
    </row>
    <row r="575" spans="1:18" s="7" customFormat="1">
      <c r="A575" s="108">
        <v>573</v>
      </c>
      <c r="B575" s="118" t="s">
        <v>709</v>
      </c>
      <c r="C575" s="118" t="s">
        <v>31</v>
      </c>
      <c r="D575" s="118" t="s">
        <v>704</v>
      </c>
      <c r="E575" s="152">
        <v>2.2000000000000002</v>
      </c>
      <c r="F575" s="118" t="s">
        <v>208</v>
      </c>
      <c r="G575" s="118"/>
      <c r="H575" s="118"/>
      <c r="I575" s="118"/>
      <c r="J575" s="119"/>
      <c r="K575" s="150"/>
      <c r="L575" s="23"/>
      <c r="M575" s="22"/>
      <c r="N575" s="22"/>
      <c r="R575" s="14"/>
    </row>
    <row r="576" spans="1:18" s="7" customFormat="1">
      <c r="A576" s="117">
        <v>574</v>
      </c>
      <c r="B576" s="118" t="s">
        <v>710</v>
      </c>
      <c r="C576" s="118" t="s">
        <v>31</v>
      </c>
      <c r="D576" s="118" t="s">
        <v>704</v>
      </c>
      <c r="E576" s="145">
        <v>2.2000000000000002</v>
      </c>
      <c r="F576" s="118" t="s">
        <v>208</v>
      </c>
      <c r="G576" s="118"/>
      <c r="H576" s="118"/>
      <c r="I576" s="118"/>
      <c r="J576" s="119"/>
      <c r="K576" s="150"/>
      <c r="L576" s="23"/>
      <c r="M576" s="22"/>
      <c r="N576" s="22"/>
      <c r="R576" s="14"/>
    </row>
    <row r="577" spans="1:18" s="7" customFormat="1">
      <c r="A577" s="108">
        <v>575</v>
      </c>
      <c r="B577" s="118" t="s">
        <v>711</v>
      </c>
      <c r="C577" s="118" t="s">
        <v>31</v>
      </c>
      <c r="D577" s="118" t="s">
        <v>704</v>
      </c>
      <c r="E577" s="145">
        <v>2.2000000000000002</v>
      </c>
      <c r="F577" s="118" t="s">
        <v>208</v>
      </c>
      <c r="G577" s="118"/>
      <c r="H577" s="118"/>
      <c r="I577" s="118"/>
      <c r="J577" s="119"/>
      <c r="K577" s="150"/>
      <c r="L577" s="23"/>
      <c r="M577" s="22"/>
      <c r="N577" s="22"/>
      <c r="R577" s="14"/>
    </row>
    <row r="578" spans="1:18" s="7" customFormat="1">
      <c r="A578" s="117">
        <v>576</v>
      </c>
      <c r="B578" s="118" t="s">
        <v>1470</v>
      </c>
      <c r="C578" s="118" t="s">
        <v>31</v>
      </c>
      <c r="D578" s="118" t="s">
        <v>704</v>
      </c>
      <c r="E578" s="146">
        <v>5.0000000000000001E-3</v>
      </c>
      <c r="F578" s="118" t="s">
        <v>460</v>
      </c>
      <c r="G578" s="118"/>
      <c r="H578" s="118"/>
      <c r="I578" s="118"/>
      <c r="J578" s="119">
        <v>40286</v>
      </c>
      <c r="K578" s="150"/>
      <c r="L578" s="23"/>
      <c r="M578" s="22"/>
      <c r="N578" s="22"/>
      <c r="R578" s="14"/>
    </row>
    <row r="579" spans="1:18" s="7" customFormat="1">
      <c r="A579" s="108">
        <v>577</v>
      </c>
      <c r="B579" s="118" t="s">
        <v>712</v>
      </c>
      <c r="C579" s="118" t="s">
        <v>31</v>
      </c>
      <c r="D579" s="118" t="s">
        <v>704</v>
      </c>
      <c r="E579" s="145">
        <v>15</v>
      </c>
      <c r="F579" s="118" t="s">
        <v>208</v>
      </c>
      <c r="G579" s="118"/>
      <c r="H579" s="118"/>
      <c r="I579" s="118"/>
      <c r="J579" s="119"/>
      <c r="K579" s="150" t="s">
        <v>713</v>
      </c>
      <c r="L579" s="23"/>
      <c r="M579" s="22"/>
      <c r="N579" s="22"/>
      <c r="R579" s="14"/>
    </row>
    <row r="580" spans="1:18" s="7" customFormat="1">
      <c r="A580" s="117">
        <v>578</v>
      </c>
      <c r="B580" s="118" t="s">
        <v>714</v>
      </c>
      <c r="C580" s="118" t="s">
        <v>31</v>
      </c>
      <c r="D580" s="118" t="s">
        <v>704</v>
      </c>
      <c r="E580" s="137">
        <v>22</v>
      </c>
      <c r="F580" s="118" t="s">
        <v>208</v>
      </c>
      <c r="G580" s="118"/>
      <c r="H580" s="118"/>
      <c r="I580" s="118"/>
      <c r="J580" s="119"/>
      <c r="K580" s="150" t="s">
        <v>715</v>
      </c>
      <c r="L580" s="23"/>
      <c r="M580" s="22"/>
      <c r="N580" s="22"/>
      <c r="R580" s="14"/>
    </row>
    <row r="581" spans="1:18" s="7" customFormat="1">
      <c r="A581" s="108">
        <v>579</v>
      </c>
      <c r="B581" s="118" t="s">
        <v>716</v>
      </c>
      <c r="C581" s="118" t="s">
        <v>31</v>
      </c>
      <c r="D581" s="118" t="s">
        <v>704</v>
      </c>
      <c r="E581" s="145">
        <v>1</v>
      </c>
      <c r="F581" s="118" t="s">
        <v>208</v>
      </c>
      <c r="G581" s="118"/>
      <c r="H581" s="118"/>
      <c r="I581" s="118"/>
      <c r="J581" s="119"/>
      <c r="K581" s="150"/>
      <c r="L581" s="23"/>
      <c r="M581" s="22"/>
      <c r="N581" s="22"/>
      <c r="R581" s="14"/>
    </row>
    <row r="582" spans="1:18" s="7" customFormat="1">
      <c r="A582" s="117">
        <v>580</v>
      </c>
      <c r="B582" s="118" t="s">
        <v>717</v>
      </c>
      <c r="C582" s="118" t="s">
        <v>31</v>
      </c>
      <c r="D582" s="118" t="s">
        <v>704</v>
      </c>
      <c r="E582" s="120">
        <v>6</v>
      </c>
      <c r="F582" s="118" t="s">
        <v>208</v>
      </c>
      <c r="G582" s="118"/>
      <c r="H582" s="118"/>
      <c r="I582" s="118"/>
      <c r="J582" s="119"/>
      <c r="K582" s="153"/>
      <c r="L582" s="23"/>
      <c r="M582" s="22"/>
      <c r="N582" s="22"/>
      <c r="R582" s="14"/>
    </row>
    <row r="583" spans="1:18" s="7" customFormat="1">
      <c r="A583" s="108">
        <v>581</v>
      </c>
      <c r="B583" s="118" t="s">
        <v>718</v>
      </c>
      <c r="C583" s="118" t="s">
        <v>31</v>
      </c>
      <c r="D583" s="118" t="s">
        <v>704</v>
      </c>
      <c r="E583" s="145">
        <v>2.2000000000000002</v>
      </c>
      <c r="F583" s="118" t="s">
        <v>208</v>
      </c>
      <c r="G583" s="118"/>
      <c r="H583" s="118"/>
      <c r="I583" s="118"/>
      <c r="J583" s="119"/>
      <c r="K583" s="153"/>
      <c r="L583" s="23"/>
      <c r="M583" s="22"/>
      <c r="N583" s="22"/>
      <c r="R583" s="14"/>
    </row>
    <row r="584" spans="1:18" s="7" customFormat="1">
      <c r="A584" s="117">
        <v>582</v>
      </c>
      <c r="B584" s="118" t="s">
        <v>719</v>
      </c>
      <c r="C584" s="118" t="s">
        <v>31</v>
      </c>
      <c r="D584" s="118" t="s">
        <v>704</v>
      </c>
      <c r="E584" s="140">
        <v>3.3</v>
      </c>
      <c r="F584" s="118" t="s">
        <v>208</v>
      </c>
      <c r="G584" s="118"/>
      <c r="H584" s="118"/>
      <c r="I584" s="118"/>
      <c r="J584" s="119"/>
      <c r="K584" s="153" t="s">
        <v>720</v>
      </c>
      <c r="L584" s="23"/>
      <c r="M584" s="22"/>
      <c r="N584" s="22"/>
      <c r="R584" s="14"/>
    </row>
    <row r="585" spans="1:18" s="7" customFormat="1">
      <c r="A585" s="108">
        <v>583</v>
      </c>
      <c r="B585" s="118" t="s">
        <v>721</v>
      </c>
      <c r="C585" s="118" t="s">
        <v>31</v>
      </c>
      <c r="D585" s="118" t="s">
        <v>704</v>
      </c>
      <c r="E585" s="140">
        <v>3.3</v>
      </c>
      <c r="F585" s="118" t="s">
        <v>208</v>
      </c>
      <c r="G585" s="118"/>
      <c r="H585" s="118"/>
      <c r="I585" s="118"/>
      <c r="J585" s="119"/>
      <c r="K585" s="153" t="s">
        <v>722</v>
      </c>
      <c r="L585" s="23"/>
      <c r="M585" s="22"/>
      <c r="N585" s="22"/>
      <c r="R585" s="14"/>
    </row>
    <row r="586" spans="1:18" s="7" customFormat="1">
      <c r="A586" s="117">
        <v>584</v>
      </c>
      <c r="B586" s="118" t="s">
        <v>723</v>
      </c>
      <c r="C586" s="118" t="s">
        <v>31</v>
      </c>
      <c r="D586" s="118" t="s">
        <v>704</v>
      </c>
      <c r="E586" s="140">
        <v>3.3</v>
      </c>
      <c r="F586" s="118" t="s">
        <v>208</v>
      </c>
      <c r="G586" s="118"/>
      <c r="H586" s="118"/>
      <c r="I586" s="118"/>
      <c r="J586" s="119"/>
      <c r="K586" s="153" t="s">
        <v>724</v>
      </c>
      <c r="L586" s="23"/>
      <c r="M586" s="22"/>
      <c r="N586" s="22"/>
      <c r="R586" s="14"/>
    </row>
    <row r="587" spans="1:18" s="7" customFormat="1">
      <c r="A587" s="108">
        <v>585</v>
      </c>
      <c r="B587" s="118" t="s">
        <v>725</v>
      </c>
      <c r="C587" s="118" t="s">
        <v>31</v>
      </c>
      <c r="D587" s="118" t="s">
        <v>704</v>
      </c>
      <c r="E587" s="140">
        <v>3.3</v>
      </c>
      <c r="F587" s="118" t="s">
        <v>208</v>
      </c>
      <c r="G587" s="118"/>
      <c r="H587" s="118"/>
      <c r="I587" s="118"/>
      <c r="J587" s="119"/>
      <c r="K587" s="153" t="s">
        <v>726</v>
      </c>
      <c r="L587" s="23"/>
      <c r="M587" s="22"/>
      <c r="N587" s="22"/>
      <c r="R587" s="14"/>
    </row>
    <row r="588" spans="1:18" s="7" customFormat="1">
      <c r="A588" s="117">
        <v>586</v>
      </c>
      <c r="B588" s="118" t="s">
        <v>727</v>
      </c>
      <c r="C588" s="118" t="s">
        <v>31</v>
      </c>
      <c r="D588" s="118" t="s">
        <v>704</v>
      </c>
      <c r="E588" s="140">
        <v>3.3</v>
      </c>
      <c r="F588" s="118" t="s">
        <v>208</v>
      </c>
      <c r="G588" s="118"/>
      <c r="H588" s="118"/>
      <c r="I588" s="118"/>
      <c r="J588" s="119"/>
      <c r="K588" s="153" t="s">
        <v>728</v>
      </c>
      <c r="L588" s="23"/>
      <c r="M588" s="22"/>
      <c r="N588" s="22"/>
      <c r="R588" s="14"/>
    </row>
    <row r="589" spans="1:18" s="7" customFormat="1">
      <c r="A589" s="108">
        <v>587</v>
      </c>
      <c r="B589" s="118" t="s">
        <v>729</v>
      </c>
      <c r="C589" s="118" t="s">
        <v>31</v>
      </c>
      <c r="D589" s="118" t="s">
        <v>704</v>
      </c>
      <c r="E589" s="140">
        <v>3.3</v>
      </c>
      <c r="F589" s="118" t="s">
        <v>208</v>
      </c>
      <c r="G589" s="118"/>
      <c r="H589" s="118"/>
      <c r="I589" s="118"/>
      <c r="J589" s="119"/>
      <c r="K589" s="153" t="s">
        <v>730</v>
      </c>
      <c r="L589" s="23"/>
      <c r="M589" s="22"/>
      <c r="N589" s="22"/>
      <c r="R589" s="14"/>
    </row>
    <row r="590" spans="1:18" s="7" customFormat="1">
      <c r="A590" s="117">
        <v>588</v>
      </c>
      <c r="B590" s="118" t="s">
        <v>731</v>
      </c>
      <c r="C590" s="118" t="s">
        <v>31</v>
      </c>
      <c r="D590" s="118" t="s">
        <v>704</v>
      </c>
      <c r="E590" s="140">
        <v>3.3</v>
      </c>
      <c r="F590" s="118" t="s">
        <v>208</v>
      </c>
      <c r="G590" s="118"/>
      <c r="H590" s="118"/>
      <c r="I590" s="118"/>
      <c r="J590" s="119"/>
      <c r="K590" s="153"/>
      <c r="L590" s="23"/>
      <c r="M590" s="22"/>
      <c r="N590" s="22"/>
      <c r="R590" s="14"/>
    </row>
    <row r="591" spans="1:18" s="7" customFormat="1">
      <c r="A591" s="108">
        <v>589</v>
      </c>
      <c r="B591" s="118" t="s">
        <v>732</v>
      </c>
      <c r="C591" s="118" t="s">
        <v>31</v>
      </c>
      <c r="D591" s="118" t="s">
        <v>704</v>
      </c>
      <c r="E591" s="140">
        <v>3.3</v>
      </c>
      <c r="F591" s="118" t="s">
        <v>208</v>
      </c>
      <c r="G591" s="118"/>
      <c r="H591" s="118"/>
      <c r="I591" s="118"/>
      <c r="J591" s="119"/>
      <c r="K591" s="153"/>
      <c r="L591" s="23"/>
      <c r="M591" s="22"/>
      <c r="N591" s="22"/>
      <c r="R591" s="14"/>
    </row>
    <row r="592" spans="1:18" s="7" customFormat="1">
      <c r="A592" s="117">
        <v>590</v>
      </c>
      <c r="B592" s="118" t="s">
        <v>733</v>
      </c>
      <c r="C592" s="118" t="s">
        <v>31</v>
      </c>
      <c r="D592" s="118" t="s">
        <v>704</v>
      </c>
      <c r="E592" s="140">
        <v>3.3</v>
      </c>
      <c r="F592" s="118" t="s">
        <v>208</v>
      </c>
      <c r="G592" s="118"/>
      <c r="H592" s="118"/>
      <c r="I592" s="118"/>
      <c r="J592" s="119"/>
      <c r="K592" s="153" t="s">
        <v>734</v>
      </c>
      <c r="L592" s="23"/>
      <c r="M592" s="22"/>
      <c r="N592" s="22"/>
      <c r="R592" s="14"/>
    </row>
    <row r="593" spans="1:18" s="7" customFormat="1">
      <c r="A593" s="108">
        <v>591</v>
      </c>
      <c r="B593" s="118" t="s">
        <v>1471</v>
      </c>
      <c r="C593" s="118" t="s">
        <v>31</v>
      </c>
      <c r="D593" s="118" t="s">
        <v>704</v>
      </c>
      <c r="E593" s="140">
        <v>3.3</v>
      </c>
      <c r="F593" s="118" t="s">
        <v>208</v>
      </c>
      <c r="G593" s="118"/>
      <c r="H593" s="118"/>
      <c r="I593" s="118"/>
      <c r="J593" s="119"/>
      <c r="K593" s="153" t="s">
        <v>1472</v>
      </c>
      <c r="L593" s="23"/>
      <c r="M593" s="22"/>
      <c r="N593" s="22"/>
      <c r="R593" s="14"/>
    </row>
    <row r="594" spans="1:18" s="7" customFormat="1">
      <c r="A594" s="117">
        <v>592</v>
      </c>
      <c r="B594" s="118" t="s">
        <v>735</v>
      </c>
      <c r="C594" s="118" t="s">
        <v>31</v>
      </c>
      <c r="D594" s="118" t="s">
        <v>704</v>
      </c>
      <c r="E594" s="140">
        <v>3.3</v>
      </c>
      <c r="F594" s="118" t="s">
        <v>208</v>
      </c>
      <c r="G594" s="118"/>
      <c r="H594" s="118"/>
      <c r="I594" s="118"/>
      <c r="J594" s="119"/>
      <c r="K594" s="153"/>
      <c r="L594" s="23"/>
      <c r="M594" s="22"/>
      <c r="N594" s="22"/>
      <c r="R594" s="14"/>
    </row>
    <row r="595" spans="1:18" s="7" customFormat="1">
      <c r="A595" s="108">
        <v>593</v>
      </c>
      <c r="B595" s="118" t="s">
        <v>736</v>
      </c>
      <c r="C595" s="118" t="s">
        <v>31</v>
      </c>
      <c r="D595" s="118" t="s">
        <v>704</v>
      </c>
      <c r="E595" s="140">
        <v>3.3</v>
      </c>
      <c r="F595" s="118" t="s">
        <v>208</v>
      </c>
      <c r="G595" s="118"/>
      <c r="H595" s="118"/>
      <c r="I595" s="118"/>
      <c r="J595" s="119"/>
      <c r="K595" s="153" t="s">
        <v>737</v>
      </c>
      <c r="L595" s="23"/>
      <c r="M595" s="22"/>
      <c r="N595" s="22"/>
      <c r="R595" s="14"/>
    </row>
    <row r="596" spans="1:18" s="7" customFormat="1">
      <c r="A596" s="117">
        <v>594</v>
      </c>
      <c r="B596" s="118" t="s">
        <v>738</v>
      </c>
      <c r="C596" s="118" t="s">
        <v>31</v>
      </c>
      <c r="D596" s="118" t="s">
        <v>704</v>
      </c>
      <c r="E596" s="120">
        <v>3.3</v>
      </c>
      <c r="F596" s="118" t="s">
        <v>208</v>
      </c>
      <c r="G596" s="118"/>
      <c r="H596" s="118"/>
      <c r="I596" s="118"/>
      <c r="J596" s="119"/>
      <c r="K596" s="27"/>
      <c r="L596" s="23"/>
      <c r="M596" s="22"/>
      <c r="N596" s="22"/>
      <c r="R596" s="14"/>
    </row>
    <row r="597" spans="1:18" s="7" customFormat="1">
      <c r="A597" s="108">
        <v>595</v>
      </c>
      <c r="B597" s="118" t="s">
        <v>739</v>
      </c>
      <c r="C597" s="118" t="s">
        <v>31</v>
      </c>
      <c r="D597" s="118" t="s">
        <v>704</v>
      </c>
      <c r="E597" s="137" t="s">
        <v>33</v>
      </c>
      <c r="F597" s="118" t="s">
        <v>208</v>
      </c>
      <c r="G597" s="118"/>
      <c r="H597" s="118"/>
      <c r="I597" s="118"/>
      <c r="J597" s="119"/>
      <c r="K597" s="136" t="s">
        <v>715</v>
      </c>
      <c r="L597" s="23"/>
      <c r="M597" s="22"/>
      <c r="N597" s="22"/>
      <c r="R597" s="14"/>
    </row>
    <row r="598" spans="1:18" s="7" customFormat="1">
      <c r="A598" s="117">
        <v>596</v>
      </c>
      <c r="B598" s="118" t="s">
        <v>740</v>
      </c>
      <c r="C598" s="118" t="s">
        <v>31</v>
      </c>
      <c r="D598" s="118" t="s">
        <v>704</v>
      </c>
      <c r="E598" s="135">
        <v>2.25</v>
      </c>
      <c r="F598" s="118" t="s">
        <v>208</v>
      </c>
      <c r="G598" s="118"/>
      <c r="H598" s="118"/>
      <c r="I598" s="118"/>
      <c r="J598" s="119"/>
      <c r="K598" s="153" t="s">
        <v>288</v>
      </c>
      <c r="L598" s="23"/>
      <c r="M598" s="22"/>
      <c r="N598" s="22"/>
      <c r="R598" s="14"/>
    </row>
    <row r="599" spans="1:18" s="7" customFormat="1">
      <c r="A599" s="108">
        <v>597</v>
      </c>
      <c r="B599" s="118" t="s">
        <v>741</v>
      </c>
      <c r="C599" s="118" t="s">
        <v>31</v>
      </c>
      <c r="D599" s="118" t="s">
        <v>704</v>
      </c>
      <c r="E599" s="135">
        <v>2.25</v>
      </c>
      <c r="F599" s="118" t="s">
        <v>208</v>
      </c>
      <c r="G599" s="118"/>
      <c r="H599" s="118"/>
      <c r="I599" s="118"/>
      <c r="J599" s="119"/>
      <c r="K599" s="153" t="s">
        <v>286</v>
      </c>
      <c r="L599" s="23"/>
      <c r="M599" s="22"/>
      <c r="N599" s="22"/>
      <c r="R599" s="14"/>
    </row>
    <row r="600" spans="1:18" s="7" customFormat="1">
      <c r="A600" s="117">
        <v>598</v>
      </c>
      <c r="B600" s="118" t="s">
        <v>742</v>
      </c>
      <c r="C600" s="118" t="s">
        <v>31</v>
      </c>
      <c r="D600" s="118" t="s">
        <v>704</v>
      </c>
      <c r="E600" s="135">
        <v>2.25</v>
      </c>
      <c r="F600" s="118" t="s">
        <v>208</v>
      </c>
      <c r="G600" s="118"/>
      <c r="H600" s="118"/>
      <c r="I600" s="118"/>
      <c r="J600" s="119">
        <v>39874</v>
      </c>
      <c r="K600" s="153"/>
      <c r="L600" s="23"/>
      <c r="M600" s="22"/>
      <c r="N600" s="22"/>
      <c r="R600" s="14"/>
    </row>
    <row r="601" spans="1:18" s="7" customFormat="1">
      <c r="A601" s="108">
        <v>599</v>
      </c>
      <c r="B601" s="118" t="s">
        <v>743</v>
      </c>
      <c r="C601" s="118" t="s">
        <v>31</v>
      </c>
      <c r="D601" s="118" t="s">
        <v>704</v>
      </c>
      <c r="E601" s="120">
        <v>22</v>
      </c>
      <c r="F601" s="118" t="s">
        <v>208</v>
      </c>
      <c r="G601" s="118"/>
      <c r="H601" s="118"/>
      <c r="I601" s="118"/>
      <c r="J601" s="119"/>
      <c r="K601" s="153" t="s">
        <v>744</v>
      </c>
      <c r="L601" s="23"/>
      <c r="M601" s="22"/>
      <c r="N601" s="22"/>
      <c r="R601" s="14"/>
    </row>
    <row r="602" spans="1:18" s="7" customFormat="1">
      <c r="A602" s="117">
        <v>600</v>
      </c>
      <c r="B602" s="118" t="s">
        <v>745</v>
      </c>
      <c r="C602" s="118" t="s">
        <v>31</v>
      </c>
      <c r="D602" s="118" t="s">
        <v>704</v>
      </c>
      <c r="E602" s="147">
        <v>4.0000000000000001E-3</v>
      </c>
      <c r="F602" s="118" t="s">
        <v>460</v>
      </c>
      <c r="G602" s="118"/>
      <c r="H602" s="118"/>
      <c r="I602" s="118"/>
      <c r="J602" s="119"/>
      <c r="K602" s="153" t="s">
        <v>746</v>
      </c>
      <c r="L602" s="23"/>
      <c r="M602" s="22"/>
      <c r="N602" s="22"/>
      <c r="R602" s="14"/>
    </row>
    <row r="603" spans="1:18" s="7" customFormat="1">
      <c r="A603" s="108">
        <v>601</v>
      </c>
      <c r="B603" s="118" t="s">
        <v>747</v>
      </c>
      <c r="C603" s="118" t="s">
        <v>31</v>
      </c>
      <c r="D603" s="118" t="s">
        <v>704</v>
      </c>
      <c r="E603" s="147">
        <v>3.0000000000000001E-3</v>
      </c>
      <c r="F603" s="118" t="s">
        <v>460</v>
      </c>
      <c r="G603" s="118"/>
      <c r="H603" s="118"/>
      <c r="I603" s="118"/>
      <c r="J603" s="119">
        <v>40085</v>
      </c>
      <c r="K603" s="153" t="s">
        <v>748</v>
      </c>
      <c r="L603" s="23"/>
      <c r="M603" s="22"/>
      <c r="N603" s="22"/>
      <c r="R603" s="14"/>
    </row>
    <row r="604" spans="1:18" s="7" customFormat="1">
      <c r="A604" s="117">
        <v>602</v>
      </c>
      <c r="B604" s="118" t="s">
        <v>1473</v>
      </c>
      <c r="C604" s="118" t="s">
        <v>31</v>
      </c>
      <c r="D604" s="118" t="s">
        <v>704</v>
      </c>
      <c r="E604" s="147">
        <v>2E-3</v>
      </c>
      <c r="F604" s="118" t="s">
        <v>460</v>
      </c>
      <c r="G604" s="118"/>
      <c r="H604" s="118"/>
      <c r="I604" s="118"/>
      <c r="J604" s="119">
        <v>40288</v>
      </c>
      <c r="K604" s="27" t="s">
        <v>1474</v>
      </c>
      <c r="L604" s="23"/>
      <c r="M604" s="22"/>
      <c r="N604" s="22"/>
      <c r="R604" s="14"/>
    </row>
    <row r="605" spans="1:18" s="7" customFormat="1">
      <c r="A605" s="108">
        <v>603</v>
      </c>
      <c r="B605" s="118" t="s">
        <v>749</v>
      </c>
      <c r="C605" s="118" t="s">
        <v>31</v>
      </c>
      <c r="D605" s="118" t="s">
        <v>750</v>
      </c>
      <c r="E605" s="138">
        <v>45</v>
      </c>
      <c r="F605" s="118" t="s">
        <v>34</v>
      </c>
      <c r="G605" s="118"/>
      <c r="H605" s="118"/>
      <c r="I605" s="118"/>
      <c r="J605" s="119"/>
      <c r="K605" s="153" t="s">
        <v>751</v>
      </c>
      <c r="L605" s="23"/>
      <c r="M605" s="22"/>
      <c r="N605" s="22"/>
      <c r="R605" s="14"/>
    </row>
    <row r="606" spans="1:18" s="7" customFormat="1">
      <c r="A606" s="117">
        <v>604</v>
      </c>
      <c r="B606" s="118" t="s">
        <v>752</v>
      </c>
      <c r="C606" s="27" t="s">
        <v>31</v>
      </c>
      <c r="D606" s="27" t="s">
        <v>753</v>
      </c>
      <c r="E606" s="137">
        <v>0.05</v>
      </c>
      <c r="F606" s="27" t="s">
        <v>34</v>
      </c>
      <c r="G606" s="27"/>
      <c r="H606" s="118"/>
      <c r="I606" s="118"/>
      <c r="J606" s="119"/>
      <c r="K606" s="153" t="s">
        <v>498</v>
      </c>
      <c r="L606" s="23"/>
      <c r="M606" s="22"/>
      <c r="N606" s="22"/>
      <c r="R606" s="14"/>
    </row>
    <row r="607" spans="1:18" s="7" customFormat="1">
      <c r="A607" s="108">
        <v>605</v>
      </c>
      <c r="B607" s="118" t="s">
        <v>754</v>
      </c>
      <c r="C607" s="118" t="s">
        <v>31</v>
      </c>
      <c r="D607" s="118" t="s">
        <v>753</v>
      </c>
      <c r="E607" s="120">
        <v>1</v>
      </c>
      <c r="F607" s="118" t="s">
        <v>34</v>
      </c>
      <c r="G607" s="118"/>
      <c r="H607" s="118"/>
      <c r="I607" s="118"/>
      <c r="J607" s="119"/>
      <c r="K607" s="153" t="s">
        <v>755</v>
      </c>
      <c r="L607" s="23"/>
      <c r="M607" s="22"/>
      <c r="N607" s="22"/>
      <c r="R607" s="14"/>
    </row>
    <row r="608" spans="1:18" s="7" customFormat="1">
      <c r="A608" s="117">
        <v>606</v>
      </c>
      <c r="B608" s="118" t="s">
        <v>756</v>
      </c>
      <c r="C608" s="118" t="s">
        <v>31</v>
      </c>
      <c r="D608" s="118" t="s">
        <v>757</v>
      </c>
      <c r="E608" s="137">
        <v>4</v>
      </c>
      <c r="F608" s="118" t="s">
        <v>34</v>
      </c>
      <c r="G608" s="118"/>
      <c r="H608" s="118"/>
      <c r="I608" s="118"/>
      <c r="J608" s="119"/>
      <c r="K608" s="153"/>
      <c r="L608" s="23"/>
      <c r="M608" s="22"/>
      <c r="N608" s="22"/>
      <c r="R608" s="14"/>
    </row>
    <row r="609" spans="1:18" s="7" customFormat="1">
      <c r="A609" s="108">
        <v>607</v>
      </c>
      <c r="B609" s="118" t="s">
        <v>758</v>
      </c>
      <c r="C609" s="118" t="s">
        <v>31</v>
      </c>
      <c r="D609" s="118" t="s">
        <v>757</v>
      </c>
      <c r="E609" s="137">
        <v>8</v>
      </c>
      <c r="F609" s="118" t="s">
        <v>34</v>
      </c>
      <c r="G609" s="118"/>
      <c r="H609" s="118"/>
      <c r="I609" s="118"/>
      <c r="J609" s="119"/>
      <c r="K609" s="153"/>
      <c r="L609" s="23"/>
      <c r="M609" s="22"/>
      <c r="N609" s="22"/>
      <c r="R609" s="14"/>
    </row>
    <row r="610" spans="1:18" s="7" customFormat="1">
      <c r="A610" s="117">
        <v>608</v>
      </c>
      <c r="B610" s="118" t="s">
        <v>759</v>
      </c>
      <c r="C610" s="118" t="s">
        <v>31</v>
      </c>
      <c r="D610" s="118" t="s">
        <v>757</v>
      </c>
      <c r="E610" s="124">
        <v>4</v>
      </c>
      <c r="F610" s="118" t="s">
        <v>34</v>
      </c>
      <c r="G610" s="118"/>
      <c r="H610" s="118"/>
      <c r="I610" s="118"/>
      <c r="J610" s="119"/>
      <c r="K610" s="153" t="s">
        <v>760</v>
      </c>
      <c r="L610" s="23"/>
      <c r="M610" s="22"/>
      <c r="N610" s="22"/>
      <c r="R610" s="14"/>
    </row>
    <row r="611" spans="1:18" s="7" customFormat="1">
      <c r="A611" s="108">
        <v>609</v>
      </c>
      <c r="B611" s="118" t="s">
        <v>761</v>
      </c>
      <c r="C611" s="118" t="s">
        <v>31</v>
      </c>
      <c r="D611" s="118" t="s">
        <v>757</v>
      </c>
      <c r="E611" s="124">
        <v>4</v>
      </c>
      <c r="F611" s="118" t="s">
        <v>34</v>
      </c>
      <c r="G611" s="118"/>
      <c r="H611" s="118"/>
      <c r="I611" s="118"/>
      <c r="J611" s="119"/>
      <c r="K611" s="153" t="s">
        <v>762</v>
      </c>
      <c r="L611" s="23"/>
      <c r="M611" s="22"/>
      <c r="N611" s="22"/>
      <c r="R611" s="14"/>
    </row>
    <row r="612" spans="1:18" s="7" customFormat="1">
      <c r="A612" s="117">
        <v>610</v>
      </c>
      <c r="B612" s="118" t="s">
        <v>763</v>
      </c>
      <c r="C612" s="118" t="s">
        <v>31</v>
      </c>
      <c r="D612" s="118" t="s">
        <v>757</v>
      </c>
      <c r="E612" s="137">
        <v>4</v>
      </c>
      <c r="F612" s="118" t="s">
        <v>34</v>
      </c>
      <c r="G612" s="118"/>
      <c r="H612" s="118"/>
      <c r="I612" s="118"/>
      <c r="J612" s="119"/>
      <c r="K612" s="153"/>
      <c r="L612" s="23"/>
      <c r="M612" s="22"/>
      <c r="N612" s="22"/>
      <c r="R612" s="14"/>
    </row>
    <row r="613" spans="1:18" s="7" customFormat="1">
      <c r="A613" s="108">
        <v>611</v>
      </c>
      <c r="B613" s="118" t="s">
        <v>1475</v>
      </c>
      <c r="C613" s="118" t="s">
        <v>31</v>
      </c>
      <c r="D613" s="118" t="s">
        <v>757</v>
      </c>
      <c r="E613" s="137">
        <v>10</v>
      </c>
      <c r="F613" s="118" t="s">
        <v>34</v>
      </c>
      <c r="G613" s="118"/>
      <c r="H613" s="118"/>
      <c r="I613" s="118"/>
      <c r="J613" s="119"/>
      <c r="K613" s="153"/>
      <c r="L613" s="23"/>
      <c r="M613" s="22"/>
      <c r="N613" s="22"/>
      <c r="R613" s="14"/>
    </row>
    <row r="614" spans="1:18" s="7" customFormat="1">
      <c r="A614" s="117">
        <v>612</v>
      </c>
      <c r="B614" s="118" t="s">
        <v>1476</v>
      </c>
      <c r="C614" s="118" t="s">
        <v>31</v>
      </c>
      <c r="D614" s="118" t="s">
        <v>757</v>
      </c>
      <c r="E614" s="124">
        <v>4</v>
      </c>
      <c r="F614" s="118" t="s">
        <v>34</v>
      </c>
      <c r="G614" s="118"/>
      <c r="H614" s="118"/>
      <c r="I614" s="118"/>
      <c r="J614" s="119"/>
      <c r="K614" s="153" t="s">
        <v>764</v>
      </c>
      <c r="L614" s="23"/>
      <c r="M614" s="22"/>
      <c r="N614" s="22"/>
      <c r="R614" s="14"/>
    </row>
    <row r="615" spans="1:18" s="7" customFormat="1">
      <c r="A615" s="108">
        <v>613</v>
      </c>
      <c r="B615" s="118" t="s">
        <v>765</v>
      </c>
      <c r="C615" s="118" t="s">
        <v>31</v>
      </c>
      <c r="D615" s="118" t="s">
        <v>757</v>
      </c>
      <c r="E615" s="137">
        <v>12</v>
      </c>
      <c r="F615" s="118" t="s">
        <v>34</v>
      </c>
      <c r="G615" s="118"/>
      <c r="H615" s="118"/>
      <c r="I615" s="118"/>
      <c r="J615" s="119"/>
      <c r="K615" s="153"/>
      <c r="L615" s="23"/>
      <c r="M615" s="22"/>
      <c r="N615" s="22"/>
      <c r="R615" s="14"/>
    </row>
    <row r="616" spans="1:18" s="7" customFormat="1">
      <c r="A616" s="117">
        <v>614</v>
      </c>
      <c r="B616" s="118" t="s">
        <v>766</v>
      </c>
      <c r="C616" s="118" t="s">
        <v>31</v>
      </c>
      <c r="D616" s="118" t="s">
        <v>757</v>
      </c>
      <c r="E616" s="120">
        <v>4</v>
      </c>
      <c r="F616" s="118" t="s">
        <v>34</v>
      </c>
      <c r="G616" s="118"/>
      <c r="H616" s="118"/>
      <c r="I616" s="118"/>
      <c r="J616" s="119"/>
      <c r="K616" s="153" t="s">
        <v>760</v>
      </c>
      <c r="L616" s="23"/>
      <c r="M616" s="22"/>
      <c r="N616" s="22"/>
      <c r="R616" s="14"/>
    </row>
    <row r="617" spans="1:18" s="7" customFormat="1">
      <c r="A617" s="108">
        <v>615</v>
      </c>
      <c r="B617" s="118" t="s">
        <v>767</v>
      </c>
      <c r="C617" s="118" t="s">
        <v>31</v>
      </c>
      <c r="D617" s="118" t="s">
        <v>757</v>
      </c>
      <c r="E617" s="124">
        <v>25</v>
      </c>
      <c r="F617" s="118" t="s">
        <v>34</v>
      </c>
      <c r="G617" s="118"/>
      <c r="H617" s="118"/>
      <c r="I617" s="118"/>
      <c r="J617" s="119"/>
      <c r="K617" s="153" t="s">
        <v>760</v>
      </c>
      <c r="L617" s="23"/>
      <c r="M617" s="22"/>
      <c r="N617" s="22"/>
      <c r="R617" s="14"/>
    </row>
    <row r="618" spans="1:18" s="7" customFormat="1">
      <c r="A618" s="117">
        <v>616</v>
      </c>
      <c r="B618" s="118" t="s">
        <v>768</v>
      </c>
      <c r="C618" s="118" t="s">
        <v>31</v>
      </c>
      <c r="D618" s="118" t="s">
        <v>757</v>
      </c>
      <c r="E618" s="137">
        <v>15</v>
      </c>
      <c r="F618" s="118" t="s">
        <v>34</v>
      </c>
      <c r="G618" s="118"/>
      <c r="H618" s="118"/>
      <c r="I618" s="118"/>
      <c r="J618" s="119"/>
      <c r="K618" s="118" t="s">
        <v>769</v>
      </c>
      <c r="L618" s="23"/>
      <c r="M618" s="22"/>
      <c r="N618" s="22"/>
      <c r="R618" s="14"/>
    </row>
    <row r="619" spans="1:18" s="7" customFormat="1">
      <c r="A619" s="108">
        <v>617</v>
      </c>
      <c r="B619" s="118" t="s">
        <v>1477</v>
      </c>
      <c r="C619" s="118" t="s">
        <v>31</v>
      </c>
      <c r="D619" s="118" t="s">
        <v>757</v>
      </c>
      <c r="E619" s="137">
        <v>8</v>
      </c>
      <c r="F619" s="118" t="s">
        <v>34</v>
      </c>
      <c r="G619" s="118"/>
      <c r="H619" s="118"/>
      <c r="I619" s="118"/>
      <c r="J619" s="119">
        <v>39943</v>
      </c>
      <c r="K619" s="118"/>
      <c r="L619" s="23"/>
      <c r="M619" s="22"/>
      <c r="N619" s="22"/>
      <c r="R619" s="14"/>
    </row>
    <row r="620" spans="1:18" s="7" customFormat="1">
      <c r="A620" s="117">
        <v>618</v>
      </c>
      <c r="B620" s="118" t="s">
        <v>770</v>
      </c>
      <c r="C620" s="118" t="s">
        <v>31</v>
      </c>
      <c r="D620" s="118" t="s">
        <v>757</v>
      </c>
      <c r="E620" s="137">
        <v>8</v>
      </c>
      <c r="F620" s="118" t="s">
        <v>34</v>
      </c>
      <c r="G620" s="118"/>
      <c r="H620" s="118"/>
      <c r="I620" s="118"/>
      <c r="J620" s="119"/>
      <c r="K620" s="118"/>
      <c r="L620" s="23"/>
      <c r="M620" s="22"/>
      <c r="N620" s="22"/>
      <c r="R620" s="14"/>
    </row>
    <row r="621" spans="1:18" s="7" customFormat="1">
      <c r="A621" s="108">
        <v>619</v>
      </c>
      <c r="B621" s="118" t="s">
        <v>771</v>
      </c>
      <c r="C621" s="118" t="s">
        <v>31</v>
      </c>
      <c r="D621" s="118" t="s">
        <v>757</v>
      </c>
      <c r="E621" s="137">
        <v>4</v>
      </c>
      <c r="F621" s="118" t="s">
        <v>34</v>
      </c>
      <c r="G621" s="118"/>
      <c r="H621" s="118"/>
      <c r="I621" s="118"/>
      <c r="J621" s="119"/>
      <c r="K621" s="118"/>
      <c r="L621" s="23"/>
      <c r="M621" s="22"/>
      <c r="N621" s="22"/>
      <c r="R621" s="14"/>
    </row>
    <row r="622" spans="1:18" s="7" customFormat="1">
      <c r="A622" s="117">
        <v>620</v>
      </c>
      <c r="B622" s="118" t="s">
        <v>772</v>
      </c>
      <c r="C622" s="118" t="s">
        <v>31</v>
      </c>
      <c r="D622" s="118" t="s">
        <v>757</v>
      </c>
      <c r="E622" s="137">
        <v>35</v>
      </c>
      <c r="F622" s="118" t="s">
        <v>34</v>
      </c>
      <c r="G622" s="118"/>
      <c r="H622" s="118"/>
      <c r="I622" s="118"/>
      <c r="J622" s="119"/>
      <c r="K622" s="118" t="s">
        <v>773</v>
      </c>
      <c r="L622" s="23"/>
      <c r="M622" s="22"/>
      <c r="N622" s="22"/>
      <c r="R622" s="14"/>
    </row>
    <row r="623" spans="1:18" s="7" customFormat="1">
      <c r="A623" s="108">
        <v>621</v>
      </c>
      <c r="B623" s="118" t="s">
        <v>774</v>
      </c>
      <c r="C623" s="118" t="s">
        <v>31</v>
      </c>
      <c r="D623" s="118" t="s">
        <v>775</v>
      </c>
      <c r="E623" s="126">
        <v>2.5</v>
      </c>
      <c r="F623" s="118" t="s">
        <v>205</v>
      </c>
      <c r="G623" s="118"/>
      <c r="H623" s="118"/>
      <c r="I623" s="118"/>
      <c r="J623" s="119">
        <v>39873</v>
      </c>
      <c r="K623" s="150" t="s">
        <v>776</v>
      </c>
      <c r="L623" s="23"/>
      <c r="M623" s="22"/>
      <c r="N623" s="22"/>
      <c r="R623" s="14"/>
    </row>
    <row r="624" spans="1:18" s="7" customFormat="1">
      <c r="A624" s="117">
        <v>622</v>
      </c>
      <c r="B624" s="118" t="s">
        <v>777</v>
      </c>
      <c r="C624" s="118" t="s">
        <v>31</v>
      </c>
      <c r="D624" s="118" t="s">
        <v>775</v>
      </c>
      <c r="E624" s="120">
        <v>10</v>
      </c>
      <c r="F624" s="118" t="s">
        <v>205</v>
      </c>
      <c r="G624" s="118"/>
      <c r="H624" s="118"/>
      <c r="I624" s="118"/>
      <c r="J624" s="119"/>
      <c r="K624" s="150"/>
    </row>
    <row r="625" spans="1:11" s="7" customFormat="1">
      <c r="A625" s="108">
        <v>623</v>
      </c>
      <c r="B625" s="118" t="s">
        <v>778</v>
      </c>
      <c r="C625" s="118" t="s">
        <v>31</v>
      </c>
      <c r="D625" s="118" t="s">
        <v>775</v>
      </c>
      <c r="E625" s="126">
        <v>100</v>
      </c>
      <c r="F625" s="118" t="s">
        <v>205</v>
      </c>
      <c r="G625" s="118"/>
      <c r="H625" s="118"/>
      <c r="I625" s="118"/>
      <c r="J625" s="119">
        <v>39873</v>
      </c>
      <c r="K625" s="150"/>
    </row>
    <row r="626" spans="1:11" s="7" customFormat="1">
      <c r="A626" s="117">
        <v>624</v>
      </c>
      <c r="B626" s="118" t="s">
        <v>779</v>
      </c>
      <c r="C626" s="118" t="s">
        <v>31</v>
      </c>
      <c r="D626" s="118" t="s">
        <v>775</v>
      </c>
      <c r="E626" s="126">
        <v>100</v>
      </c>
      <c r="F626" s="118" t="s">
        <v>205</v>
      </c>
      <c r="G626" s="118"/>
      <c r="H626" s="118"/>
      <c r="I626" s="118"/>
      <c r="J626" s="119">
        <v>39873</v>
      </c>
      <c r="K626" s="27"/>
    </row>
    <row r="627" spans="1:11" s="7" customFormat="1">
      <c r="A627" s="108">
        <v>625</v>
      </c>
      <c r="B627" s="118" t="s">
        <v>1478</v>
      </c>
      <c r="C627" s="118" t="s">
        <v>31</v>
      </c>
      <c r="D627" s="118" t="s">
        <v>12</v>
      </c>
      <c r="E627" s="126">
        <v>10</v>
      </c>
      <c r="F627" s="118" t="s">
        <v>34</v>
      </c>
      <c r="G627" s="118"/>
      <c r="H627" s="118"/>
      <c r="I627" s="118"/>
      <c r="J627" s="119">
        <v>40321</v>
      </c>
      <c r="K627" s="27"/>
    </row>
    <row r="628" spans="1:11" s="7" customFormat="1">
      <c r="A628" s="117">
        <v>626</v>
      </c>
      <c r="B628" s="118" t="s">
        <v>780</v>
      </c>
      <c r="C628" s="118" t="s">
        <v>31</v>
      </c>
      <c r="D628" s="118" t="s">
        <v>12</v>
      </c>
      <c r="E628" s="10">
        <v>50</v>
      </c>
      <c r="F628" s="118" t="s">
        <v>34</v>
      </c>
      <c r="G628" s="118"/>
      <c r="H628" s="118"/>
      <c r="I628" s="118"/>
      <c r="J628" s="119">
        <v>39866</v>
      </c>
      <c r="K628" s="27"/>
    </row>
    <row r="629" spans="1:11" s="7" customFormat="1">
      <c r="A629" s="108">
        <v>627</v>
      </c>
      <c r="B629" s="118" t="s">
        <v>781</v>
      </c>
      <c r="C629" s="118" t="s">
        <v>31</v>
      </c>
      <c r="D629" s="118" t="s">
        <v>12</v>
      </c>
      <c r="E629" s="143" t="s">
        <v>378</v>
      </c>
      <c r="F629" s="118" t="s">
        <v>441</v>
      </c>
      <c r="G629" s="118"/>
      <c r="H629" s="118">
        <v>0.05</v>
      </c>
      <c r="I629" s="118">
        <v>0.85</v>
      </c>
      <c r="J629" s="119">
        <v>39846</v>
      </c>
      <c r="K629" s="27"/>
    </row>
    <row r="630" spans="1:11" s="7" customFormat="1">
      <c r="A630" s="117">
        <v>628</v>
      </c>
      <c r="B630" s="118" t="s">
        <v>782</v>
      </c>
      <c r="C630" s="118" t="s">
        <v>31</v>
      </c>
      <c r="D630" s="148" t="s">
        <v>12</v>
      </c>
      <c r="E630" s="143" t="s">
        <v>378</v>
      </c>
      <c r="F630" s="118" t="s">
        <v>441</v>
      </c>
      <c r="G630" s="118"/>
      <c r="H630" s="118">
        <v>4.3999999999999997E-2</v>
      </c>
      <c r="I630" s="118">
        <v>-5.44</v>
      </c>
      <c r="J630" s="119">
        <v>39846</v>
      </c>
      <c r="K630" s="27"/>
    </row>
    <row r="631" spans="1:11" s="7" customFormat="1">
      <c r="A631" s="108">
        <v>629</v>
      </c>
      <c r="B631" s="118" t="s">
        <v>783</v>
      </c>
      <c r="C631" s="118" t="s">
        <v>31</v>
      </c>
      <c r="D631" s="118" t="s">
        <v>12</v>
      </c>
      <c r="E631" s="10">
        <v>50</v>
      </c>
      <c r="F631" s="118" t="s">
        <v>34</v>
      </c>
      <c r="G631" s="118"/>
      <c r="H631" s="118"/>
      <c r="I631" s="118"/>
      <c r="J631" s="119">
        <v>39866</v>
      </c>
      <c r="K631" s="27"/>
    </row>
    <row r="632" spans="1:11" s="7" customFormat="1">
      <c r="A632" s="117">
        <v>630</v>
      </c>
      <c r="B632" s="118" t="s">
        <v>784</v>
      </c>
      <c r="C632" s="118" t="s">
        <v>31</v>
      </c>
      <c r="D632" s="118" t="s">
        <v>12</v>
      </c>
      <c r="E632" s="143" t="s">
        <v>378</v>
      </c>
      <c r="F632" s="118" t="s">
        <v>441</v>
      </c>
      <c r="G632" s="118"/>
      <c r="H632" s="118">
        <v>0.05</v>
      </c>
      <c r="I632" s="118">
        <v>0.85</v>
      </c>
      <c r="J632" s="119">
        <v>39846</v>
      </c>
      <c r="K632" s="27"/>
    </row>
    <row r="633" spans="1:11" s="7" customFormat="1">
      <c r="A633" s="108">
        <v>631</v>
      </c>
      <c r="B633" s="118" t="s">
        <v>785</v>
      </c>
      <c r="C633" s="118" t="s">
        <v>31</v>
      </c>
      <c r="D633" s="118" t="s">
        <v>12</v>
      </c>
      <c r="E633" s="143" t="s">
        <v>378</v>
      </c>
      <c r="F633" s="118" t="s">
        <v>441</v>
      </c>
      <c r="G633" s="118"/>
      <c r="H633" s="118">
        <v>4.3999999999999997E-2</v>
      </c>
      <c r="I633" s="118">
        <v>-5.44</v>
      </c>
      <c r="J633" s="119">
        <v>39846</v>
      </c>
      <c r="K633" s="27"/>
    </row>
    <row r="634" spans="1:11" s="7" customFormat="1">
      <c r="A634" s="117">
        <v>632</v>
      </c>
      <c r="B634" s="118" t="s">
        <v>786</v>
      </c>
      <c r="C634" s="118" t="s">
        <v>31</v>
      </c>
      <c r="D634" s="118" t="s">
        <v>12</v>
      </c>
      <c r="E634" s="10">
        <v>25</v>
      </c>
      <c r="F634" s="118" t="s">
        <v>34</v>
      </c>
      <c r="G634" s="118"/>
      <c r="H634" s="118"/>
      <c r="I634" s="118"/>
      <c r="J634" s="119">
        <v>39866</v>
      </c>
      <c r="K634" s="27"/>
    </row>
    <row r="635" spans="1:11" s="7" customFormat="1">
      <c r="A635" s="108">
        <v>633</v>
      </c>
      <c r="B635" s="8" t="s">
        <v>787</v>
      </c>
      <c r="C635" s="8" t="s">
        <v>31</v>
      </c>
      <c r="D635" s="8" t="s">
        <v>12</v>
      </c>
      <c r="E635" s="138">
        <v>20</v>
      </c>
      <c r="F635" s="8" t="s">
        <v>34</v>
      </c>
      <c r="G635" s="8"/>
      <c r="H635" s="8"/>
      <c r="I635" s="8"/>
      <c r="J635" s="9">
        <v>39866</v>
      </c>
      <c r="K635" s="99"/>
    </row>
    <row r="636" spans="1:11" s="7" customFormat="1">
      <c r="A636" s="117">
        <v>634</v>
      </c>
      <c r="B636" s="8" t="s">
        <v>788</v>
      </c>
      <c r="C636" s="8" t="s">
        <v>31</v>
      </c>
      <c r="D636" s="8" t="s">
        <v>12</v>
      </c>
      <c r="E636" s="138">
        <v>25</v>
      </c>
      <c r="F636" s="8" t="s">
        <v>34</v>
      </c>
      <c r="G636" s="8"/>
      <c r="H636" s="8"/>
      <c r="I636" s="8"/>
      <c r="J636" s="9">
        <v>39866</v>
      </c>
      <c r="K636" s="99" t="s">
        <v>789</v>
      </c>
    </row>
    <row r="637" spans="1:11" s="7" customFormat="1">
      <c r="A637" s="108">
        <v>635</v>
      </c>
      <c r="B637" s="8" t="s">
        <v>1479</v>
      </c>
      <c r="C637" s="8" t="s">
        <v>31</v>
      </c>
      <c r="D637" s="8" t="s">
        <v>12</v>
      </c>
      <c r="E637" s="138">
        <v>20</v>
      </c>
      <c r="F637" s="8" t="s">
        <v>34</v>
      </c>
      <c r="G637" s="8"/>
      <c r="H637" s="8"/>
      <c r="I637" s="8"/>
      <c r="J637" s="9">
        <v>40321</v>
      </c>
      <c r="K637" s="99" t="s">
        <v>1480</v>
      </c>
    </row>
    <row r="638" spans="1:11" s="7" customFormat="1">
      <c r="A638" s="117">
        <v>636</v>
      </c>
      <c r="B638" s="8" t="s">
        <v>1481</v>
      </c>
      <c r="C638" s="8" t="s">
        <v>1354</v>
      </c>
      <c r="D638" s="8" t="s">
        <v>12</v>
      </c>
      <c r="E638" s="138">
        <v>25</v>
      </c>
      <c r="F638" s="8" t="s">
        <v>34</v>
      </c>
      <c r="G638" s="8"/>
      <c r="H638" s="8"/>
      <c r="I638" s="8"/>
      <c r="J638" s="9">
        <v>40247</v>
      </c>
      <c r="K638" s="99"/>
    </row>
    <row r="639" spans="1:11" s="7" customFormat="1">
      <c r="A639" s="108">
        <v>637</v>
      </c>
      <c r="B639" s="8" t="s">
        <v>1482</v>
      </c>
      <c r="C639" s="8" t="s">
        <v>1483</v>
      </c>
      <c r="D639" s="8" t="s">
        <v>12</v>
      </c>
      <c r="E639" s="138">
        <v>446</v>
      </c>
      <c r="F639" s="8" t="s">
        <v>34</v>
      </c>
      <c r="G639" s="8"/>
      <c r="H639" s="8"/>
      <c r="I639" s="8"/>
      <c r="J639" s="9">
        <v>40238</v>
      </c>
      <c r="K639" s="99"/>
    </row>
    <row r="640" spans="1:11" s="7" customFormat="1">
      <c r="A640" s="117">
        <v>638</v>
      </c>
      <c r="B640" s="8" t="s">
        <v>1484</v>
      </c>
      <c r="C640" s="8" t="s">
        <v>1483</v>
      </c>
      <c r="D640" s="8" t="s">
        <v>12</v>
      </c>
      <c r="E640" s="138">
        <v>370</v>
      </c>
      <c r="F640" s="8" t="s">
        <v>34</v>
      </c>
      <c r="G640" s="8"/>
      <c r="H640" s="8"/>
      <c r="I640" s="8"/>
      <c r="J640" s="9">
        <v>40238</v>
      </c>
      <c r="K640" s="99"/>
    </row>
    <row r="641" spans="1:11" s="7" customFormat="1">
      <c r="A641" s="108">
        <v>639</v>
      </c>
      <c r="B641" s="8" t="s">
        <v>790</v>
      </c>
      <c r="C641" s="8" t="s">
        <v>791</v>
      </c>
      <c r="D641" s="8" t="s">
        <v>12</v>
      </c>
      <c r="E641" s="138">
        <v>590</v>
      </c>
      <c r="F641" s="8" t="s">
        <v>34</v>
      </c>
      <c r="G641" s="8"/>
      <c r="H641" s="8"/>
      <c r="I641" s="8"/>
      <c r="J641" s="9">
        <v>39873</v>
      </c>
      <c r="K641" s="99"/>
    </row>
    <row r="642" spans="1:11" s="7" customFormat="1">
      <c r="A642" s="117">
        <v>640</v>
      </c>
      <c r="B642" s="8" t="s">
        <v>792</v>
      </c>
      <c r="C642" s="8" t="s">
        <v>793</v>
      </c>
      <c r="D642" s="8" t="s">
        <v>12</v>
      </c>
      <c r="E642" s="138">
        <v>360</v>
      </c>
      <c r="F642" s="8" t="s">
        <v>34</v>
      </c>
      <c r="G642" s="8"/>
      <c r="H642" s="8"/>
      <c r="I642" s="8"/>
      <c r="J642" s="9">
        <v>39873</v>
      </c>
      <c r="K642" s="99"/>
    </row>
    <row r="643" spans="1:11" s="7" customFormat="1">
      <c r="A643" s="108">
        <v>641</v>
      </c>
      <c r="B643" s="8" t="s">
        <v>794</v>
      </c>
      <c r="C643" s="8" t="s">
        <v>795</v>
      </c>
      <c r="D643" s="8" t="s">
        <v>12</v>
      </c>
      <c r="E643" s="138">
        <v>375</v>
      </c>
      <c r="F643" s="8" t="s">
        <v>34</v>
      </c>
      <c r="G643" s="8"/>
      <c r="H643" s="8"/>
      <c r="I643" s="8"/>
      <c r="J643" s="9">
        <v>39873</v>
      </c>
      <c r="K643" s="99"/>
    </row>
    <row r="644" spans="1:11" s="7" customFormat="1">
      <c r="A644" s="117">
        <v>642</v>
      </c>
      <c r="B644" s="8" t="s">
        <v>796</v>
      </c>
      <c r="C644" s="8" t="s">
        <v>797</v>
      </c>
      <c r="D644" s="8" t="s">
        <v>12</v>
      </c>
      <c r="E644" s="138">
        <v>400</v>
      </c>
      <c r="F644" s="8" t="s">
        <v>798</v>
      </c>
      <c r="G644" s="8"/>
      <c r="H644" s="8"/>
      <c r="I644" s="8"/>
      <c r="J644" s="9"/>
      <c r="K644" s="99" t="s">
        <v>799</v>
      </c>
    </row>
    <row r="645" spans="1:11" s="7" customFormat="1">
      <c r="A645" s="108">
        <v>643</v>
      </c>
      <c r="B645" s="8" t="s">
        <v>800</v>
      </c>
      <c r="C645" s="8" t="s">
        <v>31</v>
      </c>
      <c r="D645" s="8" t="s">
        <v>13</v>
      </c>
      <c r="E645" s="138">
        <v>1</v>
      </c>
      <c r="F645" s="8" t="s">
        <v>34</v>
      </c>
      <c r="G645" s="8"/>
      <c r="H645" s="8"/>
      <c r="I645" s="8"/>
      <c r="J645" s="9"/>
      <c r="K645" s="99" t="s">
        <v>801</v>
      </c>
    </row>
    <row r="646" spans="1:11" s="7" customFormat="1">
      <c r="A646" s="117">
        <v>644</v>
      </c>
      <c r="B646" s="8" t="s">
        <v>802</v>
      </c>
      <c r="C646" s="8" t="s">
        <v>31</v>
      </c>
      <c r="D646" s="8" t="s">
        <v>13</v>
      </c>
      <c r="E646" s="138">
        <v>1</v>
      </c>
      <c r="F646" s="8" t="s">
        <v>34</v>
      </c>
      <c r="G646" s="8"/>
      <c r="H646" s="8"/>
      <c r="I646" s="8"/>
      <c r="J646" s="9"/>
      <c r="K646" s="99" t="s">
        <v>801</v>
      </c>
    </row>
    <row r="647" spans="1:11" s="7" customFormat="1">
      <c r="A647" s="108">
        <v>645</v>
      </c>
      <c r="B647" s="8" t="s">
        <v>803</v>
      </c>
      <c r="C647" s="8"/>
      <c r="D647" s="8" t="s">
        <v>13</v>
      </c>
      <c r="E647" s="138">
        <v>1</v>
      </c>
      <c r="F647" s="8" t="s">
        <v>34</v>
      </c>
      <c r="G647" s="8"/>
      <c r="H647" s="8"/>
      <c r="I647" s="8"/>
      <c r="J647" s="9">
        <v>39889</v>
      </c>
      <c r="K647" s="99" t="s">
        <v>801</v>
      </c>
    </row>
    <row r="648" spans="1:11" s="7" customFormat="1">
      <c r="A648" s="117">
        <v>646</v>
      </c>
      <c r="B648" s="8" t="s">
        <v>804</v>
      </c>
      <c r="C648" s="8" t="s">
        <v>31</v>
      </c>
      <c r="D648" s="8" t="s">
        <v>13</v>
      </c>
      <c r="E648" s="138">
        <v>25</v>
      </c>
      <c r="F648" s="8" t="s">
        <v>34</v>
      </c>
      <c r="G648" s="8"/>
      <c r="H648" s="8"/>
      <c r="I648" s="8"/>
      <c r="J648" s="9"/>
      <c r="K648" s="99" t="s">
        <v>805</v>
      </c>
    </row>
    <row r="649" spans="1:11" s="7" customFormat="1">
      <c r="A649" s="108">
        <v>647</v>
      </c>
      <c r="B649" s="8" t="s">
        <v>806</v>
      </c>
      <c r="C649" s="8" t="s">
        <v>31</v>
      </c>
      <c r="D649" s="8" t="s">
        <v>13</v>
      </c>
      <c r="E649" s="138">
        <v>110</v>
      </c>
      <c r="F649" s="8" t="s">
        <v>34</v>
      </c>
      <c r="G649" s="8"/>
      <c r="H649" s="8"/>
      <c r="I649" s="8"/>
      <c r="J649" s="9"/>
      <c r="K649" s="99" t="s">
        <v>807</v>
      </c>
    </row>
    <row r="650" spans="1:11" s="7" customFormat="1">
      <c r="A650" s="117">
        <v>648</v>
      </c>
      <c r="B650" s="8" t="s">
        <v>808</v>
      </c>
      <c r="C650" s="8" t="s">
        <v>31</v>
      </c>
      <c r="D650" s="8" t="s">
        <v>809</v>
      </c>
      <c r="E650" s="138">
        <v>20</v>
      </c>
      <c r="F650" s="8" t="s">
        <v>34</v>
      </c>
      <c r="G650" s="8"/>
      <c r="H650" s="8"/>
      <c r="I650" s="8"/>
      <c r="J650" s="9"/>
      <c r="K650" s="99"/>
    </row>
    <row r="651" spans="1:11" s="7" customFormat="1">
      <c r="A651" s="108">
        <v>649</v>
      </c>
      <c r="B651" s="8" t="s">
        <v>810</v>
      </c>
      <c r="C651" s="8" t="s">
        <v>31</v>
      </c>
      <c r="D651" s="8" t="s">
        <v>809</v>
      </c>
      <c r="E651" s="138">
        <v>0</v>
      </c>
      <c r="F651" s="8" t="s">
        <v>34</v>
      </c>
      <c r="G651" s="8"/>
      <c r="H651" s="8"/>
      <c r="I651" s="8"/>
      <c r="J651" s="9"/>
      <c r="K651" s="99" t="s">
        <v>158</v>
      </c>
    </row>
    <row r="652" spans="1:11" s="7" customFormat="1">
      <c r="A652" s="117">
        <v>650</v>
      </c>
      <c r="B652" s="8" t="s">
        <v>811</v>
      </c>
      <c r="C652" s="8" t="s">
        <v>31</v>
      </c>
      <c r="D652" s="8" t="s">
        <v>809</v>
      </c>
      <c r="E652" s="138">
        <v>0</v>
      </c>
      <c r="F652" s="8" t="s">
        <v>34</v>
      </c>
      <c r="G652" s="8"/>
      <c r="H652" s="8"/>
      <c r="I652" s="8"/>
      <c r="J652" s="9"/>
      <c r="K652" s="99" t="s">
        <v>158</v>
      </c>
    </row>
    <row r="653" spans="1:11" s="7" customFormat="1">
      <c r="A653" s="108">
        <v>651</v>
      </c>
      <c r="B653" s="8" t="s">
        <v>812</v>
      </c>
      <c r="C653" s="8" t="s">
        <v>31</v>
      </c>
      <c r="D653" s="8" t="s">
        <v>809</v>
      </c>
      <c r="E653" s="138">
        <v>0</v>
      </c>
      <c r="F653" s="8" t="s">
        <v>34</v>
      </c>
      <c r="G653" s="8"/>
      <c r="H653" s="8"/>
      <c r="I653" s="8"/>
      <c r="J653" s="9"/>
      <c r="K653" s="99" t="s">
        <v>158</v>
      </c>
    </row>
    <row r="654" spans="1:11" s="7" customFormat="1">
      <c r="A654" s="117">
        <v>652</v>
      </c>
      <c r="B654" s="8" t="s">
        <v>813</v>
      </c>
      <c r="C654" s="8" t="s">
        <v>31</v>
      </c>
      <c r="D654" s="8" t="s">
        <v>809</v>
      </c>
      <c r="E654" s="138">
        <v>0</v>
      </c>
      <c r="F654" s="8" t="s">
        <v>34</v>
      </c>
      <c r="G654" s="8"/>
      <c r="H654" s="8"/>
      <c r="I654" s="8"/>
      <c r="J654" s="9"/>
      <c r="K654" s="99" t="s">
        <v>158</v>
      </c>
    </row>
    <row r="655" spans="1:11" s="7" customFormat="1">
      <c r="A655" s="108">
        <v>653</v>
      </c>
      <c r="B655" s="8" t="s">
        <v>814</v>
      </c>
      <c r="C655" s="8" t="s">
        <v>31</v>
      </c>
      <c r="D655" s="8" t="s">
        <v>809</v>
      </c>
      <c r="E655" s="138">
        <v>0</v>
      </c>
      <c r="F655" s="8" t="s">
        <v>34</v>
      </c>
      <c r="G655" s="8"/>
      <c r="H655" s="8"/>
      <c r="I655" s="8"/>
      <c r="J655" s="9"/>
      <c r="K655" s="99" t="s">
        <v>158</v>
      </c>
    </row>
    <row r="656" spans="1:11" s="7" customFormat="1">
      <c r="A656" s="117">
        <v>654</v>
      </c>
      <c r="B656" s="8" t="s">
        <v>1485</v>
      </c>
      <c r="C656" s="8" t="s">
        <v>31</v>
      </c>
      <c r="D656" s="8" t="s">
        <v>2</v>
      </c>
      <c r="E656" s="138">
        <v>0</v>
      </c>
      <c r="F656" s="8" t="s">
        <v>34</v>
      </c>
      <c r="G656" s="8"/>
      <c r="H656" s="8"/>
      <c r="I656" s="8"/>
      <c r="J656" s="9">
        <v>40263</v>
      </c>
      <c r="K656" s="99" t="s">
        <v>158</v>
      </c>
    </row>
    <row r="657" spans="1:11" s="7" customFormat="1">
      <c r="A657" s="108">
        <v>655</v>
      </c>
      <c r="B657" s="8" t="s">
        <v>1486</v>
      </c>
      <c r="C657" s="8" t="s">
        <v>31</v>
      </c>
      <c r="D657" s="8" t="s">
        <v>2</v>
      </c>
      <c r="E657" s="138">
        <v>0</v>
      </c>
      <c r="F657" s="8" t="s">
        <v>34</v>
      </c>
      <c r="G657" s="8"/>
      <c r="H657" s="8"/>
      <c r="I657" s="8"/>
      <c r="J657" s="9">
        <v>40263</v>
      </c>
      <c r="K657" s="99" t="s">
        <v>158</v>
      </c>
    </row>
    <row r="658" spans="1:11" s="7" customFormat="1">
      <c r="A658" s="117">
        <v>656</v>
      </c>
      <c r="B658" s="8" t="s">
        <v>815</v>
      </c>
      <c r="C658" s="8" t="s">
        <v>816</v>
      </c>
      <c r="D658" s="8" t="s">
        <v>817</v>
      </c>
      <c r="E658" s="138">
        <v>100</v>
      </c>
      <c r="F658" s="8" t="s">
        <v>34</v>
      </c>
      <c r="G658" s="8"/>
      <c r="H658" s="8"/>
      <c r="I658" s="8"/>
      <c r="J658" s="9"/>
      <c r="K658" s="99"/>
    </row>
    <row r="659" spans="1:11" s="7" customFormat="1">
      <c r="A659" s="108">
        <v>657</v>
      </c>
      <c r="B659" s="8" t="s">
        <v>818</v>
      </c>
      <c r="C659" s="8" t="s">
        <v>816</v>
      </c>
      <c r="D659" s="8" t="s">
        <v>817</v>
      </c>
      <c r="E659" s="138">
        <v>100</v>
      </c>
      <c r="F659" s="8" t="s">
        <v>34</v>
      </c>
      <c r="G659" s="8"/>
      <c r="H659" s="8"/>
      <c r="I659" s="8"/>
      <c r="J659" s="9"/>
      <c r="K659" s="99"/>
    </row>
    <row r="660" spans="1:11" s="7" customFormat="1">
      <c r="A660" s="117">
        <v>658</v>
      </c>
      <c r="B660" s="8" t="s">
        <v>819</v>
      </c>
      <c r="C660" s="8" t="s">
        <v>816</v>
      </c>
      <c r="D660" s="8" t="s">
        <v>817</v>
      </c>
      <c r="E660" s="138">
        <v>100</v>
      </c>
      <c r="F660" s="8" t="s">
        <v>34</v>
      </c>
      <c r="G660" s="8"/>
      <c r="H660" s="8"/>
      <c r="I660" s="8"/>
      <c r="J660" s="9"/>
      <c r="K660" s="99"/>
    </row>
    <row r="661" spans="1:11" s="7" customFormat="1">
      <c r="A661" s="108">
        <v>659</v>
      </c>
      <c r="B661" s="8" t="s">
        <v>820</v>
      </c>
      <c r="C661" s="8" t="s">
        <v>821</v>
      </c>
      <c r="D661" s="8" t="s">
        <v>817</v>
      </c>
      <c r="E661" s="138">
        <v>100</v>
      </c>
      <c r="F661" s="8" t="s">
        <v>34</v>
      </c>
      <c r="G661" s="8"/>
      <c r="H661" s="8"/>
      <c r="I661" s="8"/>
      <c r="J661" s="9"/>
      <c r="K661" s="99"/>
    </row>
    <row r="662" spans="1:11" s="7" customFormat="1">
      <c r="A662" s="117">
        <v>660</v>
      </c>
      <c r="B662" s="8" t="s">
        <v>1487</v>
      </c>
      <c r="C662" s="8" t="s">
        <v>1488</v>
      </c>
      <c r="D662" s="8" t="s">
        <v>817</v>
      </c>
      <c r="E662" s="138">
        <v>87</v>
      </c>
      <c r="F662" s="8" t="s">
        <v>34</v>
      </c>
      <c r="G662" s="8"/>
      <c r="H662" s="8"/>
      <c r="I662" s="8"/>
      <c r="J662" s="9">
        <v>39939</v>
      </c>
      <c r="K662" s="99"/>
    </row>
    <row r="663" spans="1:11" s="7" customFormat="1">
      <c r="A663" s="108">
        <v>661</v>
      </c>
      <c r="B663" s="8" t="s">
        <v>822</v>
      </c>
      <c r="C663" s="8" t="s">
        <v>823</v>
      </c>
      <c r="D663" s="8" t="s">
        <v>817</v>
      </c>
      <c r="E663" s="138">
        <v>100</v>
      </c>
      <c r="F663" s="8" t="s">
        <v>34</v>
      </c>
      <c r="G663" s="8"/>
      <c r="H663" s="8"/>
      <c r="I663" s="8"/>
      <c r="J663" s="9">
        <v>39866</v>
      </c>
      <c r="K663" s="99"/>
    </row>
    <row r="664" spans="1:11" s="7" customFormat="1">
      <c r="A664" s="117">
        <v>662</v>
      </c>
      <c r="B664" s="8" t="s">
        <v>824</v>
      </c>
      <c r="C664" s="8" t="s">
        <v>823</v>
      </c>
      <c r="D664" s="8" t="s">
        <v>817</v>
      </c>
      <c r="E664" s="138">
        <v>100</v>
      </c>
      <c r="F664" s="8" t="s">
        <v>34</v>
      </c>
      <c r="G664" s="8"/>
      <c r="H664" s="8"/>
      <c r="I664" s="8"/>
      <c r="J664" s="9"/>
      <c r="K664" s="99"/>
    </row>
    <row r="665" spans="1:11" s="7" customFormat="1">
      <c r="A665" s="108">
        <v>663</v>
      </c>
      <c r="B665" s="8" t="s">
        <v>825</v>
      </c>
      <c r="C665" s="8" t="s">
        <v>823</v>
      </c>
      <c r="D665" s="8" t="s">
        <v>817</v>
      </c>
      <c r="E665" s="138">
        <v>100</v>
      </c>
      <c r="F665" s="8" t="s">
        <v>34</v>
      </c>
      <c r="G665" s="8"/>
      <c r="H665" s="8"/>
      <c r="I665" s="8"/>
      <c r="J665" s="9"/>
      <c r="K665" s="99"/>
    </row>
    <row r="666" spans="1:11" s="7" customFormat="1">
      <c r="A666" s="117">
        <v>664</v>
      </c>
      <c r="B666" s="8" t="s">
        <v>826</v>
      </c>
      <c r="C666" s="8" t="s">
        <v>827</v>
      </c>
      <c r="D666" s="8" t="s">
        <v>817</v>
      </c>
      <c r="E666" s="138">
        <v>85</v>
      </c>
      <c r="F666" s="8" t="s">
        <v>34</v>
      </c>
      <c r="G666" s="8"/>
      <c r="H666" s="8"/>
      <c r="I666" s="8"/>
      <c r="J666" s="9">
        <v>39901</v>
      </c>
      <c r="K666" s="99"/>
    </row>
    <row r="667" spans="1:11" s="7" customFormat="1">
      <c r="A667" s="108">
        <v>665</v>
      </c>
      <c r="B667" s="8" t="s">
        <v>828</v>
      </c>
      <c r="C667" s="8" t="s">
        <v>827</v>
      </c>
      <c r="D667" s="8" t="s">
        <v>817</v>
      </c>
      <c r="E667" s="138">
        <v>85</v>
      </c>
      <c r="F667" s="8" t="s">
        <v>34</v>
      </c>
      <c r="G667" s="8"/>
      <c r="H667" s="8"/>
      <c r="I667" s="8"/>
      <c r="J667" s="9"/>
      <c r="K667" s="99"/>
    </row>
    <row r="668" spans="1:11" s="7" customFormat="1">
      <c r="A668" s="117">
        <v>666</v>
      </c>
      <c r="B668" s="8" t="s">
        <v>829</v>
      </c>
      <c r="C668" s="8" t="s">
        <v>827</v>
      </c>
      <c r="D668" s="8" t="s">
        <v>817</v>
      </c>
      <c r="E668" s="138">
        <v>85</v>
      </c>
      <c r="F668" s="8" t="s">
        <v>34</v>
      </c>
      <c r="G668" s="8"/>
      <c r="H668" s="8"/>
      <c r="I668" s="8"/>
      <c r="J668" s="9"/>
      <c r="K668" s="99"/>
    </row>
    <row r="669" spans="1:11" s="7" customFormat="1">
      <c r="A669" s="108">
        <v>667</v>
      </c>
      <c r="B669" s="8" t="s">
        <v>830</v>
      </c>
      <c r="C669" s="8" t="s">
        <v>827</v>
      </c>
      <c r="D669" s="8" t="s">
        <v>817</v>
      </c>
      <c r="E669" s="138">
        <v>85</v>
      </c>
      <c r="F669" s="8" t="s">
        <v>34</v>
      </c>
      <c r="G669" s="8"/>
      <c r="H669" s="8"/>
      <c r="I669" s="8"/>
      <c r="J669" s="9"/>
      <c r="K669" s="99"/>
    </row>
    <row r="670" spans="1:11" s="7" customFormat="1">
      <c r="A670" s="117">
        <v>668</v>
      </c>
      <c r="B670" s="8" t="s">
        <v>831</v>
      </c>
      <c r="C670" s="8" t="s">
        <v>827</v>
      </c>
      <c r="D670" s="8" t="s">
        <v>817</v>
      </c>
      <c r="E670" s="138">
        <v>85</v>
      </c>
      <c r="F670" s="8" t="s">
        <v>34</v>
      </c>
      <c r="G670" s="8"/>
      <c r="H670" s="8"/>
      <c r="I670" s="8"/>
      <c r="J670" s="9"/>
      <c r="K670" s="99"/>
    </row>
    <row r="671" spans="1:11" s="7" customFormat="1">
      <c r="A671" s="108">
        <v>669</v>
      </c>
      <c r="B671" s="8" t="s">
        <v>832</v>
      </c>
      <c r="C671" s="8" t="s">
        <v>827</v>
      </c>
      <c r="D671" s="8" t="s">
        <v>817</v>
      </c>
      <c r="E671" s="138">
        <v>85</v>
      </c>
      <c r="F671" s="8" t="s">
        <v>34</v>
      </c>
      <c r="G671" s="8"/>
      <c r="H671" s="8"/>
      <c r="I671" s="8"/>
      <c r="J671" s="9"/>
      <c r="K671" s="99"/>
    </row>
    <row r="672" spans="1:11" s="7" customFormat="1">
      <c r="A672" s="117">
        <v>670</v>
      </c>
      <c r="B672" s="8" t="s">
        <v>833</v>
      </c>
      <c r="C672" s="8" t="s">
        <v>827</v>
      </c>
      <c r="D672" s="8" t="s">
        <v>817</v>
      </c>
      <c r="E672" s="138">
        <v>85</v>
      </c>
      <c r="F672" s="8" t="s">
        <v>34</v>
      </c>
      <c r="G672" s="8"/>
      <c r="H672" s="8"/>
      <c r="I672" s="8"/>
      <c r="J672" s="9"/>
      <c r="K672" s="99"/>
    </row>
    <row r="673" spans="1:11" s="7" customFormat="1">
      <c r="A673" s="108">
        <v>671</v>
      </c>
      <c r="B673" s="8" t="s">
        <v>834</v>
      </c>
      <c r="C673" s="8" t="s">
        <v>827</v>
      </c>
      <c r="D673" s="8" t="s">
        <v>817</v>
      </c>
      <c r="E673" s="138">
        <v>85</v>
      </c>
      <c r="F673" s="8" t="s">
        <v>34</v>
      </c>
      <c r="G673" s="8"/>
      <c r="H673" s="8"/>
      <c r="I673" s="8"/>
      <c r="J673" s="9">
        <v>39866</v>
      </c>
      <c r="K673" s="99"/>
    </row>
    <row r="674" spans="1:11" s="7" customFormat="1">
      <c r="A674" s="117">
        <v>672</v>
      </c>
      <c r="B674" s="8" t="s">
        <v>835</v>
      </c>
      <c r="C674" s="8" t="s">
        <v>827</v>
      </c>
      <c r="D674" s="8" t="s">
        <v>817</v>
      </c>
      <c r="E674" s="138">
        <v>85</v>
      </c>
      <c r="F674" s="8" t="s">
        <v>34</v>
      </c>
      <c r="G674" s="8"/>
      <c r="H674" s="8"/>
      <c r="I674" s="8"/>
      <c r="J674" s="9">
        <v>39866</v>
      </c>
      <c r="K674" s="99"/>
    </row>
    <row r="675" spans="1:11" s="7" customFormat="1">
      <c r="A675" s="108">
        <v>673</v>
      </c>
      <c r="B675" s="8" t="s">
        <v>836</v>
      </c>
      <c r="C675" s="8" t="s">
        <v>827</v>
      </c>
      <c r="D675" s="8" t="s">
        <v>817</v>
      </c>
      <c r="E675" s="138">
        <v>85</v>
      </c>
      <c r="F675" s="8" t="s">
        <v>34</v>
      </c>
      <c r="G675" s="8"/>
      <c r="H675" s="8"/>
      <c r="I675" s="8"/>
      <c r="J675" s="9"/>
      <c r="K675" s="99"/>
    </row>
    <row r="676" spans="1:11" s="7" customFormat="1">
      <c r="A676" s="117">
        <v>674</v>
      </c>
      <c r="B676" s="8" t="s">
        <v>837</v>
      </c>
      <c r="C676" s="8" t="s">
        <v>827</v>
      </c>
      <c r="D676" s="8" t="s">
        <v>817</v>
      </c>
      <c r="E676" s="138">
        <v>85</v>
      </c>
      <c r="F676" s="8" t="s">
        <v>34</v>
      </c>
      <c r="G676" s="8"/>
      <c r="H676" s="8"/>
      <c r="I676" s="8"/>
      <c r="J676" s="9"/>
      <c r="K676" s="99"/>
    </row>
    <row r="677" spans="1:11" s="7" customFormat="1">
      <c r="A677" s="108">
        <v>675</v>
      </c>
      <c r="B677" s="8" t="s">
        <v>838</v>
      </c>
      <c r="C677" s="8" t="s">
        <v>827</v>
      </c>
      <c r="D677" s="8" t="s">
        <v>817</v>
      </c>
      <c r="E677" s="138">
        <v>80</v>
      </c>
      <c r="F677" s="8" t="s">
        <v>34</v>
      </c>
      <c r="G677" s="8"/>
      <c r="H677" s="8"/>
      <c r="I677" s="8"/>
      <c r="J677" s="9"/>
      <c r="K677" s="99"/>
    </row>
    <row r="678" spans="1:11" s="7" customFormat="1">
      <c r="A678" s="117">
        <v>676</v>
      </c>
      <c r="B678" s="8" t="s">
        <v>839</v>
      </c>
      <c r="C678" s="8" t="s">
        <v>827</v>
      </c>
      <c r="D678" s="8" t="s">
        <v>817</v>
      </c>
      <c r="E678" s="138">
        <v>100</v>
      </c>
      <c r="F678" s="8" t="s">
        <v>34</v>
      </c>
      <c r="G678" s="8"/>
      <c r="H678" s="8"/>
      <c r="I678" s="8"/>
      <c r="J678" s="9"/>
      <c r="K678" s="99"/>
    </row>
    <row r="679" spans="1:11" s="7" customFormat="1">
      <c r="A679" s="108">
        <v>677</v>
      </c>
      <c r="B679" s="8" t="s">
        <v>840</v>
      </c>
      <c r="C679" s="8" t="s">
        <v>827</v>
      </c>
      <c r="D679" s="8" t="s">
        <v>817</v>
      </c>
      <c r="E679" s="138">
        <v>100</v>
      </c>
      <c r="F679" s="8" t="s">
        <v>34</v>
      </c>
      <c r="G679" s="8"/>
      <c r="H679" s="8"/>
      <c r="I679" s="8"/>
      <c r="J679" s="9"/>
      <c r="K679" s="99"/>
    </row>
    <row r="680" spans="1:11" s="7" customFormat="1">
      <c r="A680" s="117">
        <v>678</v>
      </c>
      <c r="B680" s="8" t="s">
        <v>841</v>
      </c>
      <c r="C680" s="8" t="s">
        <v>842</v>
      </c>
      <c r="D680" s="8" t="s">
        <v>817</v>
      </c>
      <c r="E680" s="138">
        <v>80</v>
      </c>
      <c r="F680" s="8" t="s">
        <v>34</v>
      </c>
      <c r="G680" s="8"/>
      <c r="H680" s="8"/>
      <c r="I680" s="8"/>
      <c r="J680" s="9"/>
      <c r="K680" s="99"/>
    </row>
    <row r="681" spans="1:11" s="7" customFormat="1">
      <c r="A681" s="108">
        <v>679</v>
      </c>
      <c r="B681" s="8" t="s">
        <v>843</v>
      </c>
      <c r="C681" s="8" t="s">
        <v>844</v>
      </c>
      <c r="D681" s="8" t="s">
        <v>817</v>
      </c>
      <c r="E681" s="138">
        <v>100</v>
      </c>
      <c r="F681" s="8" t="s">
        <v>34</v>
      </c>
      <c r="G681" s="8"/>
      <c r="H681" s="8"/>
      <c r="I681" s="8"/>
      <c r="J681" s="9"/>
      <c r="K681" s="99"/>
    </row>
    <row r="682" spans="1:11" s="7" customFormat="1">
      <c r="A682" s="117">
        <v>680</v>
      </c>
      <c r="B682" s="8" t="s">
        <v>845</v>
      </c>
      <c r="C682" s="8" t="s">
        <v>844</v>
      </c>
      <c r="D682" s="8" t="s">
        <v>817</v>
      </c>
      <c r="E682" s="138">
        <v>100</v>
      </c>
      <c r="F682" s="8" t="s">
        <v>34</v>
      </c>
      <c r="G682" s="8"/>
      <c r="H682" s="8"/>
      <c r="I682" s="8"/>
      <c r="J682" s="9"/>
      <c r="K682" s="99"/>
    </row>
    <row r="683" spans="1:11" s="7" customFormat="1">
      <c r="A683" s="108">
        <v>681</v>
      </c>
      <c r="B683" s="8" t="s">
        <v>846</v>
      </c>
      <c r="C683" s="8" t="s">
        <v>31</v>
      </c>
      <c r="D683" s="8" t="s">
        <v>817</v>
      </c>
      <c r="E683" s="138">
        <v>40</v>
      </c>
      <c r="F683" s="8" t="s">
        <v>34</v>
      </c>
      <c r="G683" s="8"/>
      <c r="H683" s="8"/>
      <c r="I683" s="8"/>
      <c r="J683" s="9"/>
      <c r="K683" s="99"/>
    </row>
    <row r="684" spans="1:11" s="7" customFormat="1">
      <c r="A684" s="117">
        <v>682</v>
      </c>
      <c r="B684" s="8" t="s">
        <v>847</v>
      </c>
      <c r="C684" s="8" t="s">
        <v>31</v>
      </c>
      <c r="D684" s="8" t="s">
        <v>817</v>
      </c>
      <c r="E684" s="138">
        <v>1</v>
      </c>
      <c r="F684" s="8" t="s">
        <v>34</v>
      </c>
      <c r="G684" s="8"/>
      <c r="H684" s="8"/>
      <c r="I684" s="8"/>
      <c r="J684" s="9">
        <v>39866</v>
      </c>
      <c r="K684" s="99" t="s">
        <v>848</v>
      </c>
    </row>
    <row r="685" spans="1:11" s="7" customFormat="1">
      <c r="A685" s="108">
        <v>683</v>
      </c>
      <c r="B685" s="8" t="s">
        <v>849</v>
      </c>
      <c r="C685" s="8" t="s">
        <v>850</v>
      </c>
      <c r="D685" s="8" t="s">
        <v>851</v>
      </c>
      <c r="E685" s="138">
        <v>57.5</v>
      </c>
      <c r="F685" s="8" t="s">
        <v>34</v>
      </c>
      <c r="G685" s="8"/>
      <c r="H685" s="8"/>
      <c r="I685" s="8"/>
      <c r="J685" s="9">
        <v>39880</v>
      </c>
      <c r="K685" s="99" t="s">
        <v>852</v>
      </c>
    </row>
    <row r="686" spans="1:11" s="7" customFormat="1" ht="30">
      <c r="A686" s="117">
        <v>684</v>
      </c>
      <c r="B686" s="8" t="s">
        <v>853</v>
      </c>
      <c r="C686" s="8" t="s">
        <v>854</v>
      </c>
      <c r="D686" s="8" t="s">
        <v>851</v>
      </c>
      <c r="E686" s="138">
        <v>93</v>
      </c>
      <c r="F686" s="8" t="s">
        <v>34</v>
      </c>
      <c r="G686" s="8"/>
      <c r="H686" s="8"/>
      <c r="I686" s="8"/>
      <c r="J686" s="9">
        <v>40028</v>
      </c>
      <c r="K686" s="99" t="s">
        <v>855</v>
      </c>
    </row>
    <row r="687" spans="1:11" s="7" customFormat="1">
      <c r="A687" s="108">
        <v>685</v>
      </c>
      <c r="B687" s="8" t="s">
        <v>856</v>
      </c>
      <c r="C687" s="8" t="s">
        <v>854</v>
      </c>
      <c r="D687" s="8" t="s">
        <v>851</v>
      </c>
      <c r="E687" s="138">
        <v>93</v>
      </c>
      <c r="F687" s="8" t="s">
        <v>34</v>
      </c>
      <c r="G687" s="8"/>
      <c r="H687" s="8"/>
      <c r="I687" s="8"/>
      <c r="J687" s="9">
        <v>40028</v>
      </c>
      <c r="K687" s="99" t="s">
        <v>857</v>
      </c>
    </row>
    <row r="688" spans="1:11" s="7" customFormat="1">
      <c r="A688" s="117">
        <v>686</v>
      </c>
      <c r="B688" s="8" t="s">
        <v>858</v>
      </c>
      <c r="C688" s="8" t="s">
        <v>854</v>
      </c>
      <c r="D688" s="8" t="s">
        <v>851</v>
      </c>
      <c r="E688" s="138">
        <v>100</v>
      </c>
      <c r="F688" s="8" t="s">
        <v>34</v>
      </c>
      <c r="G688" s="8"/>
      <c r="H688" s="8"/>
      <c r="I688" s="8"/>
      <c r="J688" s="9">
        <v>40028</v>
      </c>
      <c r="K688" s="99" t="s">
        <v>859</v>
      </c>
    </row>
    <row r="689" spans="1:11" s="7" customFormat="1">
      <c r="A689" s="108">
        <v>687</v>
      </c>
      <c r="B689" s="8" t="s">
        <v>860</v>
      </c>
      <c r="C689" s="8" t="s">
        <v>854</v>
      </c>
      <c r="D689" s="8" t="s">
        <v>851</v>
      </c>
      <c r="E689" s="138">
        <v>104</v>
      </c>
      <c r="F689" s="8" t="s">
        <v>34</v>
      </c>
      <c r="G689" s="8"/>
      <c r="H689" s="8"/>
      <c r="I689" s="8"/>
      <c r="J689" s="9">
        <v>40028</v>
      </c>
      <c r="K689" s="99" t="s">
        <v>861</v>
      </c>
    </row>
    <row r="690" spans="1:11" s="7" customFormat="1">
      <c r="A690" s="117">
        <v>688</v>
      </c>
      <c r="B690" s="8" t="s">
        <v>862</v>
      </c>
      <c r="C690" s="8" t="s">
        <v>854</v>
      </c>
      <c r="D690" s="8" t="s">
        <v>851</v>
      </c>
      <c r="E690" s="138">
        <v>85</v>
      </c>
      <c r="F690" s="8" t="s">
        <v>34</v>
      </c>
      <c r="G690" s="8"/>
      <c r="H690" s="8"/>
      <c r="I690" s="8"/>
      <c r="J690" s="9">
        <v>40028</v>
      </c>
      <c r="K690" s="99" t="s">
        <v>863</v>
      </c>
    </row>
    <row r="691" spans="1:11" s="7" customFormat="1">
      <c r="A691" s="108">
        <v>689</v>
      </c>
      <c r="B691" s="8" t="s">
        <v>864</v>
      </c>
      <c r="C691" s="8" t="s">
        <v>854</v>
      </c>
      <c r="D691" s="8" t="s">
        <v>851</v>
      </c>
      <c r="E691" s="138">
        <v>91.5</v>
      </c>
      <c r="F691" s="8" t="s">
        <v>34</v>
      </c>
      <c r="G691" s="8"/>
      <c r="H691" s="8"/>
      <c r="I691" s="8"/>
      <c r="J691" s="9">
        <v>40028</v>
      </c>
      <c r="K691" s="99" t="s">
        <v>865</v>
      </c>
    </row>
    <row r="692" spans="1:11" s="7" customFormat="1">
      <c r="A692" s="117">
        <v>690</v>
      </c>
      <c r="B692" s="8" t="s">
        <v>866</v>
      </c>
      <c r="C692" s="8" t="s">
        <v>854</v>
      </c>
      <c r="D692" s="8" t="s">
        <v>851</v>
      </c>
      <c r="E692" s="138">
        <v>91.5</v>
      </c>
      <c r="F692" s="8" t="s">
        <v>34</v>
      </c>
      <c r="G692" s="8"/>
      <c r="H692" s="8"/>
      <c r="I692" s="8"/>
      <c r="J692" s="9">
        <v>40028</v>
      </c>
      <c r="K692" s="99" t="s">
        <v>867</v>
      </c>
    </row>
    <row r="693" spans="1:11" s="7" customFormat="1">
      <c r="A693" s="108">
        <v>691</v>
      </c>
      <c r="B693" s="8" t="s">
        <v>868</v>
      </c>
      <c r="C693" s="8" t="s">
        <v>869</v>
      </c>
      <c r="D693" s="8" t="s">
        <v>851</v>
      </c>
      <c r="E693" s="138">
        <v>287.5</v>
      </c>
      <c r="F693" s="8" t="s">
        <v>34</v>
      </c>
      <c r="G693" s="8"/>
      <c r="H693" s="8"/>
      <c r="I693" s="8"/>
      <c r="J693" s="9">
        <v>39880</v>
      </c>
      <c r="K693" s="99" t="s">
        <v>870</v>
      </c>
    </row>
    <row r="694" spans="1:11" s="7" customFormat="1" ht="30">
      <c r="A694" s="117">
        <v>692</v>
      </c>
      <c r="B694" s="8" t="s">
        <v>871</v>
      </c>
      <c r="C694" s="8" t="s">
        <v>869</v>
      </c>
      <c r="D694" s="8" t="s">
        <v>851</v>
      </c>
      <c r="E694" s="138">
        <v>287.5</v>
      </c>
      <c r="F694" s="8" t="s">
        <v>34</v>
      </c>
      <c r="G694" s="8"/>
      <c r="H694" s="8"/>
      <c r="I694" s="8"/>
      <c r="J694" s="9">
        <v>39880</v>
      </c>
      <c r="K694" s="99" t="s">
        <v>870</v>
      </c>
    </row>
    <row r="695" spans="1:11" s="7" customFormat="1">
      <c r="A695" s="108">
        <v>693</v>
      </c>
      <c r="B695" s="8" t="s">
        <v>872</v>
      </c>
      <c r="C695" s="8" t="s">
        <v>850</v>
      </c>
      <c r="D695" s="8" t="s">
        <v>851</v>
      </c>
      <c r="E695" s="138">
        <v>82.5</v>
      </c>
      <c r="F695" s="8" t="s">
        <v>34</v>
      </c>
      <c r="G695" s="8"/>
      <c r="H695" s="8"/>
      <c r="I695" s="8"/>
      <c r="J695" s="9">
        <v>39889</v>
      </c>
      <c r="K695" s="99" t="s">
        <v>873</v>
      </c>
    </row>
    <row r="696" spans="1:11" s="7" customFormat="1">
      <c r="A696" s="117">
        <v>694</v>
      </c>
      <c r="B696" s="8" t="s">
        <v>874</v>
      </c>
      <c r="C696" s="8" t="s">
        <v>875</v>
      </c>
      <c r="D696" s="8" t="s">
        <v>851</v>
      </c>
      <c r="E696" s="138">
        <v>114</v>
      </c>
      <c r="F696" s="8" t="s">
        <v>34</v>
      </c>
      <c r="G696" s="8"/>
      <c r="H696" s="8"/>
      <c r="I696" s="8"/>
      <c r="J696" s="9">
        <v>40028</v>
      </c>
      <c r="K696" s="99" t="s">
        <v>876</v>
      </c>
    </row>
    <row r="697" spans="1:11" s="7" customFormat="1">
      <c r="A697" s="108">
        <v>695</v>
      </c>
      <c r="B697" s="8" t="s">
        <v>877</v>
      </c>
      <c r="C697" s="8" t="s">
        <v>31</v>
      </c>
      <c r="D697" s="8" t="s">
        <v>851</v>
      </c>
      <c r="E697" s="138">
        <v>4</v>
      </c>
      <c r="F697" s="8" t="s">
        <v>34</v>
      </c>
      <c r="G697" s="8"/>
      <c r="H697" s="8"/>
      <c r="I697" s="8"/>
      <c r="J697" s="9"/>
      <c r="K697" s="99" t="s">
        <v>878</v>
      </c>
    </row>
    <row r="698" spans="1:11" s="7" customFormat="1">
      <c r="A698" s="117">
        <v>696</v>
      </c>
      <c r="B698" s="8" t="s">
        <v>879</v>
      </c>
      <c r="C698" s="8" t="s">
        <v>31</v>
      </c>
      <c r="D698" s="8" t="s">
        <v>851</v>
      </c>
      <c r="E698" s="138">
        <v>77.5</v>
      </c>
      <c r="F698" s="8" t="s">
        <v>34</v>
      </c>
      <c r="G698" s="8"/>
      <c r="H698" s="8"/>
      <c r="I698" s="8"/>
      <c r="J698" s="9"/>
      <c r="K698" s="99" t="s">
        <v>870</v>
      </c>
    </row>
    <row r="699" spans="1:11" s="7" customFormat="1">
      <c r="A699" s="108">
        <v>697</v>
      </c>
      <c r="B699" s="8" t="s">
        <v>880</v>
      </c>
      <c r="C699" s="8" t="s">
        <v>31</v>
      </c>
      <c r="D699" s="8" t="s">
        <v>851</v>
      </c>
      <c r="E699" s="138">
        <v>108</v>
      </c>
      <c r="F699" s="8" t="s">
        <v>34</v>
      </c>
      <c r="G699" s="8"/>
      <c r="H699" s="8"/>
      <c r="I699" s="8"/>
      <c r="J699" s="9"/>
      <c r="K699" s="99" t="s">
        <v>870</v>
      </c>
    </row>
    <row r="700" spans="1:11" s="7" customFormat="1">
      <c r="A700" s="117">
        <v>698</v>
      </c>
      <c r="B700" s="8" t="s">
        <v>881</v>
      </c>
      <c r="C700" s="8" t="s">
        <v>31</v>
      </c>
      <c r="D700" s="8" t="s">
        <v>851</v>
      </c>
      <c r="E700" s="138">
        <v>40</v>
      </c>
      <c r="F700" s="8" t="s">
        <v>34</v>
      </c>
      <c r="G700" s="8"/>
      <c r="H700" s="8"/>
      <c r="I700" s="8"/>
      <c r="J700" s="9"/>
      <c r="K700" s="99" t="s">
        <v>870</v>
      </c>
    </row>
    <row r="701" spans="1:11" s="7" customFormat="1">
      <c r="A701" s="108">
        <v>699</v>
      </c>
      <c r="B701" s="8" t="s">
        <v>882</v>
      </c>
      <c r="C701" s="8" t="s">
        <v>31</v>
      </c>
      <c r="D701" s="8" t="s">
        <v>851</v>
      </c>
      <c r="E701" s="138" t="s">
        <v>33</v>
      </c>
      <c r="F701" s="8" t="s">
        <v>34</v>
      </c>
      <c r="G701" s="8"/>
      <c r="H701" s="8"/>
      <c r="I701" s="8"/>
      <c r="J701" s="9"/>
      <c r="K701" s="99" t="s">
        <v>154</v>
      </c>
    </row>
    <row r="702" spans="1:11" s="7" customFormat="1">
      <c r="A702" s="117">
        <v>700</v>
      </c>
      <c r="B702" s="8" t="s">
        <v>883</v>
      </c>
      <c r="C702" s="8" t="s">
        <v>65</v>
      </c>
      <c r="D702" s="8" t="s">
        <v>851</v>
      </c>
      <c r="E702" s="138">
        <v>0</v>
      </c>
      <c r="F702" s="8" t="s">
        <v>34</v>
      </c>
      <c r="G702" s="8"/>
      <c r="H702" s="8"/>
      <c r="I702" s="8"/>
      <c r="J702" s="9"/>
      <c r="K702" s="99"/>
    </row>
    <row r="703" spans="1:11" s="7" customFormat="1" ht="30">
      <c r="A703" s="108">
        <v>701</v>
      </c>
      <c r="B703" s="8" t="s">
        <v>1489</v>
      </c>
      <c r="C703" s="8" t="s">
        <v>1490</v>
      </c>
      <c r="D703" s="8" t="s">
        <v>851</v>
      </c>
      <c r="E703" s="138">
        <v>22.5</v>
      </c>
      <c r="F703" s="8" t="s">
        <v>34</v>
      </c>
      <c r="G703" s="8"/>
      <c r="H703" s="8"/>
      <c r="I703" s="8"/>
      <c r="J703" s="9">
        <v>40268</v>
      </c>
      <c r="K703" s="99"/>
    </row>
    <row r="704" spans="1:11" s="7" customFormat="1" ht="30">
      <c r="A704" s="117">
        <v>702</v>
      </c>
      <c r="B704" s="8" t="s">
        <v>1491</v>
      </c>
      <c r="C704" s="8" t="s">
        <v>1490</v>
      </c>
      <c r="D704" s="8" t="s">
        <v>851</v>
      </c>
      <c r="E704" s="138">
        <v>37.5</v>
      </c>
      <c r="F704" s="8" t="s">
        <v>34</v>
      </c>
      <c r="G704" s="8"/>
      <c r="H704" s="8"/>
      <c r="I704" s="8"/>
      <c r="J704" s="9">
        <v>40268</v>
      </c>
      <c r="K704" s="99"/>
    </row>
    <row r="705" spans="1:11" s="7" customFormat="1">
      <c r="A705" s="108">
        <v>703</v>
      </c>
      <c r="B705" s="8" t="s">
        <v>884</v>
      </c>
      <c r="C705" s="8" t="s">
        <v>850</v>
      </c>
      <c r="D705" s="8" t="s">
        <v>851</v>
      </c>
      <c r="E705" s="138">
        <v>77.5</v>
      </c>
      <c r="F705" s="8" t="s">
        <v>34</v>
      </c>
      <c r="G705" s="8"/>
      <c r="H705" s="8"/>
      <c r="I705" s="8"/>
      <c r="J705" s="9"/>
      <c r="K705" s="99" t="s">
        <v>870</v>
      </c>
    </row>
    <row r="706" spans="1:11" s="7" customFormat="1">
      <c r="A706" s="117">
        <v>704</v>
      </c>
      <c r="B706" s="8" t="s">
        <v>885</v>
      </c>
      <c r="C706" s="8" t="s">
        <v>31</v>
      </c>
      <c r="D706" s="8" t="s">
        <v>851</v>
      </c>
      <c r="E706" s="138">
        <v>115</v>
      </c>
      <c r="F706" s="8" t="s">
        <v>34</v>
      </c>
      <c r="G706" s="8"/>
      <c r="H706" s="8"/>
      <c r="I706" s="8"/>
      <c r="J706" s="9"/>
      <c r="K706" s="99" t="s">
        <v>870</v>
      </c>
    </row>
    <row r="707" spans="1:11" s="7" customFormat="1">
      <c r="A707" s="108">
        <v>705</v>
      </c>
      <c r="B707" s="8" t="s">
        <v>886</v>
      </c>
      <c r="C707" s="8" t="s">
        <v>31</v>
      </c>
      <c r="D707" s="8" t="s">
        <v>851</v>
      </c>
      <c r="E707" s="138">
        <v>161</v>
      </c>
      <c r="F707" s="8" t="s">
        <v>34</v>
      </c>
      <c r="G707" s="8"/>
      <c r="H707" s="8"/>
      <c r="I707" s="8"/>
      <c r="J707" s="9"/>
      <c r="K707" s="99" t="s">
        <v>870</v>
      </c>
    </row>
    <row r="708" spans="1:11" s="7" customFormat="1">
      <c r="A708" s="117">
        <v>706</v>
      </c>
      <c r="B708" s="8" t="s">
        <v>887</v>
      </c>
      <c r="C708" s="8" t="s">
        <v>31</v>
      </c>
      <c r="D708" s="8" t="s">
        <v>851</v>
      </c>
      <c r="E708" s="138">
        <v>50</v>
      </c>
      <c r="F708" s="8" t="s">
        <v>34</v>
      </c>
      <c r="G708" s="8"/>
      <c r="H708" s="8"/>
      <c r="I708" s="8"/>
      <c r="J708" s="9"/>
      <c r="K708" s="99" t="s">
        <v>870</v>
      </c>
    </row>
    <row r="709" spans="1:11" s="7" customFormat="1">
      <c r="A709" s="108">
        <v>707</v>
      </c>
      <c r="B709" s="8" t="s">
        <v>888</v>
      </c>
      <c r="C709" s="8" t="s">
        <v>31</v>
      </c>
      <c r="D709" s="8" t="s">
        <v>851</v>
      </c>
      <c r="E709" s="138" t="s">
        <v>33</v>
      </c>
      <c r="F709" s="8" t="s">
        <v>34</v>
      </c>
      <c r="G709" s="8"/>
      <c r="H709" s="8"/>
      <c r="I709" s="8"/>
      <c r="J709" s="9"/>
      <c r="K709" s="99" t="s">
        <v>154</v>
      </c>
    </row>
    <row r="710" spans="1:11" s="7" customFormat="1">
      <c r="A710" s="117">
        <v>708</v>
      </c>
      <c r="B710" s="8" t="s">
        <v>889</v>
      </c>
      <c r="C710" s="8" t="s">
        <v>65</v>
      </c>
      <c r="D710" s="8" t="s">
        <v>851</v>
      </c>
      <c r="E710" s="138">
        <v>0</v>
      </c>
      <c r="F710" s="8" t="s">
        <v>34</v>
      </c>
      <c r="G710" s="8"/>
      <c r="H710" s="8"/>
      <c r="I710" s="8"/>
      <c r="J710" s="9"/>
      <c r="K710" s="99"/>
    </row>
    <row r="711" spans="1:11" s="7" customFormat="1">
      <c r="A711" s="108">
        <v>709</v>
      </c>
      <c r="B711" s="8" t="s">
        <v>1492</v>
      </c>
      <c r="C711" s="8" t="s">
        <v>1493</v>
      </c>
      <c r="D711" s="8" t="s">
        <v>851</v>
      </c>
      <c r="E711" s="138">
        <v>94</v>
      </c>
      <c r="F711" s="8" t="s">
        <v>34</v>
      </c>
      <c r="G711" s="8"/>
      <c r="H711" s="8"/>
      <c r="I711" s="8"/>
      <c r="J711" s="9">
        <v>40321</v>
      </c>
      <c r="K711" s="99"/>
    </row>
    <row r="712" spans="1:11" s="7" customFormat="1" ht="30">
      <c r="A712" s="117">
        <v>710</v>
      </c>
      <c r="B712" s="8" t="s">
        <v>1494</v>
      </c>
      <c r="C712" s="8" t="s">
        <v>1495</v>
      </c>
      <c r="D712" s="8" t="s">
        <v>851</v>
      </c>
      <c r="E712" s="138" t="s">
        <v>1496</v>
      </c>
      <c r="F712" s="8" t="s">
        <v>34</v>
      </c>
      <c r="G712" s="8"/>
      <c r="H712" s="8"/>
      <c r="I712" s="8"/>
      <c r="J712" s="9">
        <v>40307</v>
      </c>
      <c r="K712" s="99"/>
    </row>
    <row r="713" spans="1:11" s="7" customFormat="1" ht="30">
      <c r="A713" s="108">
        <v>711</v>
      </c>
      <c r="B713" s="8" t="s">
        <v>1497</v>
      </c>
      <c r="C713" s="8" t="s">
        <v>1498</v>
      </c>
      <c r="D713" s="8" t="s">
        <v>851</v>
      </c>
      <c r="E713" s="138">
        <f>470/2</f>
        <v>235</v>
      </c>
      <c r="F713" s="8" t="s">
        <v>34</v>
      </c>
      <c r="G713" s="8"/>
      <c r="H713" s="8"/>
      <c r="I713" s="8"/>
      <c r="J713" s="9">
        <v>40286</v>
      </c>
      <c r="K713" s="99"/>
    </row>
    <row r="714" spans="1:11" s="7" customFormat="1" ht="30">
      <c r="A714" s="117">
        <v>712</v>
      </c>
      <c r="B714" s="8" t="s">
        <v>1499</v>
      </c>
      <c r="C714" s="8" t="s">
        <v>1498</v>
      </c>
      <c r="D714" s="8" t="s">
        <v>851</v>
      </c>
      <c r="E714" s="138">
        <f>500/2</f>
        <v>250</v>
      </c>
      <c r="F714" s="8" t="s">
        <v>34</v>
      </c>
      <c r="G714" s="8"/>
      <c r="H714" s="8"/>
      <c r="I714" s="8"/>
      <c r="J714" s="9">
        <v>40286</v>
      </c>
      <c r="K714" s="99"/>
    </row>
    <row r="715" spans="1:11" s="7" customFormat="1">
      <c r="A715" s="108">
        <v>713</v>
      </c>
      <c r="B715" s="8" t="s">
        <v>890</v>
      </c>
      <c r="C715" s="8" t="s">
        <v>891</v>
      </c>
      <c r="D715" s="8" t="s">
        <v>851</v>
      </c>
      <c r="E715" s="138">
        <v>200</v>
      </c>
      <c r="F715" s="8" t="s">
        <v>34</v>
      </c>
      <c r="G715" s="8"/>
      <c r="H715" s="8"/>
      <c r="I715" s="8"/>
      <c r="J715" s="9"/>
      <c r="K715" s="99"/>
    </row>
    <row r="716" spans="1:11" s="7" customFormat="1" ht="30">
      <c r="A716" s="117">
        <v>714</v>
      </c>
      <c r="B716" s="8" t="s">
        <v>1500</v>
      </c>
      <c r="C716" s="8" t="s">
        <v>1495</v>
      </c>
      <c r="D716" s="8" t="s">
        <v>851</v>
      </c>
      <c r="E716" s="138">
        <v>96.5</v>
      </c>
      <c r="F716" s="8" t="s">
        <v>34</v>
      </c>
      <c r="G716" s="8"/>
      <c r="H716" s="8"/>
      <c r="I716" s="8"/>
      <c r="J716" s="9">
        <v>40307</v>
      </c>
      <c r="K716" s="99"/>
    </row>
    <row r="717" spans="1:11" s="7" customFormat="1">
      <c r="A717" s="108">
        <v>715</v>
      </c>
      <c r="B717" s="8" t="s">
        <v>892</v>
      </c>
      <c r="C717" s="8" t="s">
        <v>893</v>
      </c>
      <c r="D717" s="8" t="s">
        <v>851</v>
      </c>
      <c r="E717" s="138">
        <v>150</v>
      </c>
      <c r="F717" s="8" t="s">
        <v>34</v>
      </c>
      <c r="G717" s="8"/>
      <c r="H717" s="8"/>
      <c r="I717" s="8"/>
      <c r="J717" s="9">
        <v>39873</v>
      </c>
      <c r="K717" s="99"/>
    </row>
    <row r="718" spans="1:11" s="7" customFormat="1">
      <c r="A718" s="117">
        <v>716</v>
      </c>
      <c r="B718" s="8" t="s">
        <v>894</v>
      </c>
      <c r="C718" s="8" t="s">
        <v>869</v>
      </c>
      <c r="D718" s="8" t="s">
        <v>851</v>
      </c>
      <c r="E718" s="138">
        <v>287.5</v>
      </c>
      <c r="F718" s="8" t="s">
        <v>34</v>
      </c>
      <c r="G718" s="8"/>
      <c r="H718" s="8"/>
      <c r="I718" s="8"/>
      <c r="J718" s="9"/>
      <c r="K718" s="99" t="s">
        <v>870</v>
      </c>
    </row>
    <row r="719" spans="1:11" s="7" customFormat="1">
      <c r="A719" s="108">
        <v>717</v>
      </c>
      <c r="B719" s="8" t="s">
        <v>895</v>
      </c>
      <c r="C719" s="8" t="s">
        <v>869</v>
      </c>
      <c r="D719" s="8" t="s">
        <v>851</v>
      </c>
      <c r="E719" s="138">
        <v>287.5</v>
      </c>
      <c r="F719" s="8" t="s">
        <v>34</v>
      </c>
      <c r="G719" s="8"/>
      <c r="H719" s="8"/>
      <c r="I719" s="8"/>
      <c r="J719" s="9"/>
      <c r="K719" s="99" t="s">
        <v>870</v>
      </c>
    </row>
    <row r="720" spans="1:11" s="7" customFormat="1">
      <c r="A720" s="117">
        <v>718</v>
      </c>
      <c r="B720" s="8" t="s">
        <v>896</v>
      </c>
      <c r="C720" s="8" t="s">
        <v>850</v>
      </c>
      <c r="D720" s="8" t="s">
        <v>851</v>
      </c>
      <c r="E720" s="138">
        <v>115</v>
      </c>
      <c r="F720" s="8" t="s">
        <v>34</v>
      </c>
      <c r="G720" s="8"/>
      <c r="H720" s="8"/>
      <c r="I720" s="8"/>
      <c r="J720" s="9"/>
      <c r="K720" s="99" t="s">
        <v>870</v>
      </c>
    </row>
    <row r="721" spans="1:11" s="7" customFormat="1">
      <c r="A721" s="108">
        <v>719</v>
      </c>
      <c r="B721" s="8" t="s">
        <v>897</v>
      </c>
      <c r="C721" s="8" t="s">
        <v>850</v>
      </c>
      <c r="D721" s="8" t="s">
        <v>851</v>
      </c>
      <c r="E721" s="138">
        <v>140</v>
      </c>
      <c r="F721" s="8" t="s">
        <v>34</v>
      </c>
      <c r="G721" s="8"/>
      <c r="H721" s="8"/>
      <c r="I721" s="8"/>
      <c r="J721" s="9"/>
      <c r="K721" s="99" t="s">
        <v>870</v>
      </c>
    </row>
    <row r="722" spans="1:11" s="7" customFormat="1">
      <c r="A722" s="117">
        <v>720</v>
      </c>
      <c r="B722" s="8" t="s">
        <v>898</v>
      </c>
      <c r="C722" s="8" t="s">
        <v>875</v>
      </c>
      <c r="D722" s="8" t="s">
        <v>851</v>
      </c>
      <c r="E722" s="138">
        <v>201.5</v>
      </c>
      <c r="F722" s="8" t="s">
        <v>34</v>
      </c>
      <c r="G722" s="8"/>
      <c r="H722" s="8"/>
      <c r="I722" s="8"/>
      <c r="J722" s="9">
        <v>39880</v>
      </c>
      <c r="K722" s="99" t="s">
        <v>899</v>
      </c>
    </row>
    <row r="723" spans="1:11" s="7" customFormat="1">
      <c r="A723" s="108">
        <v>721</v>
      </c>
      <c r="B723" s="8" t="s">
        <v>900</v>
      </c>
      <c r="C723" s="8" t="s">
        <v>901</v>
      </c>
      <c r="D723" s="8" t="s">
        <v>851</v>
      </c>
      <c r="E723" s="138">
        <v>340</v>
      </c>
      <c r="F723" s="8" t="s">
        <v>34</v>
      </c>
      <c r="G723" s="8"/>
      <c r="H723" s="8"/>
      <c r="I723" s="8"/>
      <c r="J723" s="9">
        <v>39873</v>
      </c>
      <c r="K723" s="99"/>
    </row>
    <row r="724" spans="1:11" s="7" customFormat="1">
      <c r="A724" s="117">
        <v>722</v>
      </c>
      <c r="B724" s="8" t="s">
        <v>902</v>
      </c>
      <c r="C724" s="8" t="s">
        <v>901</v>
      </c>
      <c r="D724" s="8" t="s">
        <v>851</v>
      </c>
      <c r="E724" s="138" t="s">
        <v>33</v>
      </c>
      <c r="F724" s="8" t="s">
        <v>34</v>
      </c>
      <c r="G724" s="8"/>
      <c r="H724" s="8"/>
      <c r="I724" s="8"/>
      <c r="J724" s="9"/>
      <c r="K724" s="99" t="s">
        <v>154</v>
      </c>
    </row>
    <row r="725" spans="1:11" s="7" customFormat="1">
      <c r="A725" s="108">
        <v>723</v>
      </c>
      <c r="B725" s="8" t="s">
        <v>903</v>
      </c>
      <c r="C725" s="8" t="s">
        <v>31</v>
      </c>
      <c r="D725" s="8" t="s">
        <v>851</v>
      </c>
      <c r="E725" s="138">
        <v>140</v>
      </c>
      <c r="F725" s="8" t="s">
        <v>34</v>
      </c>
      <c r="G725" s="8"/>
      <c r="H725" s="8"/>
      <c r="I725" s="8"/>
      <c r="J725" s="9"/>
      <c r="K725" s="99"/>
    </row>
    <row r="726" spans="1:11" s="7" customFormat="1">
      <c r="A726" s="117">
        <v>724</v>
      </c>
      <c r="B726" s="8" t="s">
        <v>904</v>
      </c>
      <c r="C726" s="8" t="s">
        <v>31</v>
      </c>
      <c r="D726" s="8" t="s">
        <v>851</v>
      </c>
      <c r="E726" s="138">
        <v>196</v>
      </c>
      <c r="F726" s="8" t="s">
        <v>34</v>
      </c>
      <c r="G726" s="8"/>
      <c r="H726" s="8"/>
      <c r="I726" s="8"/>
      <c r="J726" s="9"/>
      <c r="K726" s="99"/>
    </row>
    <row r="727" spans="1:11" s="7" customFormat="1">
      <c r="A727" s="108">
        <v>725</v>
      </c>
      <c r="B727" s="8" t="s">
        <v>905</v>
      </c>
      <c r="C727" s="8" t="s">
        <v>31</v>
      </c>
      <c r="D727" s="8" t="s">
        <v>851</v>
      </c>
      <c r="E727" s="138">
        <v>60</v>
      </c>
      <c r="F727" s="8" t="s">
        <v>34</v>
      </c>
      <c r="G727" s="8"/>
      <c r="H727" s="8"/>
      <c r="I727" s="8"/>
      <c r="J727" s="9"/>
      <c r="K727" s="99"/>
    </row>
    <row r="728" spans="1:11" s="7" customFormat="1">
      <c r="A728" s="117">
        <v>726</v>
      </c>
      <c r="B728" s="8" t="s">
        <v>906</v>
      </c>
      <c r="C728" s="8"/>
      <c r="D728" s="8" t="s">
        <v>851</v>
      </c>
      <c r="E728" s="138" t="s">
        <v>33</v>
      </c>
      <c r="F728" s="8" t="s">
        <v>34</v>
      </c>
      <c r="G728" s="8"/>
      <c r="H728" s="8"/>
      <c r="I728" s="8"/>
      <c r="J728" s="9"/>
      <c r="K728" s="99"/>
    </row>
    <row r="729" spans="1:11" s="7" customFormat="1">
      <c r="A729" s="108">
        <v>727</v>
      </c>
      <c r="B729" s="8" t="s">
        <v>907</v>
      </c>
      <c r="C729" s="8" t="s">
        <v>65</v>
      </c>
      <c r="D729" s="8" t="s">
        <v>851</v>
      </c>
      <c r="E729" s="138">
        <v>0</v>
      </c>
      <c r="F729" s="8" t="s">
        <v>34</v>
      </c>
      <c r="G729" s="8"/>
      <c r="H729" s="8"/>
      <c r="I729" s="8"/>
      <c r="J729" s="9"/>
      <c r="K729" s="99"/>
    </row>
    <row r="730" spans="1:11" s="7" customFormat="1">
      <c r="A730" s="117">
        <v>728</v>
      </c>
      <c r="B730" s="8" t="s">
        <v>1501</v>
      </c>
      <c r="C730" s="8" t="s">
        <v>31</v>
      </c>
      <c r="D730" s="8" t="s">
        <v>1502</v>
      </c>
      <c r="E730" s="138">
        <v>33</v>
      </c>
      <c r="F730" s="8" t="s">
        <v>208</v>
      </c>
      <c r="G730" s="8"/>
      <c r="H730" s="8"/>
      <c r="I730" s="8"/>
      <c r="J730" s="9">
        <v>40085</v>
      </c>
      <c r="K730" s="99"/>
    </row>
    <row r="731" spans="1:11" s="7" customFormat="1">
      <c r="A731" s="108">
        <v>729</v>
      </c>
      <c r="B731" s="8" t="s">
        <v>1503</v>
      </c>
      <c r="C731" s="8" t="s">
        <v>31</v>
      </c>
      <c r="D731" s="8" t="s">
        <v>1502</v>
      </c>
      <c r="E731" s="138">
        <v>4.2</v>
      </c>
      <c r="F731" s="8" t="s">
        <v>208</v>
      </c>
      <c r="G731" s="8"/>
      <c r="H731" s="8"/>
      <c r="I731" s="8"/>
      <c r="J731" s="9">
        <v>40085</v>
      </c>
      <c r="K731" s="99" t="s">
        <v>706</v>
      </c>
    </row>
    <row r="732" spans="1:11" s="7" customFormat="1">
      <c r="A732" s="117">
        <v>730</v>
      </c>
      <c r="B732" s="8" t="s">
        <v>1504</v>
      </c>
      <c r="C732" s="8" t="s">
        <v>31</v>
      </c>
      <c r="D732" s="8" t="s">
        <v>1502</v>
      </c>
      <c r="E732" s="138">
        <v>4.2</v>
      </c>
      <c r="F732" s="8" t="s">
        <v>208</v>
      </c>
      <c r="G732" s="8"/>
      <c r="H732" s="8"/>
      <c r="I732" s="8"/>
      <c r="J732" s="9">
        <v>40085</v>
      </c>
      <c r="K732" s="99" t="s">
        <v>708</v>
      </c>
    </row>
    <row r="733" spans="1:11" s="7" customFormat="1">
      <c r="A733" s="108">
        <v>731</v>
      </c>
      <c r="B733" s="8" t="s">
        <v>1505</v>
      </c>
      <c r="C733" s="8" t="s">
        <v>31</v>
      </c>
      <c r="D733" s="8" t="s">
        <v>1502</v>
      </c>
      <c r="E733" s="138">
        <v>2.2000000000000002</v>
      </c>
      <c r="F733" s="8" t="s">
        <v>208</v>
      </c>
      <c r="G733" s="8"/>
      <c r="H733" s="8"/>
      <c r="I733" s="8"/>
      <c r="J733" s="9">
        <v>40085</v>
      </c>
      <c r="K733" s="99"/>
    </row>
    <row r="734" spans="1:11" s="7" customFormat="1">
      <c r="A734" s="117">
        <v>732</v>
      </c>
      <c r="B734" s="8" t="s">
        <v>1506</v>
      </c>
      <c r="C734" s="8" t="s">
        <v>31</v>
      </c>
      <c r="D734" s="8" t="s">
        <v>1502</v>
      </c>
      <c r="E734" s="138">
        <v>2.2000000000000002</v>
      </c>
      <c r="F734" s="8" t="s">
        <v>208</v>
      </c>
      <c r="G734" s="8"/>
      <c r="H734" s="8"/>
      <c r="I734" s="8"/>
      <c r="J734" s="9">
        <v>40085</v>
      </c>
      <c r="K734" s="99"/>
    </row>
    <row r="735" spans="1:11" s="7" customFormat="1">
      <c r="A735" s="108">
        <v>733</v>
      </c>
      <c r="B735" s="8" t="s">
        <v>1507</v>
      </c>
      <c r="C735" s="8" t="s">
        <v>31</v>
      </c>
      <c r="D735" s="8" t="s">
        <v>1502</v>
      </c>
      <c r="E735" s="138">
        <v>2.2000000000000002</v>
      </c>
      <c r="F735" s="8" t="s">
        <v>208</v>
      </c>
      <c r="G735" s="8"/>
      <c r="H735" s="8"/>
      <c r="I735" s="8"/>
      <c r="J735" s="9">
        <v>40085</v>
      </c>
      <c r="K735" s="99"/>
    </row>
    <row r="736" spans="1:11" s="7" customFormat="1">
      <c r="A736" s="117">
        <v>734</v>
      </c>
      <c r="B736" s="8" t="s">
        <v>1508</v>
      </c>
      <c r="C736" s="8" t="s">
        <v>31</v>
      </c>
      <c r="D736" s="8" t="s">
        <v>1502</v>
      </c>
      <c r="E736" s="138">
        <v>15</v>
      </c>
      <c r="F736" s="8" t="s">
        <v>208</v>
      </c>
      <c r="G736" s="8"/>
      <c r="H736" s="8"/>
      <c r="I736" s="8"/>
      <c r="J736" s="9">
        <v>40085</v>
      </c>
      <c r="K736" s="99" t="s">
        <v>713</v>
      </c>
    </row>
    <row r="737" spans="1:11" s="7" customFormat="1">
      <c r="A737" s="108">
        <v>735</v>
      </c>
      <c r="B737" s="8" t="s">
        <v>1509</v>
      </c>
      <c r="C737" s="8" t="s">
        <v>31</v>
      </c>
      <c r="D737" s="8" t="s">
        <v>1502</v>
      </c>
      <c r="E737" s="138">
        <v>1</v>
      </c>
      <c r="F737" s="8" t="s">
        <v>208</v>
      </c>
      <c r="G737" s="8"/>
      <c r="H737" s="8"/>
      <c r="I737" s="8"/>
      <c r="J737" s="9">
        <v>40085</v>
      </c>
      <c r="K737" s="99"/>
    </row>
    <row r="738" spans="1:11" s="7" customFormat="1">
      <c r="A738" s="117">
        <v>736</v>
      </c>
      <c r="B738" s="8" t="s">
        <v>1510</v>
      </c>
      <c r="C738" s="8" t="s">
        <v>31</v>
      </c>
      <c r="D738" s="8" t="s">
        <v>1502</v>
      </c>
      <c r="E738" s="138">
        <v>6</v>
      </c>
      <c r="F738" s="8" t="s">
        <v>208</v>
      </c>
      <c r="G738" s="8"/>
      <c r="H738" s="8"/>
      <c r="I738" s="8"/>
      <c r="J738" s="9">
        <v>40085</v>
      </c>
      <c r="K738" s="99"/>
    </row>
    <row r="739" spans="1:11" s="7" customFormat="1">
      <c r="A739" s="108">
        <v>737</v>
      </c>
      <c r="B739" s="8" t="s">
        <v>1511</v>
      </c>
      <c r="C739" s="8" t="s">
        <v>31</v>
      </c>
      <c r="D739" s="8" t="s">
        <v>1502</v>
      </c>
      <c r="E739" s="138">
        <v>2.2000000000000002</v>
      </c>
      <c r="F739" s="8" t="s">
        <v>208</v>
      </c>
      <c r="G739" s="8"/>
      <c r="H739" s="8"/>
      <c r="I739" s="8"/>
      <c r="J739" s="9">
        <v>40085</v>
      </c>
      <c r="K739" s="99"/>
    </row>
    <row r="740" spans="1:11" s="7" customFormat="1">
      <c r="A740" s="117">
        <v>738</v>
      </c>
      <c r="B740" s="8" t="s">
        <v>1512</v>
      </c>
      <c r="C740" s="8" t="s">
        <v>31</v>
      </c>
      <c r="D740" s="8" t="s">
        <v>1502</v>
      </c>
      <c r="E740" s="138">
        <v>3.3</v>
      </c>
      <c r="F740" s="8" t="s">
        <v>208</v>
      </c>
      <c r="G740" s="8"/>
      <c r="H740" s="8"/>
      <c r="I740" s="8"/>
      <c r="J740" s="9">
        <v>40085</v>
      </c>
      <c r="K740" s="99" t="s">
        <v>720</v>
      </c>
    </row>
    <row r="741" spans="1:11" s="7" customFormat="1">
      <c r="A741" s="108">
        <v>739</v>
      </c>
      <c r="B741" s="8" t="s">
        <v>1513</v>
      </c>
      <c r="C741" s="8" t="s">
        <v>31</v>
      </c>
      <c r="D741" s="8" t="s">
        <v>1502</v>
      </c>
      <c r="E741" s="138">
        <v>3.3</v>
      </c>
      <c r="F741" s="8" t="s">
        <v>208</v>
      </c>
      <c r="G741" s="8"/>
      <c r="H741" s="8"/>
      <c r="I741" s="8"/>
      <c r="J741" s="9">
        <v>40085</v>
      </c>
      <c r="K741" s="99" t="s">
        <v>722</v>
      </c>
    </row>
    <row r="742" spans="1:11" s="7" customFormat="1">
      <c r="A742" s="117">
        <v>740</v>
      </c>
      <c r="B742" s="8" t="s">
        <v>1514</v>
      </c>
      <c r="C742" s="8" t="s">
        <v>31</v>
      </c>
      <c r="D742" s="8" t="s">
        <v>1502</v>
      </c>
      <c r="E742" s="138">
        <v>3.3</v>
      </c>
      <c r="F742" s="8" t="s">
        <v>208</v>
      </c>
      <c r="G742" s="8"/>
      <c r="H742" s="8"/>
      <c r="I742" s="8"/>
      <c r="J742" s="9">
        <v>40085</v>
      </c>
      <c r="K742" s="99" t="s">
        <v>724</v>
      </c>
    </row>
    <row r="743" spans="1:11" s="7" customFormat="1">
      <c r="A743" s="108">
        <v>741</v>
      </c>
      <c r="B743" s="8" t="s">
        <v>1515</v>
      </c>
      <c r="C743" s="8" t="s">
        <v>31</v>
      </c>
      <c r="D743" s="8" t="s">
        <v>1502</v>
      </c>
      <c r="E743" s="138">
        <v>3.3</v>
      </c>
      <c r="F743" s="8" t="s">
        <v>208</v>
      </c>
      <c r="G743" s="8"/>
      <c r="H743" s="8"/>
      <c r="I743" s="8"/>
      <c r="J743" s="9">
        <v>40085</v>
      </c>
      <c r="K743" s="99" t="s">
        <v>726</v>
      </c>
    </row>
    <row r="744" spans="1:11" s="7" customFormat="1">
      <c r="A744" s="117">
        <v>742</v>
      </c>
      <c r="B744" s="8" t="s">
        <v>1516</v>
      </c>
      <c r="C744" s="8" t="s">
        <v>31</v>
      </c>
      <c r="D744" s="8" t="s">
        <v>1502</v>
      </c>
      <c r="E744" s="138">
        <v>3.3</v>
      </c>
      <c r="F744" s="8" t="s">
        <v>208</v>
      </c>
      <c r="G744" s="8"/>
      <c r="H744" s="8"/>
      <c r="I744" s="8"/>
      <c r="J744" s="9">
        <v>40085</v>
      </c>
      <c r="K744" s="99" t="s">
        <v>728</v>
      </c>
    </row>
    <row r="745" spans="1:11" s="7" customFormat="1">
      <c r="A745" s="108">
        <v>743</v>
      </c>
      <c r="B745" s="8" t="s">
        <v>1517</v>
      </c>
      <c r="C745" s="8" t="s">
        <v>31</v>
      </c>
      <c r="D745" s="8" t="s">
        <v>1502</v>
      </c>
      <c r="E745" s="138">
        <v>3.3</v>
      </c>
      <c r="F745" s="8" t="s">
        <v>208</v>
      </c>
      <c r="G745" s="8"/>
      <c r="H745" s="8"/>
      <c r="I745" s="8"/>
      <c r="J745" s="9">
        <v>40085</v>
      </c>
      <c r="K745" s="99" t="s">
        <v>730</v>
      </c>
    </row>
    <row r="746" spans="1:11" s="7" customFormat="1">
      <c r="A746" s="117">
        <v>744</v>
      </c>
      <c r="B746" s="8" t="s">
        <v>1518</v>
      </c>
      <c r="C746" s="8" t="s">
        <v>31</v>
      </c>
      <c r="D746" s="8" t="s">
        <v>1502</v>
      </c>
      <c r="E746" s="138">
        <v>3.3</v>
      </c>
      <c r="F746" s="8" t="s">
        <v>208</v>
      </c>
      <c r="G746" s="8"/>
      <c r="H746" s="8"/>
      <c r="I746" s="8"/>
      <c r="J746" s="9">
        <v>40085</v>
      </c>
      <c r="K746" s="99"/>
    </row>
    <row r="747" spans="1:11" s="7" customFormat="1">
      <c r="A747" s="108">
        <v>745</v>
      </c>
      <c r="B747" s="8" t="s">
        <v>1519</v>
      </c>
      <c r="C747" s="8" t="s">
        <v>31</v>
      </c>
      <c r="D747" s="8" t="s">
        <v>1502</v>
      </c>
      <c r="E747" s="138">
        <v>3.3</v>
      </c>
      <c r="F747" s="8" t="s">
        <v>208</v>
      </c>
      <c r="G747" s="8"/>
      <c r="H747" s="8"/>
      <c r="I747" s="8"/>
      <c r="J747" s="9">
        <v>40085</v>
      </c>
      <c r="K747" s="99"/>
    </row>
    <row r="748" spans="1:11" s="7" customFormat="1">
      <c r="A748" s="117">
        <v>746</v>
      </c>
      <c r="B748" s="8" t="s">
        <v>1520</v>
      </c>
      <c r="C748" s="8" t="s">
        <v>31</v>
      </c>
      <c r="D748" s="8" t="s">
        <v>1502</v>
      </c>
      <c r="E748" s="138">
        <v>3.3</v>
      </c>
      <c r="F748" s="8" t="s">
        <v>208</v>
      </c>
      <c r="G748" s="8"/>
      <c r="H748" s="8"/>
      <c r="I748" s="8"/>
      <c r="J748" s="9">
        <v>40085</v>
      </c>
      <c r="K748" s="99" t="s">
        <v>734</v>
      </c>
    </row>
    <row r="749" spans="1:11" s="7" customFormat="1">
      <c r="A749" s="108">
        <v>747</v>
      </c>
      <c r="B749" s="8" t="s">
        <v>1521</v>
      </c>
      <c r="C749" s="8" t="s">
        <v>31</v>
      </c>
      <c r="D749" s="8" t="s">
        <v>1502</v>
      </c>
      <c r="E749" s="138">
        <v>3.3</v>
      </c>
      <c r="F749" s="8" t="s">
        <v>208</v>
      </c>
      <c r="G749" s="8"/>
      <c r="H749" s="8"/>
      <c r="I749" s="8"/>
      <c r="J749" s="9">
        <v>40085</v>
      </c>
      <c r="K749" s="99" t="s">
        <v>1472</v>
      </c>
    </row>
    <row r="750" spans="1:11" s="7" customFormat="1">
      <c r="A750" s="117">
        <v>748</v>
      </c>
      <c r="B750" s="8" t="s">
        <v>1522</v>
      </c>
      <c r="C750" s="8" t="s">
        <v>31</v>
      </c>
      <c r="D750" s="8" t="s">
        <v>1502</v>
      </c>
      <c r="E750" s="138">
        <v>3.3</v>
      </c>
      <c r="F750" s="8" t="s">
        <v>208</v>
      </c>
      <c r="G750" s="8"/>
      <c r="H750" s="8"/>
      <c r="I750" s="8"/>
      <c r="J750" s="9">
        <v>40085</v>
      </c>
      <c r="K750" s="99"/>
    </row>
    <row r="751" spans="1:11" s="7" customFormat="1">
      <c r="A751" s="108">
        <v>749</v>
      </c>
      <c r="B751" s="8" t="s">
        <v>1523</v>
      </c>
      <c r="C751" s="8" t="s">
        <v>31</v>
      </c>
      <c r="D751" s="8" t="s">
        <v>1502</v>
      </c>
      <c r="E751" s="138">
        <v>3.3</v>
      </c>
      <c r="F751" s="8" t="s">
        <v>208</v>
      </c>
      <c r="G751" s="8"/>
      <c r="H751" s="8"/>
      <c r="I751" s="8"/>
      <c r="J751" s="9">
        <v>40085</v>
      </c>
      <c r="K751" s="99" t="s">
        <v>737</v>
      </c>
    </row>
    <row r="752" spans="1:11" s="7" customFormat="1">
      <c r="A752" s="117">
        <v>750</v>
      </c>
      <c r="B752" s="8" t="s">
        <v>1524</v>
      </c>
      <c r="C752" s="8" t="s">
        <v>31</v>
      </c>
      <c r="D752" s="8" t="s">
        <v>1502</v>
      </c>
      <c r="E752" s="138">
        <v>3.3</v>
      </c>
      <c r="F752" s="8" t="s">
        <v>208</v>
      </c>
      <c r="G752" s="8"/>
      <c r="H752" s="8"/>
      <c r="I752" s="8"/>
      <c r="J752" s="9">
        <v>40085</v>
      </c>
      <c r="K752" s="99"/>
    </row>
    <row r="753" spans="1:11" s="7" customFormat="1">
      <c r="A753" s="108">
        <v>751</v>
      </c>
      <c r="B753" s="8" t="s">
        <v>1525</v>
      </c>
      <c r="C753" s="8" t="s">
        <v>31</v>
      </c>
      <c r="D753" s="8" t="s">
        <v>1502</v>
      </c>
      <c r="E753" s="138">
        <v>2.25</v>
      </c>
      <c r="F753" s="8" t="s">
        <v>208</v>
      </c>
      <c r="G753" s="8"/>
      <c r="H753" s="8"/>
      <c r="I753" s="8"/>
      <c r="J753" s="9">
        <v>40085</v>
      </c>
      <c r="K753" s="99" t="s">
        <v>288</v>
      </c>
    </row>
    <row r="754" spans="1:11" s="7" customFormat="1">
      <c r="A754" s="117">
        <v>752</v>
      </c>
      <c r="B754" s="8" t="s">
        <v>1526</v>
      </c>
      <c r="C754" s="8" t="s">
        <v>31</v>
      </c>
      <c r="D754" s="8" t="s">
        <v>1502</v>
      </c>
      <c r="E754" s="138">
        <v>2.25</v>
      </c>
      <c r="F754" s="8" t="s">
        <v>208</v>
      </c>
      <c r="G754" s="8"/>
      <c r="H754" s="8"/>
      <c r="I754" s="8"/>
      <c r="J754" s="9">
        <v>40085</v>
      </c>
      <c r="K754" s="99" t="s">
        <v>286</v>
      </c>
    </row>
    <row r="755" spans="1:11" s="7" customFormat="1">
      <c r="A755" s="108">
        <v>753</v>
      </c>
      <c r="B755" s="8" t="s">
        <v>1527</v>
      </c>
      <c r="C755" s="8" t="s">
        <v>31</v>
      </c>
      <c r="D755" s="8" t="s">
        <v>1502</v>
      </c>
      <c r="E755" s="138">
        <v>2.25</v>
      </c>
      <c r="F755" s="8" t="s">
        <v>208</v>
      </c>
      <c r="G755" s="8"/>
      <c r="H755" s="8"/>
      <c r="I755" s="8"/>
      <c r="J755" s="9">
        <v>40085</v>
      </c>
      <c r="K755" s="99"/>
    </row>
    <row r="756" spans="1:11" s="7" customFormat="1">
      <c r="A756" s="117">
        <v>754</v>
      </c>
      <c r="B756" s="8" t="s">
        <v>1528</v>
      </c>
      <c r="C756" s="8" t="s">
        <v>31</v>
      </c>
      <c r="D756" s="8" t="s">
        <v>1502</v>
      </c>
      <c r="E756" s="138">
        <v>22</v>
      </c>
      <c r="F756" s="8" t="s">
        <v>208</v>
      </c>
      <c r="G756" s="8"/>
      <c r="H756" s="8"/>
      <c r="I756" s="8"/>
      <c r="J756" s="9">
        <v>40085</v>
      </c>
      <c r="K756" s="99" t="s">
        <v>744</v>
      </c>
    </row>
    <row r="757" spans="1:11" s="7" customFormat="1">
      <c r="B757" s="27"/>
      <c r="C757" s="27"/>
      <c r="D757" s="27"/>
      <c r="E757" s="27"/>
      <c r="F757" s="27"/>
      <c r="G757" s="27"/>
      <c r="H757" s="27"/>
      <c r="I757" s="27"/>
      <c r="J757" s="125"/>
      <c r="K757" s="27"/>
    </row>
    <row r="758" spans="1:11" s="7" customFormat="1">
      <c r="B758" s="27"/>
      <c r="C758" s="27"/>
      <c r="D758" s="27"/>
      <c r="E758" s="27"/>
      <c r="F758" s="27"/>
      <c r="G758" s="27"/>
      <c r="H758" s="27"/>
      <c r="I758" s="27"/>
      <c r="J758" s="125"/>
      <c r="K758" s="27"/>
    </row>
    <row r="759" spans="1:11" s="7" customFormat="1">
      <c r="B759" s="27"/>
      <c r="C759" s="27"/>
      <c r="D759" s="27"/>
      <c r="E759" s="27"/>
      <c r="F759" s="27"/>
      <c r="G759" s="27"/>
      <c r="H759" s="27"/>
      <c r="I759" s="27"/>
      <c r="J759" s="125"/>
      <c r="K759" s="27"/>
    </row>
    <row r="760" spans="1:11" s="7" customFormat="1">
      <c r="B760" s="27"/>
      <c r="C760" s="27"/>
      <c r="D760" s="27"/>
      <c r="E760" s="27"/>
      <c r="F760" s="27"/>
      <c r="G760" s="27"/>
      <c r="H760" s="27"/>
      <c r="I760" s="27"/>
      <c r="J760" s="125"/>
      <c r="K760" s="27"/>
    </row>
    <row r="761" spans="1:11" s="7" customFormat="1">
      <c r="B761" s="27"/>
      <c r="C761" s="27"/>
      <c r="D761" s="27"/>
      <c r="E761" s="27"/>
      <c r="F761" s="27"/>
      <c r="G761" s="27"/>
      <c r="H761" s="27"/>
      <c r="I761" s="27"/>
      <c r="J761" s="125"/>
      <c r="K761" s="27"/>
    </row>
    <row r="762" spans="1:11" s="7" customFormat="1">
      <c r="B762" s="27"/>
      <c r="C762" s="27"/>
      <c r="D762" s="27"/>
      <c r="E762" s="27"/>
      <c r="F762" s="27"/>
      <c r="G762" s="27"/>
      <c r="H762" s="27"/>
      <c r="I762" s="27"/>
      <c r="J762" s="125"/>
      <c r="K762" s="27"/>
    </row>
    <row r="763" spans="1:11" s="7" customFormat="1">
      <c r="B763" s="27"/>
      <c r="C763" s="27"/>
      <c r="D763" s="27"/>
      <c r="E763" s="27"/>
      <c r="F763" s="27"/>
      <c r="G763" s="27"/>
      <c r="H763" s="27"/>
      <c r="I763" s="27"/>
      <c r="J763" s="125"/>
      <c r="K763" s="27"/>
    </row>
    <row r="764" spans="1:11" s="7" customFormat="1">
      <c r="B764" s="154"/>
      <c r="C764" s="154"/>
      <c r="D764" s="154"/>
      <c r="E764" s="154"/>
      <c r="F764" s="154"/>
      <c r="G764" s="154"/>
      <c r="H764" s="154"/>
      <c r="I764" s="154"/>
      <c r="J764" s="155"/>
      <c r="K764" s="154"/>
    </row>
    <row r="765" spans="1:11" s="7" customFormat="1">
      <c r="B765" s="154"/>
      <c r="C765" s="154"/>
      <c r="D765" s="154"/>
      <c r="E765" s="154"/>
      <c r="F765" s="154"/>
      <c r="G765" s="154"/>
      <c r="H765" s="154"/>
      <c r="I765" s="154"/>
      <c r="J765" s="155"/>
      <c r="K765" s="154"/>
    </row>
    <row r="766" spans="1:11" s="7" customFormat="1">
      <c r="B766" s="154"/>
      <c r="C766" s="154"/>
      <c r="D766" s="154"/>
      <c r="E766" s="154"/>
      <c r="F766" s="154"/>
      <c r="G766" s="154"/>
      <c r="H766" s="154"/>
      <c r="I766" s="154"/>
      <c r="J766" s="155"/>
      <c r="K766" s="154"/>
    </row>
    <row r="767" spans="1:11" s="7" customFormat="1">
      <c r="B767" s="108"/>
      <c r="C767" s="108"/>
      <c r="D767" s="108"/>
      <c r="E767" s="108"/>
      <c r="F767" s="108"/>
      <c r="G767" s="108"/>
      <c r="H767" s="108"/>
      <c r="I767" s="108"/>
      <c r="J767" s="156"/>
      <c r="K767" s="108"/>
    </row>
    <row r="768" spans="1:11" s="7" customFormat="1">
      <c r="B768" s="108"/>
      <c r="C768" s="108"/>
      <c r="D768" s="108"/>
      <c r="E768" s="108"/>
      <c r="F768" s="108"/>
      <c r="G768" s="108"/>
      <c r="H768" s="108"/>
      <c r="I768" s="108"/>
      <c r="J768" s="156"/>
      <c r="K768" s="108"/>
    </row>
    <row r="769" spans="2:11" s="7" customFormat="1">
      <c r="B769" s="108"/>
      <c r="C769" s="108"/>
      <c r="D769" s="108"/>
      <c r="E769" s="108"/>
      <c r="F769" s="108"/>
      <c r="G769" s="108"/>
      <c r="H769" s="108"/>
      <c r="I769" s="108"/>
      <c r="J769" s="156"/>
      <c r="K769" s="108"/>
    </row>
    <row r="770" spans="2:11" s="7" customFormat="1">
      <c r="B770" s="108"/>
      <c r="C770" s="108"/>
      <c r="D770" s="108"/>
      <c r="E770" s="108"/>
      <c r="F770" s="108"/>
      <c r="G770" s="108"/>
      <c r="H770" s="108"/>
      <c r="I770" s="108"/>
      <c r="J770" s="156"/>
      <c r="K770" s="108"/>
    </row>
    <row r="771" spans="2:11" s="7" customFormat="1">
      <c r="B771" s="108"/>
      <c r="C771" s="108"/>
      <c r="D771" s="108"/>
      <c r="E771" s="108"/>
      <c r="F771" s="108"/>
      <c r="G771" s="108"/>
      <c r="H771" s="108"/>
      <c r="I771" s="108"/>
      <c r="J771" s="156"/>
      <c r="K771" s="108"/>
    </row>
    <row r="772" spans="2:11" s="7" customFormat="1">
      <c r="B772" s="108"/>
      <c r="C772" s="108"/>
      <c r="D772" s="108"/>
      <c r="E772" s="108"/>
      <c r="F772" s="108"/>
      <c r="G772" s="108"/>
      <c r="H772" s="108"/>
      <c r="I772" s="108"/>
      <c r="J772" s="156"/>
      <c r="K772" s="108"/>
    </row>
    <row r="773" spans="2:11" s="7" customFormat="1">
      <c r="B773" s="108"/>
      <c r="C773" s="108"/>
      <c r="D773" s="108"/>
      <c r="E773" s="108"/>
      <c r="F773" s="108"/>
      <c r="G773" s="108"/>
      <c r="H773" s="108"/>
      <c r="I773" s="108"/>
      <c r="J773" s="156"/>
      <c r="K773" s="108"/>
    </row>
    <row r="774" spans="2:11" s="7" customFormat="1">
      <c r="B774" s="108"/>
      <c r="C774" s="108"/>
      <c r="D774" s="108"/>
      <c r="E774" s="108"/>
      <c r="F774" s="108"/>
      <c r="G774" s="108"/>
      <c r="H774" s="108"/>
      <c r="I774" s="108"/>
      <c r="J774" s="156"/>
      <c r="K774" s="108"/>
    </row>
    <row r="775" spans="2:11" s="7" customFormat="1">
      <c r="B775" s="108"/>
      <c r="C775" s="108"/>
      <c r="D775" s="108"/>
      <c r="E775" s="108"/>
      <c r="F775" s="108"/>
      <c r="G775" s="108"/>
      <c r="H775" s="108"/>
      <c r="I775" s="108"/>
      <c r="J775" s="156"/>
      <c r="K775" s="108"/>
    </row>
    <row r="776" spans="2:11" s="7" customFormat="1">
      <c r="B776" s="108"/>
      <c r="C776" s="108"/>
      <c r="D776" s="108"/>
      <c r="E776" s="108"/>
      <c r="F776" s="108"/>
      <c r="G776" s="108"/>
      <c r="H776" s="108"/>
      <c r="I776" s="108"/>
      <c r="J776" s="156"/>
      <c r="K776" s="108"/>
    </row>
    <row r="777" spans="2:11" s="7" customFormat="1">
      <c r="B777" s="108"/>
      <c r="C777" s="108"/>
      <c r="D777" s="108"/>
      <c r="E777" s="108"/>
      <c r="F777" s="108"/>
      <c r="G777" s="108"/>
      <c r="H777" s="108"/>
      <c r="I777" s="108"/>
      <c r="J777" s="156"/>
      <c r="K777" s="108"/>
    </row>
    <row r="778" spans="2:11" s="7" customFormat="1">
      <c r="B778" s="108"/>
      <c r="C778" s="108"/>
      <c r="D778" s="108"/>
      <c r="E778" s="108"/>
      <c r="F778" s="108"/>
      <c r="G778" s="108"/>
      <c r="H778" s="108"/>
      <c r="I778" s="108"/>
      <c r="J778" s="156"/>
      <c r="K778" s="108"/>
    </row>
    <row r="779" spans="2:11" s="7" customFormat="1">
      <c r="B779" s="108"/>
      <c r="C779" s="108"/>
      <c r="D779" s="108"/>
      <c r="E779" s="108"/>
      <c r="F779" s="108"/>
      <c r="G779" s="108"/>
      <c r="H779" s="108"/>
      <c r="I779" s="108"/>
      <c r="J779" s="156"/>
      <c r="K779" s="108"/>
    </row>
    <row r="780" spans="2:11" s="7" customFormat="1">
      <c r="B780" s="108"/>
      <c r="C780" s="108"/>
      <c r="D780" s="108"/>
      <c r="E780" s="108"/>
      <c r="F780" s="108"/>
      <c r="G780" s="108"/>
      <c r="H780" s="108"/>
      <c r="I780" s="108"/>
      <c r="J780" s="156"/>
      <c r="K780" s="108"/>
    </row>
    <row r="781" spans="2:11" s="7" customFormat="1">
      <c r="B781" s="108"/>
      <c r="C781" s="108"/>
      <c r="D781" s="108"/>
      <c r="E781" s="108"/>
      <c r="F781" s="108"/>
      <c r="G781" s="108"/>
      <c r="H781" s="108"/>
      <c r="I781" s="108"/>
      <c r="J781" s="156"/>
      <c r="K781" s="108"/>
    </row>
    <row r="782" spans="2:11" s="7" customFormat="1">
      <c r="B782" s="108"/>
      <c r="C782" s="108"/>
      <c r="D782" s="108"/>
      <c r="E782" s="108"/>
      <c r="F782" s="108"/>
      <c r="G782" s="108"/>
      <c r="H782" s="108"/>
      <c r="I782" s="108"/>
      <c r="J782" s="156"/>
      <c r="K782" s="108"/>
    </row>
    <row r="783" spans="2:11" s="7" customFormat="1">
      <c r="B783" s="108"/>
      <c r="C783" s="108"/>
      <c r="D783" s="108"/>
      <c r="E783" s="108"/>
      <c r="F783" s="108"/>
      <c r="G783" s="108"/>
      <c r="H783" s="108"/>
      <c r="I783" s="108"/>
      <c r="J783" s="156"/>
      <c r="K783" s="108"/>
    </row>
    <row r="784" spans="2:11" s="7" customFormat="1">
      <c r="B784" s="108"/>
      <c r="C784" s="108"/>
      <c r="D784" s="108"/>
      <c r="E784" s="108"/>
      <c r="F784" s="108"/>
      <c r="G784" s="108"/>
      <c r="H784" s="108"/>
      <c r="I784" s="108"/>
      <c r="J784" s="156"/>
      <c r="K784" s="108"/>
    </row>
    <row r="785" spans="2:11" s="7" customFormat="1">
      <c r="B785" s="108"/>
      <c r="C785" s="108"/>
      <c r="D785" s="108"/>
      <c r="E785" s="108"/>
      <c r="F785" s="108"/>
      <c r="G785" s="108"/>
      <c r="H785" s="108"/>
      <c r="I785" s="108"/>
      <c r="J785" s="156"/>
      <c r="K785" s="108"/>
    </row>
    <row r="786" spans="2:11" s="7" customFormat="1">
      <c r="B786" s="108"/>
      <c r="C786" s="108"/>
      <c r="D786" s="108"/>
      <c r="E786" s="108"/>
      <c r="F786" s="108"/>
      <c r="G786" s="108"/>
      <c r="H786" s="108"/>
      <c r="I786" s="108"/>
      <c r="J786" s="156"/>
      <c r="K786" s="108"/>
    </row>
    <row r="787" spans="2:11" s="7" customFormat="1">
      <c r="B787" s="108"/>
      <c r="C787" s="108"/>
      <c r="D787" s="108"/>
      <c r="E787" s="108"/>
      <c r="F787" s="108"/>
      <c r="G787" s="108"/>
      <c r="H787" s="108"/>
      <c r="I787" s="108"/>
      <c r="J787" s="156"/>
      <c r="K787" s="108"/>
    </row>
    <row r="788" spans="2:11" s="7" customFormat="1">
      <c r="B788" s="108"/>
      <c r="C788" s="108"/>
      <c r="D788" s="108"/>
      <c r="E788" s="108"/>
      <c r="F788" s="108"/>
      <c r="G788" s="108"/>
      <c r="H788" s="108"/>
      <c r="I788" s="108"/>
      <c r="J788" s="156"/>
      <c r="K788" s="108"/>
    </row>
    <row r="789" spans="2:11" s="7" customFormat="1">
      <c r="B789" s="108"/>
      <c r="C789" s="108"/>
      <c r="D789" s="108"/>
      <c r="E789" s="108"/>
      <c r="F789" s="108"/>
      <c r="G789" s="108"/>
      <c r="H789" s="108"/>
      <c r="I789" s="108"/>
      <c r="J789" s="156"/>
      <c r="K789" s="108"/>
    </row>
    <row r="790" spans="2:11" s="7" customFormat="1">
      <c r="B790" s="108"/>
      <c r="C790" s="108"/>
      <c r="D790" s="108"/>
      <c r="E790" s="108"/>
      <c r="F790" s="108"/>
      <c r="G790" s="108"/>
      <c r="H790" s="108"/>
      <c r="I790" s="108"/>
      <c r="J790" s="156"/>
      <c r="K790" s="108"/>
    </row>
    <row r="791" spans="2:11" s="7" customFormat="1">
      <c r="B791" s="108"/>
      <c r="C791" s="108"/>
      <c r="D791" s="108"/>
      <c r="E791" s="108"/>
      <c r="F791" s="108"/>
      <c r="G791" s="108"/>
      <c r="H791" s="108"/>
      <c r="I791" s="108"/>
      <c r="J791" s="156"/>
      <c r="K791" s="108"/>
    </row>
    <row r="792" spans="2:11" s="7" customFormat="1">
      <c r="B792" s="108"/>
      <c r="C792" s="108"/>
      <c r="D792" s="108"/>
      <c r="E792" s="108"/>
      <c r="F792" s="108"/>
      <c r="G792" s="108"/>
      <c r="H792" s="108"/>
      <c r="I792" s="108"/>
      <c r="J792" s="156"/>
      <c r="K792" s="108"/>
    </row>
    <row r="793" spans="2:11" s="7" customFormat="1">
      <c r="B793" s="108"/>
      <c r="C793" s="108"/>
      <c r="D793" s="108"/>
      <c r="E793" s="108"/>
      <c r="F793" s="108"/>
      <c r="G793" s="108"/>
      <c r="H793" s="108"/>
      <c r="I793" s="108"/>
      <c r="J793" s="156"/>
      <c r="K793" s="108"/>
    </row>
    <row r="794" spans="2:11" s="7" customFormat="1">
      <c r="B794" s="108"/>
      <c r="C794" s="108"/>
      <c r="D794" s="108"/>
      <c r="E794" s="108"/>
      <c r="F794" s="108"/>
      <c r="G794" s="108"/>
      <c r="H794" s="108"/>
      <c r="I794" s="108"/>
      <c r="J794" s="156"/>
      <c r="K794" s="108"/>
    </row>
    <row r="795" spans="2:11" s="7" customFormat="1">
      <c r="B795" s="108"/>
      <c r="C795" s="108"/>
      <c r="D795" s="108"/>
      <c r="E795" s="108"/>
      <c r="F795" s="108"/>
      <c r="G795" s="108"/>
      <c r="H795" s="108"/>
      <c r="I795" s="108"/>
      <c r="J795" s="156"/>
      <c r="K795" s="108"/>
    </row>
    <row r="796" spans="2:11" s="7" customFormat="1">
      <c r="B796" s="108"/>
      <c r="C796" s="108"/>
      <c r="D796" s="108"/>
      <c r="E796" s="108"/>
      <c r="F796" s="108"/>
      <c r="G796" s="108"/>
      <c r="H796" s="108"/>
      <c r="I796" s="108"/>
      <c r="J796" s="156"/>
      <c r="K796" s="108"/>
    </row>
    <row r="797" spans="2:11" s="7" customFormat="1">
      <c r="B797" s="108"/>
      <c r="C797" s="108"/>
      <c r="D797" s="108"/>
      <c r="E797" s="108"/>
      <c r="F797" s="108"/>
      <c r="G797" s="108"/>
      <c r="H797" s="108"/>
      <c r="I797" s="108"/>
      <c r="J797" s="156"/>
      <c r="K797" s="108"/>
    </row>
    <row r="798" spans="2:11" s="7" customFormat="1">
      <c r="B798" s="108"/>
      <c r="C798" s="108"/>
      <c r="D798" s="108"/>
      <c r="E798" s="108"/>
      <c r="F798" s="108"/>
      <c r="G798" s="108"/>
      <c r="H798" s="108"/>
      <c r="I798" s="108"/>
      <c r="J798" s="156"/>
      <c r="K798" s="108"/>
    </row>
    <row r="799" spans="2:11" s="7" customFormat="1">
      <c r="B799" s="108"/>
      <c r="C799" s="108"/>
      <c r="D799" s="108"/>
      <c r="E799" s="108"/>
      <c r="F799" s="108"/>
      <c r="G799" s="108"/>
      <c r="H799" s="108"/>
      <c r="I799" s="108"/>
      <c r="J799" s="156"/>
      <c r="K799" s="108"/>
    </row>
    <row r="800" spans="2:11" s="7" customFormat="1">
      <c r="B800" s="108"/>
      <c r="C800" s="108"/>
      <c r="D800" s="108"/>
      <c r="E800" s="108"/>
      <c r="F800" s="108"/>
      <c r="G800" s="108"/>
      <c r="H800" s="108"/>
      <c r="I800" s="108"/>
      <c r="J800" s="156"/>
      <c r="K800" s="108"/>
    </row>
    <row r="801" spans="2:11" s="7" customFormat="1">
      <c r="B801" s="108"/>
      <c r="C801" s="108"/>
      <c r="D801" s="108"/>
      <c r="E801" s="108"/>
      <c r="F801" s="108"/>
      <c r="G801" s="108"/>
      <c r="H801" s="108"/>
      <c r="I801" s="108"/>
      <c r="J801" s="156"/>
      <c r="K801" s="108"/>
    </row>
    <row r="802" spans="2:11" s="7" customFormat="1">
      <c r="B802" s="108"/>
      <c r="C802" s="108"/>
      <c r="D802" s="108"/>
      <c r="E802" s="108"/>
      <c r="F802" s="108"/>
      <c r="G802" s="108"/>
      <c r="H802" s="108"/>
      <c r="I802" s="108"/>
      <c r="J802" s="156"/>
      <c r="K802" s="108"/>
    </row>
    <row r="803" spans="2:11" s="7" customFormat="1">
      <c r="B803" s="108"/>
      <c r="C803" s="108"/>
      <c r="D803" s="108"/>
      <c r="E803" s="108"/>
      <c r="F803" s="108"/>
      <c r="G803" s="108"/>
      <c r="H803" s="108"/>
      <c r="I803" s="108"/>
      <c r="J803" s="156"/>
      <c r="K803" s="108"/>
    </row>
    <row r="804" spans="2:11" s="7" customFormat="1">
      <c r="B804" s="108"/>
      <c r="C804" s="108"/>
      <c r="D804" s="108"/>
      <c r="E804" s="108"/>
      <c r="F804" s="108"/>
      <c r="G804" s="108"/>
      <c r="H804" s="108"/>
      <c r="I804" s="108"/>
      <c r="J804" s="156"/>
      <c r="K804" s="108"/>
    </row>
    <row r="805" spans="2:11" s="7" customFormat="1">
      <c r="B805" s="108"/>
      <c r="C805" s="108"/>
      <c r="D805" s="108"/>
      <c r="E805" s="108"/>
      <c r="F805" s="108"/>
      <c r="G805" s="108"/>
      <c r="H805" s="108"/>
      <c r="I805" s="108"/>
      <c r="J805" s="156"/>
      <c r="K805" s="108"/>
    </row>
    <row r="806" spans="2:11" s="7" customFormat="1">
      <c r="B806" s="108"/>
      <c r="C806" s="108"/>
      <c r="D806" s="108"/>
      <c r="E806" s="108"/>
      <c r="F806" s="108"/>
      <c r="G806" s="108"/>
      <c r="H806" s="108"/>
      <c r="I806" s="108"/>
      <c r="J806" s="156"/>
      <c r="K806" s="108"/>
    </row>
    <row r="807" spans="2:11" s="7" customFormat="1">
      <c r="B807" s="108"/>
      <c r="C807" s="108"/>
      <c r="D807" s="108"/>
      <c r="E807" s="108"/>
      <c r="F807" s="108"/>
      <c r="G807" s="108"/>
      <c r="H807" s="108"/>
      <c r="I807" s="108"/>
      <c r="J807" s="156"/>
      <c r="K807" s="108"/>
    </row>
    <row r="808" spans="2:11" s="7" customFormat="1">
      <c r="B808" s="108"/>
      <c r="C808" s="108"/>
      <c r="D808" s="108"/>
      <c r="E808" s="108"/>
      <c r="F808" s="108"/>
      <c r="G808" s="108"/>
      <c r="H808" s="108"/>
      <c r="I808" s="108"/>
      <c r="J808" s="156"/>
      <c r="K808" s="108"/>
    </row>
    <row r="809" spans="2:11" s="7" customFormat="1">
      <c r="B809" s="108"/>
      <c r="C809" s="108"/>
      <c r="D809" s="108"/>
      <c r="E809" s="108"/>
      <c r="F809" s="108"/>
      <c r="G809" s="108"/>
      <c r="H809" s="108"/>
      <c r="I809" s="108"/>
      <c r="J809" s="156"/>
      <c r="K809" s="108"/>
    </row>
    <row r="810" spans="2:11" s="7" customFormat="1">
      <c r="B810" s="108"/>
      <c r="C810" s="108"/>
      <c r="D810" s="108"/>
      <c r="E810" s="108"/>
      <c r="F810" s="108"/>
      <c r="G810" s="108"/>
      <c r="H810" s="108"/>
      <c r="I810" s="108"/>
      <c r="J810" s="156"/>
      <c r="K810" s="108"/>
    </row>
    <row r="811" spans="2:11" s="7" customFormat="1">
      <c r="B811" s="108"/>
      <c r="C811" s="108"/>
      <c r="D811" s="108"/>
      <c r="E811" s="108"/>
      <c r="F811" s="108"/>
      <c r="G811" s="108"/>
      <c r="H811" s="108"/>
      <c r="I811" s="108"/>
      <c r="J811" s="156"/>
      <c r="K811" s="108"/>
    </row>
    <row r="812" spans="2:11" s="7" customFormat="1">
      <c r="B812" s="108"/>
      <c r="C812" s="108"/>
      <c r="D812" s="108"/>
      <c r="E812" s="108"/>
      <c r="F812" s="108"/>
      <c r="G812" s="108"/>
      <c r="H812" s="108"/>
      <c r="I812" s="108"/>
      <c r="J812" s="156"/>
      <c r="K812" s="108"/>
    </row>
    <row r="813" spans="2:11" s="7" customFormat="1">
      <c r="B813" s="108"/>
      <c r="C813" s="108"/>
      <c r="D813" s="108"/>
      <c r="E813" s="108"/>
      <c r="F813" s="108"/>
      <c r="G813" s="108"/>
      <c r="H813" s="108"/>
      <c r="I813" s="108"/>
      <c r="J813" s="156"/>
      <c r="K813" s="108"/>
    </row>
    <row r="814" spans="2:11" s="7" customFormat="1">
      <c r="B814" s="108"/>
      <c r="C814" s="108"/>
      <c r="D814" s="108"/>
      <c r="E814" s="108"/>
      <c r="F814" s="108"/>
      <c r="G814" s="108"/>
      <c r="H814" s="108"/>
      <c r="I814" s="108"/>
      <c r="J814" s="156"/>
      <c r="K814" s="108"/>
    </row>
    <row r="815" spans="2:11" s="7" customFormat="1">
      <c r="B815" s="108"/>
      <c r="C815" s="108"/>
      <c r="D815" s="108"/>
      <c r="E815" s="108"/>
      <c r="F815" s="108"/>
      <c r="G815" s="108"/>
      <c r="H815" s="108"/>
      <c r="I815" s="108"/>
      <c r="J815" s="156"/>
      <c r="K815" s="108"/>
    </row>
    <row r="816" spans="2:11" s="7" customFormat="1">
      <c r="B816" s="108"/>
      <c r="C816" s="108"/>
      <c r="D816" s="108"/>
      <c r="E816" s="108"/>
      <c r="F816" s="108"/>
      <c r="G816" s="108"/>
      <c r="H816" s="108"/>
      <c r="I816" s="108"/>
      <c r="J816" s="156"/>
      <c r="K816" s="108"/>
    </row>
    <row r="817" spans="2:11" s="7" customFormat="1">
      <c r="B817" s="108"/>
      <c r="C817" s="108"/>
      <c r="D817" s="108"/>
      <c r="E817" s="108"/>
      <c r="F817" s="108"/>
      <c r="G817" s="108"/>
      <c r="H817" s="108"/>
      <c r="I817" s="108"/>
      <c r="J817" s="156"/>
      <c r="K817" s="108"/>
    </row>
    <row r="818" spans="2:11" s="7" customFormat="1">
      <c r="B818" s="108"/>
      <c r="C818" s="108"/>
      <c r="D818" s="108"/>
      <c r="E818" s="108"/>
      <c r="F818" s="108"/>
      <c r="G818" s="108"/>
      <c r="H818" s="108"/>
      <c r="I818" s="108"/>
      <c r="J818" s="156"/>
      <c r="K818" s="108"/>
    </row>
    <row r="819" spans="2:11" s="7" customFormat="1">
      <c r="B819" s="108"/>
      <c r="C819" s="108"/>
      <c r="D819" s="108"/>
      <c r="E819" s="108"/>
      <c r="F819" s="108"/>
      <c r="G819" s="108"/>
      <c r="H819" s="108"/>
      <c r="I819" s="108"/>
      <c r="J819" s="156"/>
      <c r="K819" s="108"/>
    </row>
    <row r="820" spans="2:11" s="7" customFormat="1">
      <c r="B820" s="108"/>
      <c r="C820" s="108"/>
      <c r="D820" s="108"/>
      <c r="E820" s="108"/>
      <c r="F820" s="108"/>
      <c r="G820" s="108"/>
      <c r="H820" s="108"/>
      <c r="I820" s="108"/>
      <c r="J820" s="156"/>
      <c r="K820" s="108"/>
    </row>
    <row r="821" spans="2:11" s="7" customFormat="1">
      <c r="B821" s="108"/>
      <c r="C821" s="108"/>
      <c r="D821" s="108"/>
      <c r="E821" s="108"/>
      <c r="F821" s="108"/>
      <c r="G821" s="108"/>
      <c r="H821" s="108"/>
      <c r="I821" s="108"/>
      <c r="J821" s="156"/>
      <c r="K821" s="108"/>
    </row>
    <row r="822" spans="2:11" s="7" customFormat="1">
      <c r="B822" s="108"/>
      <c r="C822" s="108"/>
      <c r="D822" s="108"/>
      <c r="E822" s="108"/>
      <c r="F822" s="108"/>
      <c r="G822" s="108"/>
      <c r="H822" s="108"/>
      <c r="I822" s="108"/>
      <c r="J822" s="156"/>
      <c r="K822" s="108"/>
    </row>
    <row r="823" spans="2:11" s="7" customFormat="1">
      <c r="B823" s="108"/>
      <c r="C823" s="108"/>
      <c r="D823" s="108"/>
      <c r="E823" s="108"/>
      <c r="F823" s="108"/>
      <c r="G823" s="108"/>
      <c r="H823" s="108"/>
      <c r="I823" s="108"/>
      <c r="J823" s="156"/>
      <c r="K823" s="108"/>
    </row>
    <row r="824" spans="2:11" s="7" customFormat="1">
      <c r="B824" s="108"/>
      <c r="C824" s="108"/>
      <c r="D824" s="108"/>
      <c r="E824" s="108"/>
      <c r="F824" s="108"/>
      <c r="G824" s="108"/>
      <c r="H824" s="108"/>
      <c r="I824" s="108"/>
      <c r="J824" s="156"/>
      <c r="K824" s="108"/>
    </row>
    <row r="825" spans="2:11" s="7" customFormat="1">
      <c r="B825" s="108"/>
      <c r="C825" s="108"/>
      <c r="D825" s="108"/>
      <c r="E825" s="108"/>
      <c r="F825" s="108"/>
      <c r="G825" s="108"/>
      <c r="H825" s="108"/>
      <c r="I825" s="108"/>
      <c r="J825" s="156"/>
      <c r="K825" s="108"/>
    </row>
    <row r="826" spans="2:11" s="7" customFormat="1">
      <c r="B826" s="108"/>
      <c r="C826" s="108"/>
      <c r="D826" s="108"/>
      <c r="E826" s="108"/>
      <c r="F826" s="108"/>
      <c r="G826" s="108"/>
      <c r="H826" s="108"/>
      <c r="I826" s="108"/>
      <c r="J826" s="156"/>
      <c r="K826" s="108"/>
    </row>
    <row r="827" spans="2:11" s="7" customFormat="1">
      <c r="B827" s="108"/>
      <c r="C827" s="108"/>
      <c r="D827" s="108"/>
      <c r="E827" s="108"/>
      <c r="F827" s="108"/>
      <c r="G827" s="108"/>
      <c r="H827" s="108"/>
      <c r="I827" s="108"/>
      <c r="J827" s="156"/>
      <c r="K827" s="108"/>
    </row>
    <row r="828" spans="2:11" s="7" customFormat="1">
      <c r="B828" s="108"/>
      <c r="C828" s="108"/>
      <c r="D828" s="108"/>
      <c r="E828" s="108"/>
      <c r="F828" s="108"/>
      <c r="G828" s="108"/>
      <c r="H828" s="108"/>
      <c r="I828" s="108"/>
      <c r="J828" s="156"/>
      <c r="K828" s="108"/>
    </row>
    <row r="829" spans="2:11" s="7" customFormat="1">
      <c r="B829" s="108"/>
      <c r="C829" s="108"/>
      <c r="D829" s="108"/>
      <c r="E829" s="108"/>
      <c r="F829" s="108"/>
      <c r="G829" s="108"/>
      <c r="H829" s="108"/>
      <c r="I829" s="108"/>
      <c r="J829" s="156"/>
      <c r="K829" s="108"/>
    </row>
    <row r="830" spans="2:11" s="7" customFormat="1">
      <c r="B830" s="108"/>
      <c r="C830" s="108"/>
      <c r="D830" s="108"/>
      <c r="E830" s="108"/>
      <c r="F830" s="108"/>
      <c r="G830" s="108"/>
      <c r="H830" s="108"/>
      <c r="I830" s="108"/>
      <c r="J830" s="156"/>
      <c r="K830" s="108"/>
    </row>
    <row r="831" spans="2:11" s="7" customFormat="1">
      <c r="B831" s="108"/>
      <c r="C831" s="108"/>
      <c r="D831" s="108"/>
      <c r="E831" s="108"/>
      <c r="F831" s="108"/>
      <c r="G831" s="108"/>
      <c r="H831" s="108"/>
      <c r="I831" s="108"/>
      <c r="J831" s="156"/>
      <c r="K831" s="108"/>
    </row>
    <row r="832" spans="2:11" s="7" customFormat="1">
      <c r="B832" s="108"/>
      <c r="C832" s="108"/>
      <c r="D832" s="108"/>
      <c r="E832" s="108"/>
      <c r="F832" s="108"/>
      <c r="G832" s="108"/>
      <c r="H832" s="108"/>
      <c r="I832" s="108"/>
      <c r="J832" s="156"/>
      <c r="K832" s="108"/>
    </row>
    <row r="833" spans="2:11" s="7" customFormat="1">
      <c r="B833" s="108"/>
      <c r="C833" s="108"/>
      <c r="D833" s="108"/>
      <c r="E833" s="108"/>
      <c r="F833" s="108"/>
      <c r="G833" s="108"/>
      <c r="H833" s="108"/>
      <c r="I833" s="108"/>
      <c r="J833" s="156"/>
      <c r="K833" s="108"/>
    </row>
    <row r="834" spans="2:11" s="7" customFormat="1">
      <c r="B834" s="108"/>
      <c r="C834" s="108"/>
      <c r="D834" s="108"/>
      <c r="E834" s="108"/>
      <c r="F834" s="108"/>
      <c r="G834" s="108"/>
      <c r="H834" s="108"/>
      <c r="I834" s="108"/>
      <c r="J834" s="156"/>
      <c r="K834" s="108"/>
    </row>
    <row r="835" spans="2:11" s="7" customFormat="1">
      <c r="B835" s="108"/>
      <c r="C835" s="108"/>
      <c r="D835" s="108"/>
      <c r="E835" s="108"/>
      <c r="F835" s="108"/>
      <c r="G835" s="108"/>
      <c r="H835" s="108"/>
      <c r="I835" s="108"/>
      <c r="J835" s="156"/>
      <c r="K835" s="108"/>
    </row>
    <row r="836" spans="2:11" s="7" customFormat="1">
      <c r="B836" s="108"/>
      <c r="C836" s="108"/>
      <c r="D836" s="108"/>
      <c r="E836" s="108"/>
      <c r="F836" s="108"/>
      <c r="G836" s="108"/>
      <c r="H836" s="108"/>
      <c r="I836" s="108"/>
      <c r="J836" s="156"/>
      <c r="K836" s="108"/>
    </row>
    <row r="837" spans="2:11" s="7" customFormat="1">
      <c r="B837" s="108"/>
      <c r="C837" s="108"/>
      <c r="D837" s="108"/>
      <c r="E837" s="108"/>
      <c r="F837" s="108"/>
      <c r="G837" s="108"/>
      <c r="H837" s="108"/>
      <c r="I837" s="108"/>
      <c r="J837" s="156"/>
      <c r="K837" s="108"/>
    </row>
    <row r="838" spans="2:11" s="7" customFormat="1">
      <c r="B838" s="108"/>
      <c r="C838" s="108"/>
      <c r="D838" s="108"/>
      <c r="E838" s="108"/>
      <c r="F838" s="108"/>
      <c r="G838" s="108"/>
      <c r="H838" s="108"/>
      <c r="I838" s="108"/>
      <c r="J838" s="156"/>
      <c r="K838" s="108"/>
    </row>
    <row r="839" spans="2:11" s="7" customFormat="1">
      <c r="B839" s="108"/>
      <c r="C839" s="108"/>
      <c r="D839" s="108"/>
      <c r="E839" s="108"/>
      <c r="F839" s="108"/>
      <c r="G839" s="108"/>
      <c r="H839" s="108"/>
      <c r="I839" s="108"/>
      <c r="J839" s="156"/>
      <c r="K839" s="108"/>
    </row>
    <row r="840" spans="2:11" s="7" customFormat="1">
      <c r="B840" s="108"/>
      <c r="C840" s="108"/>
      <c r="D840" s="108"/>
      <c r="E840" s="108"/>
      <c r="F840" s="108"/>
      <c r="G840" s="108"/>
      <c r="H840" s="108"/>
      <c r="I840" s="108"/>
      <c r="J840" s="156"/>
      <c r="K840" s="108"/>
    </row>
    <row r="841" spans="2:11" s="7" customFormat="1">
      <c r="B841" s="108"/>
      <c r="C841" s="108"/>
      <c r="D841" s="108"/>
      <c r="E841" s="108"/>
      <c r="F841" s="108"/>
      <c r="G841" s="108"/>
      <c r="H841" s="108"/>
      <c r="I841" s="108"/>
      <c r="J841" s="156"/>
      <c r="K841" s="108"/>
    </row>
    <row r="842" spans="2:11" s="7" customFormat="1">
      <c r="B842" s="108"/>
      <c r="C842" s="108"/>
      <c r="D842" s="108"/>
      <c r="E842" s="108"/>
      <c r="F842" s="108"/>
      <c r="G842" s="108"/>
      <c r="H842" s="108"/>
      <c r="I842" s="108"/>
      <c r="J842" s="156"/>
      <c r="K842" s="108"/>
    </row>
    <row r="843" spans="2:11" s="7" customFormat="1">
      <c r="B843" s="108"/>
      <c r="C843" s="108"/>
      <c r="D843" s="108"/>
      <c r="E843" s="108"/>
      <c r="F843" s="108"/>
      <c r="G843" s="108"/>
      <c r="H843" s="108"/>
      <c r="I843" s="108"/>
      <c r="J843" s="156"/>
      <c r="K843" s="108"/>
    </row>
    <row r="844" spans="2:11" s="7" customFormat="1">
      <c r="B844" s="108"/>
      <c r="C844" s="108"/>
      <c r="D844" s="108"/>
      <c r="E844" s="108"/>
      <c r="F844" s="108"/>
      <c r="G844" s="108"/>
      <c r="H844" s="108"/>
      <c r="I844" s="108"/>
      <c r="J844" s="156"/>
      <c r="K844" s="108"/>
    </row>
    <row r="845" spans="2:11" s="7" customFormat="1">
      <c r="B845" s="108"/>
      <c r="C845" s="108"/>
      <c r="D845" s="108"/>
      <c r="E845" s="108"/>
      <c r="F845" s="108"/>
      <c r="G845" s="108"/>
      <c r="H845" s="108"/>
      <c r="I845" s="108"/>
      <c r="J845" s="156"/>
      <c r="K845" s="108"/>
    </row>
    <row r="846" spans="2:11" s="7" customFormat="1">
      <c r="B846" s="108"/>
      <c r="C846" s="108"/>
      <c r="D846" s="108"/>
      <c r="E846" s="108"/>
      <c r="F846" s="108"/>
      <c r="G846" s="108"/>
      <c r="H846" s="108"/>
      <c r="I846" s="108"/>
      <c r="J846" s="156"/>
      <c r="K846" s="108"/>
    </row>
    <row r="847" spans="2:11" s="7" customFormat="1">
      <c r="B847" s="108"/>
      <c r="C847" s="108"/>
      <c r="D847" s="108"/>
      <c r="E847" s="108"/>
      <c r="F847" s="108"/>
      <c r="G847" s="108"/>
      <c r="H847" s="108"/>
      <c r="I847" s="108"/>
      <c r="J847" s="156"/>
      <c r="K847" s="108"/>
    </row>
    <row r="848" spans="2:11" s="7" customFormat="1">
      <c r="B848" s="108"/>
      <c r="C848" s="108"/>
      <c r="D848" s="108"/>
      <c r="E848" s="108"/>
      <c r="F848" s="108"/>
      <c r="G848" s="108"/>
      <c r="H848" s="108"/>
      <c r="I848" s="108"/>
      <c r="J848" s="156"/>
      <c r="K848" s="108"/>
    </row>
    <row r="849" spans="2:11" s="7" customFormat="1">
      <c r="B849" s="108"/>
      <c r="C849" s="108"/>
      <c r="D849" s="108"/>
      <c r="E849" s="108"/>
      <c r="F849" s="108"/>
      <c r="G849" s="108"/>
      <c r="H849" s="108"/>
      <c r="I849" s="108"/>
      <c r="J849" s="156"/>
      <c r="K849" s="108"/>
    </row>
    <row r="850" spans="2:11" s="7" customFormat="1">
      <c r="B850" s="108"/>
      <c r="C850" s="108"/>
      <c r="D850" s="108"/>
      <c r="E850" s="108"/>
      <c r="F850" s="108"/>
      <c r="G850" s="108"/>
      <c r="H850" s="108"/>
      <c r="I850" s="108"/>
      <c r="J850" s="156"/>
      <c r="K850" s="108"/>
    </row>
    <row r="851" spans="2:11" s="7" customFormat="1">
      <c r="B851" s="108"/>
      <c r="C851" s="108"/>
      <c r="D851" s="108"/>
      <c r="E851" s="108"/>
      <c r="F851" s="108"/>
      <c r="G851" s="108"/>
      <c r="H851" s="108"/>
      <c r="I851" s="108"/>
      <c r="J851" s="156"/>
      <c r="K851" s="108"/>
    </row>
    <row r="852" spans="2:11" s="7" customFormat="1">
      <c r="B852" s="108"/>
      <c r="C852" s="108"/>
      <c r="D852" s="108"/>
      <c r="E852" s="108"/>
      <c r="F852" s="108"/>
      <c r="G852" s="108"/>
      <c r="H852" s="108"/>
      <c r="I852" s="108"/>
      <c r="J852" s="156"/>
      <c r="K852" s="108"/>
    </row>
    <row r="853" spans="2:11" s="7" customFormat="1">
      <c r="B853" s="108"/>
      <c r="C853" s="108"/>
      <c r="D853" s="108"/>
      <c r="E853" s="108"/>
      <c r="F853" s="108"/>
      <c r="G853" s="108"/>
      <c r="H853" s="108"/>
      <c r="I853" s="108"/>
      <c r="J853" s="156"/>
      <c r="K853" s="108"/>
    </row>
    <row r="854" spans="2:11" s="7" customFormat="1">
      <c r="B854" s="108"/>
      <c r="C854" s="108"/>
      <c r="D854" s="108"/>
      <c r="E854" s="108"/>
      <c r="F854" s="108"/>
      <c r="G854" s="108"/>
      <c r="H854" s="108"/>
      <c r="I854" s="108"/>
      <c r="J854" s="156"/>
      <c r="K854" s="108"/>
    </row>
    <row r="855" spans="2:11" s="7" customFormat="1">
      <c r="B855" s="108"/>
      <c r="C855" s="108"/>
      <c r="D855" s="108"/>
      <c r="E855" s="108"/>
      <c r="F855" s="108"/>
      <c r="G855" s="108"/>
      <c r="H855" s="108"/>
      <c r="I855" s="108"/>
      <c r="J855" s="156"/>
      <c r="K855" s="108"/>
    </row>
    <row r="856" spans="2:11" s="7" customFormat="1">
      <c r="B856" s="108"/>
      <c r="C856" s="108"/>
      <c r="D856" s="108"/>
      <c r="E856" s="108"/>
      <c r="F856" s="108"/>
      <c r="G856" s="108"/>
      <c r="H856" s="108"/>
      <c r="I856" s="108"/>
      <c r="J856" s="156"/>
      <c r="K856" s="108"/>
    </row>
    <row r="857" spans="2:11" s="7" customFormat="1">
      <c r="B857" s="108"/>
      <c r="C857" s="108"/>
      <c r="D857" s="108"/>
      <c r="E857" s="108"/>
      <c r="F857" s="108"/>
      <c r="G857" s="108"/>
      <c r="H857" s="108"/>
      <c r="I857" s="108"/>
      <c r="J857" s="156"/>
      <c r="K857" s="108"/>
    </row>
    <row r="858" spans="2:11" s="7" customFormat="1">
      <c r="B858" s="108"/>
      <c r="C858" s="108"/>
      <c r="D858" s="108"/>
      <c r="E858" s="108"/>
      <c r="F858" s="108"/>
      <c r="G858" s="108"/>
      <c r="H858" s="108"/>
      <c r="I858" s="108"/>
      <c r="J858" s="156"/>
      <c r="K858" s="108"/>
    </row>
    <row r="859" spans="2:11" s="7" customFormat="1">
      <c r="B859" s="108"/>
      <c r="C859" s="108"/>
      <c r="D859" s="108"/>
      <c r="E859" s="108"/>
      <c r="F859" s="108"/>
      <c r="G859" s="108"/>
      <c r="H859" s="108"/>
      <c r="I859" s="108"/>
      <c r="J859" s="156"/>
      <c r="K859" s="108"/>
    </row>
    <row r="860" spans="2:11" s="7" customFormat="1">
      <c r="B860" s="108"/>
      <c r="C860" s="108"/>
      <c r="D860" s="108"/>
      <c r="E860" s="108"/>
      <c r="F860" s="108"/>
      <c r="G860" s="108"/>
      <c r="H860" s="108"/>
      <c r="I860" s="108"/>
      <c r="J860" s="156"/>
      <c r="K860" s="108"/>
    </row>
    <row r="861" spans="2:11" s="7" customFormat="1">
      <c r="B861" s="108"/>
      <c r="C861" s="108"/>
      <c r="D861" s="108"/>
      <c r="E861" s="108"/>
      <c r="F861" s="108"/>
      <c r="G861" s="108"/>
      <c r="H861" s="108"/>
      <c r="I861" s="108"/>
      <c r="J861" s="156"/>
      <c r="K861" s="108"/>
    </row>
    <row r="862" spans="2:11" s="7" customFormat="1">
      <c r="B862" s="108"/>
      <c r="C862" s="108"/>
      <c r="D862" s="108"/>
      <c r="E862" s="108"/>
      <c r="F862" s="108"/>
      <c r="G862" s="108"/>
      <c r="H862" s="108"/>
      <c r="I862" s="108"/>
      <c r="J862" s="156"/>
      <c r="K862" s="108"/>
    </row>
    <row r="863" spans="2:11" s="7" customFormat="1">
      <c r="B863" s="108"/>
      <c r="C863" s="108"/>
      <c r="D863" s="108"/>
      <c r="E863" s="108"/>
      <c r="F863" s="108"/>
      <c r="G863" s="108"/>
      <c r="H863" s="108"/>
      <c r="I863" s="108"/>
      <c r="J863" s="156"/>
      <c r="K863" s="108"/>
    </row>
    <row r="864" spans="2:11" s="7" customFormat="1">
      <c r="B864" s="108"/>
      <c r="C864" s="108"/>
      <c r="D864" s="108"/>
      <c r="E864" s="108"/>
      <c r="F864" s="108"/>
      <c r="G864" s="108"/>
      <c r="H864" s="108"/>
      <c r="I864" s="108"/>
      <c r="J864" s="156"/>
      <c r="K864" s="108"/>
    </row>
    <row r="865" spans="2:11" s="7" customFormat="1">
      <c r="B865" s="108"/>
      <c r="C865" s="108"/>
      <c r="D865" s="108"/>
      <c r="E865" s="108"/>
      <c r="F865" s="108"/>
      <c r="G865" s="108"/>
      <c r="H865" s="108"/>
      <c r="I865" s="108"/>
      <c r="J865" s="156"/>
      <c r="K865" s="108"/>
    </row>
    <row r="866" spans="2:11" s="7" customFormat="1">
      <c r="B866" s="108"/>
      <c r="C866" s="108"/>
      <c r="D866" s="108"/>
      <c r="E866" s="108"/>
      <c r="F866" s="108"/>
      <c r="G866" s="108"/>
      <c r="H866" s="108"/>
      <c r="I866" s="108"/>
      <c r="J866" s="156"/>
      <c r="K866" s="108"/>
    </row>
    <row r="867" spans="2:11" s="7" customFormat="1">
      <c r="B867" s="108"/>
      <c r="C867" s="108"/>
      <c r="D867" s="108"/>
      <c r="E867" s="108"/>
      <c r="F867" s="108"/>
      <c r="G867" s="108"/>
      <c r="H867" s="108"/>
      <c r="I867" s="108"/>
      <c r="J867" s="156"/>
      <c r="K867" s="108"/>
    </row>
    <row r="868" spans="2:11" s="7" customFormat="1">
      <c r="B868" s="108"/>
      <c r="C868" s="108"/>
      <c r="D868" s="108"/>
      <c r="E868" s="108"/>
      <c r="F868" s="108"/>
      <c r="G868" s="108"/>
      <c r="H868" s="108"/>
      <c r="I868" s="108"/>
      <c r="J868" s="156"/>
      <c r="K868" s="108"/>
    </row>
    <row r="869" spans="2:11" s="7" customFormat="1">
      <c r="B869" s="108"/>
      <c r="C869" s="108"/>
      <c r="D869" s="108"/>
      <c r="E869" s="108"/>
      <c r="F869" s="108"/>
      <c r="G869" s="108"/>
      <c r="H869" s="108"/>
      <c r="I869" s="108"/>
      <c r="J869" s="156"/>
      <c r="K869" s="108"/>
    </row>
    <row r="870" spans="2:11" s="7" customFormat="1">
      <c r="B870" s="108"/>
      <c r="C870" s="108"/>
      <c r="D870" s="108"/>
      <c r="E870" s="108"/>
      <c r="F870" s="108"/>
      <c r="G870" s="108"/>
      <c r="H870" s="108"/>
      <c r="I870" s="108"/>
      <c r="J870" s="156"/>
      <c r="K870" s="108"/>
    </row>
    <row r="871" spans="2:11" s="7" customFormat="1">
      <c r="B871" s="108"/>
      <c r="C871" s="108"/>
      <c r="D871" s="108"/>
      <c r="E871" s="108"/>
      <c r="F871" s="108"/>
      <c r="G871" s="108"/>
      <c r="H871" s="108"/>
      <c r="I871" s="108"/>
      <c r="J871" s="156"/>
      <c r="K871" s="108"/>
    </row>
    <row r="872" spans="2:11" s="7" customFormat="1">
      <c r="B872" s="108"/>
      <c r="C872" s="108"/>
      <c r="D872" s="108"/>
      <c r="E872" s="108"/>
      <c r="F872" s="108"/>
      <c r="G872" s="108"/>
      <c r="H872" s="108"/>
      <c r="I872" s="108"/>
      <c r="J872" s="156"/>
      <c r="K872" s="108"/>
    </row>
    <row r="873" spans="2:11" s="7" customFormat="1">
      <c r="B873" s="108"/>
      <c r="C873" s="108"/>
      <c r="D873" s="108"/>
      <c r="E873" s="108"/>
      <c r="F873" s="108"/>
      <c r="G873" s="108"/>
      <c r="H873" s="108"/>
      <c r="I873" s="108"/>
      <c r="J873" s="156"/>
      <c r="K873" s="108"/>
    </row>
    <row r="874" spans="2:11" s="7" customFormat="1">
      <c r="B874" s="108"/>
      <c r="C874" s="108"/>
      <c r="D874" s="108"/>
      <c r="E874" s="108"/>
      <c r="F874" s="108"/>
      <c r="G874" s="108"/>
      <c r="H874" s="108"/>
      <c r="I874" s="108"/>
      <c r="J874" s="156"/>
      <c r="K874" s="108"/>
    </row>
    <row r="875" spans="2:11" s="7" customFormat="1">
      <c r="B875" s="108"/>
      <c r="C875" s="108"/>
      <c r="D875" s="108"/>
      <c r="E875" s="108"/>
      <c r="F875" s="108"/>
      <c r="G875" s="108"/>
      <c r="H875" s="108"/>
      <c r="I875" s="108"/>
      <c r="J875" s="156"/>
      <c r="K875" s="108"/>
    </row>
    <row r="876" spans="2:11" s="7" customFormat="1">
      <c r="B876" s="108"/>
      <c r="C876" s="108"/>
      <c r="D876" s="108"/>
      <c r="E876" s="108"/>
      <c r="F876" s="108"/>
      <c r="G876" s="108"/>
      <c r="H876" s="108"/>
      <c r="I876" s="108"/>
      <c r="J876" s="156"/>
      <c r="K876" s="108"/>
    </row>
    <row r="877" spans="2:11" s="7" customFormat="1">
      <c r="B877" s="108"/>
      <c r="C877" s="108"/>
      <c r="D877" s="108"/>
      <c r="E877" s="108"/>
      <c r="F877" s="108"/>
      <c r="G877" s="108"/>
      <c r="H877" s="108"/>
      <c r="I877" s="108"/>
      <c r="J877" s="156"/>
      <c r="K877" s="108"/>
    </row>
    <row r="878" spans="2:11" s="7" customFormat="1">
      <c r="B878" s="108"/>
      <c r="C878" s="108"/>
      <c r="D878" s="108"/>
      <c r="E878" s="108"/>
      <c r="F878" s="108"/>
      <c r="G878" s="108"/>
      <c r="H878" s="108"/>
      <c r="I878" s="108"/>
      <c r="J878" s="156"/>
      <c r="K878" s="108"/>
    </row>
    <row r="879" spans="2:11" s="7" customFormat="1">
      <c r="B879" s="108"/>
      <c r="C879" s="108"/>
      <c r="D879" s="108"/>
      <c r="E879" s="108"/>
      <c r="F879" s="108"/>
      <c r="G879" s="108"/>
      <c r="H879" s="108"/>
      <c r="I879" s="108"/>
      <c r="J879" s="156"/>
      <c r="K879" s="108"/>
    </row>
    <row r="880" spans="2:11" s="7" customFormat="1">
      <c r="B880" s="108"/>
      <c r="C880" s="108"/>
      <c r="D880" s="108"/>
      <c r="E880" s="108"/>
      <c r="F880" s="108"/>
      <c r="G880" s="108"/>
      <c r="H880" s="108"/>
      <c r="I880" s="108"/>
      <c r="J880" s="156"/>
      <c r="K880" s="108"/>
    </row>
    <row r="881" spans="2:11" s="7" customFormat="1">
      <c r="B881" s="108"/>
      <c r="C881" s="108"/>
      <c r="D881" s="108"/>
      <c r="E881" s="108"/>
      <c r="F881" s="108"/>
      <c r="G881" s="108"/>
      <c r="H881" s="108"/>
      <c r="I881" s="108"/>
      <c r="J881" s="156"/>
      <c r="K881" s="108"/>
    </row>
    <row r="882" spans="2:11" s="7" customFormat="1">
      <c r="B882" s="108"/>
      <c r="C882" s="108"/>
      <c r="D882" s="108"/>
      <c r="E882" s="108"/>
      <c r="F882" s="108"/>
      <c r="G882" s="108"/>
      <c r="H882" s="108"/>
      <c r="I882" s="108"/>
      <c r="J882" s="156"/>
      <c r="K882" s="108"/>
    </row>
    <row r="883" spans="2:11" s="7" customFormat="1">
      <c r="B883" s="108"/>
      <c r="C883" s="108"/>
      <c r="D883" s="108"/>
      <c r="E883" s="108"/>
      <c r="F883" s="108"/>
      <c r="G883" s="108"/>
      <c r="H883" s="108"/>
      <c r="I883" s="108"/>
      <c r="J883" s="156"/>
      <c r="K883" s="108"/>
    </row>
    <row r="884" spans="2:11" s="7" customFormat="1">
      <c r="B884" s="108"/>
      <c r="C884" s="108"/>
      <c r="D884" s="108"/>
      <c r="E884" s="108"/>
      <c r="F884" s="108"/>
      <c r="G884" s="108"/>
      <c r="H884" s="108"/>
      <c r="I884" s="108"/>
      <c r="J884" s="156"/>
      <c r="K884" s="108"/>
    </row>
    <row r="885" spans="2:11" s="7" customFormat="1">
      <c r="B885" s="108"/>
      <c r="C885" s="108"/>
      <c r="D885" s="108"/>
      <c r="E885" s="108"/>
      <c r="F885" s="108"/>
      <c r="G885" s="108"/>
      <c r="H885" s="108"/>
      <c r="I885" s="108"/>
      <c r="J885" s="156"/>
      <c r="K885" s="108"/>
    </row>
    <row r="886" spans="2:11" s="7" customFormat="1">
      <c r="B886" s="108"/>
      <c r="C886" s="108"/>
      <c r="D886" s="108"/>
      <c r="E886" s="108"/>
      <c r="F886" s="108"/>
      <c r="G886" s="108"/>
      <c r="H886" s="108"/>
      <c r="I886" s="108"/>
      <c r="J886" s="156"/>
      <c r="K886" s="108"/>
    </row>
    <row r="887" spans="2:11" s="7" customFormat="1">
      <c r="B887" s="108"/>
      <c r="C887" s="108"/>
      <c r="D887" s="108"/>
      <c r="E887" s="108"/>
      <c r="F887" s="108"/>
      <c r="G887" s="108"/>
      <c r="H887" s="108"/>
      <c r="I887" s="108"/>
      <c r="J887" s="156"/>
      <c r="K887" s="108"/>
    </row>
    <row r="888" spans="2:11" s="7" customFormat="1">
      <c r="B888" s="108"/>
      <c r="C888" s="108"/>
      <c r="D888" s="108"/>
      <c r="E888" s="108"/>
      <c r="F888" s="108"/>
      <c r="G888" s="108"/>
      <c r="H888" s="108"/>
      <c r="I888" s="108"/>
      <c r="J888" s="156"/>
      <c r="K888" s="108"/>
    </row>
    <row r="889" spans="2:11" s="7" customFormat="1">
      <c r="B889" s="108"/>
      <c r="C889" s="108"/>
      <c r="D889" s="108"/>
      <c r="E889" s="108"/>
      <c r="F889" s="108"/>
      <c r="G889" s="108"/>
      <c r="H889" s="108"/>
      <c r="I889" s="108"/>
      <c r="J889" s="156"/>
      <c r="K889" s="108"/>
    </row>
    <row r="890" spans="2:11" s="7" customFormat="1">
      <c r="B890" s="108"/>
      <c r="C890" s="108"/>
      <c r="D890" s="108"/>
      <c r="E890" s="108"/>
      <c r="F890" s="108"/>
      <c r="G890" s="108"/>
      <c r="H890" s="108"/>
      <c r="I890" s="108"/>
      <c r="J890" s="156"/>
      <c r="K890" s="108"/>
    </row>
    <row r="891" spans="2:11" s="7" customFormat="1">
      <c r="B891" s="108"/>
      <c r="C891" s="108"/>
      <c r="D891" s="108"/>
      <c r="E891" s="108"/>
      <c r="F891" s="108"/>
      <c r="G891" s="108"/>
      <c r="H891" s="108"/>
      <c r="I891" s="108"/>
      <c r="J891" s="156"/>
      <c r="K891" s="108"/>
    </row>
    <row r="892" spans="2:11" s="7" customFormat="1">
      <c r="B892" s="108"/>
      <c r="C892" s="108"/>
      <c r="D892" s="108"/>
      <c r="E892" s="108"/>
      <c r="F892" s="108"/>
      <c r="G892" s="108"/>
      <c r="H892" s="108"/>
      <c r="I892" s="108"/>
      <c r="J892" s="156"/>
      <c r="K892" s="108"/>
    </row>
    <row r="893" spans="2:11" s="7" customFormat="1">
      <c r="B893" s="108"/>
      <c r="C893" s="108"/>
      <c r="D893" s="108"/>
      <c r="E893" s="108"/>
      <c r="F893" s="108"/>
      <c r="G893" s="108"/>
      <c r="H893" s="108"/>
      <c r="I893" s="108"/>
      <c r="J893" s="156"/>
      <c r="K893" s="108"/>
    </row>
    <row r="894" spans="2:11" s="7" customFormat="1">
      <c r="B894" s="108"/>
      <c r="C894" s="108"/>
      <c r="D894" s="108"/>
      <c r="E894" s="108"/>
      <c r="F894" s="108"/>
      <c r="G894" s="108"/>
      <c r="H894" s="108"/>
      <c r="I894" s="108"/>
      <c r="J894" s="156"/>
      <c r="K894" s="108"/>
    </row>
    <row r="895" spans="2:11" s="7" customFormat="1">
      <c r="B895" s="108"/>
      <c r="C895" s="108"/>
      <c r="D895" s="108"/>
      <c r="E895" s="108"/>
      <c r="F895" s="108"/>
      <c r="G895" s="108"/>
      <c r="H895" s="108"/>
      <c r="I895" s="108"/>
      <c r="J895" s="156"/>
      <c r="K895" s="108"/>
    </row>
    <row r="896" spans="2:11" s="7" customFormat="1">
      <c r="B896" s="108"/>
      <c r="C896" s="108"/>
      <c r="D896" s="108"/>
      <c r="E896" s="108"/>
      <c r="F896" s="108"/>
      <c r="G896" s="108"/>
      <c r="H896" s="108"/>
      <c r="I896" s="108"/>
      <c r="J896" s="156"/>
      <c r="K896" s="108"/>
    </row>
    <row r="897" spans="2:11" s="7" customFormat="1">
      <c r="B897" s="108"/>
      <c r="C897" s="108"/>
      <c r="D897" s="108"/>
      <c r="E897" s="108"/>
      <c r="F897" s="108"/>
      <c r="G897" s="108"/>
      <c r="H897" s="108"/>
      <c r="I897" s="108"/>
      <c r="J897" s="156"/>
      <c r="K897" s="108"/>
    </row>
    <row r="898" spans="2:11" s="7" customFormat="1">
      <c r="B898" s="108"/>
      <c r="C898" s="108"/>
      <c r="D898" s="108"/>
      <c r="E898" s="108"/>
      <c r="F898" s="108"/>
      <c r="G898" s="108"/>
      <c r="H898" s="108"/>
      <c r="I898" s="108"/>
      <c r="J898" s="156"/>
      <c r="K898" s="108"/>
    </row>
    <row r="899" spans="2:11" s="7" customFormat="1">
      <c r="B899" s="108"/>
      <c r="C899" s="108"/>
      <c r="D899" s="108"/>
      <c r="E899" s="108"/>
      <c r="F899" s="108"/>
      <c r="G899" s="108"/>
      <c r="H899" s="108"/>
      <c r="I899" s="108"/>
      <c r="J899" s="156"/>
      <c r="K899" s="108"/>
    </row>
    <row r="900" spans="2:11" s="7" customFormat="1">
      <c r="B900" s="108"/>
      <c r="C900" s="108"/>
      <c r="D900" s="108"/>
      <c r="E900" s="108"/>
      <c r="F900" s="108"/>
      <c r="G900" s="108"/>
      <c r="H900" s="108"/>
      <c r="I900" s="108"/>
      <c r="J900" s="156"/>
      <c r="K900" s="108"/>
    </row>
    <row r="901" spans="2:11" s="7" customFormat="1">
      <c r="B901" s="108"/>
      <c r="C901" s="108"/>
      <c r="D901" s="108"/>
      <c r="E901" s="108"/>
      <c r="F901" s="108"/>
      <c r="G901" s="108"/>
      <c r="H901" s="108"/>
      <c r="I901" s="108"/>
      <c r="J901" s="156"/>
      <c r="K901" s="108"/>
    </row>
    <row r="902" spans="2:11" s="7" customFormat="1">
      <c r="B902" s="108"/>
      <c r="C902" s="108"/>
      <c r="D902" s="108"/>
      <c r="E902" s="108"/>
      <c r="F902" s="108"/>
      <c r="G902" s="108"/>
      <c r="H902" s="108"/>
      <c r="I902" s="108"/>
      <c r="J902" s="156"/>
      <c r="K902" s="108"/>
    </row>
    <row r="903" spans="2:11" s="7" customFormat="1">
      <c r="B903" s="108"/>
      <c r="C903" s="108"/>
      <c r="D903" s="108"/>
      <c r="E903" s="108"/>
      <c r="F903" s="108"/>
      <c r="G903" s="108"/>
      <c r="H903" s="108"/>
      <c r="I903" s="108"/>
      <c r="J903" s="156"/>
      <c r="K903" s="108"/>
    </row>
    <row r="904" spans="2:11" s="7" customFormat="1">
      <c r="B904" s="108"/>
      <c r="C904" s="108"/>
      <c r="D904" s="108"/>
      <c r="E904" s="108"/>
      <c r="F904" s="108"/>
      <c r="G904" s="108"/>
      <c r="H904" s="108"/>
      <c r="I904" s="108"/>
      <c r="J904" s="156"/>
      <c r="K904" s="108"/>
    </row>
    <row r="905" spans="2:11" s="7" customFormat="1">
      <c r="B905" s="108"/>
      <c r="C905" s="108"/>
      <c r="D905" s="108"/>
      <c r="E905" s="108"/>
      <c r="F905" s="108"/>
      <c r="G905" s="108"/>
      <c r="H905" s="108"/>
      <c r="I905" s="108"/>
      <c r="J905" s="156"/>
      <c r="K905" s="108"/>
    </row>
    <row r="906" spans="2:11" s="7" customFormat="1">
      <c r="B906" s="108"/>
      <c r="C906" s="108"/>
      <c r="D906" s="108"/>
      <c r="E906" s="108"/>
      <c r="F906" s="108"/>
      <c r="G906" s="108"/>
      <c r="H906" s="108"/>
      <c r="I906" s="108"/>
      <c r="J906" s="156"/>
      <c r="K906" s="108"/>
    </row>
    <row r="907" spans="2:11" s="7" customFormat="1">
      <c r="B907" s="108"/>
      <c r="C907" s="108"/>
      <c r="D907" s="108"/>
      <c r="E907" s="108"/>
      <c r="F907" s="108"/>
      <c r="G907" s="108"/>
      <c r="H907" s="108"/>
      <c r="I907" s="108"/>
      <c r="J907" s="156"/>
      <c r="K907" s="108"/>
    </row>
    <row r="908" spans="2:11" s="7" customFormat="1">
      <c r="B908" s="108"/>
      <c r="C908" s="108"/>
      <c r="D908" s="108"/>
      <c r="E908" s="108"/>
      <c r="F908" s="108"/>
      <c r="G908" s="108"/>
      <c r="H908" s="108"/>
      <c r="I908" s="108"/>
      <c r="J908" s="156"/>
      <c r="K908" s="108"/>
    </row>
    <row r="909" spans="2:11" s="7" customFormat="1">
      <c r="B909" s="108"/>
      <c r="C909" s="108"/>
      <c r="D909" s="108"/>
      <c r="E909" s="108"/>
      <c r="F909" s="108"/>
      <c r="G909" s="108"/>
      <c r="H909" s="108"/>
      <c r="I909" s="108"/>
      <c r="J909" s="156"/>
      <c r="K909" s="108"/>
    </row>
    <row r="910" spans="2:11" s="7" customFormat="1">
      <c r="B910" s="108"/>
      <c r="C910" s="108"/>
      <c r="D910" s="108"/>
      <c r="E910" s="108"/>
      <c r="F910" s="108"/>
      <c r="G910" s="108"/>
      <c r="H910" s="108"/>
      <c r="I910" s="108"/>
      <c r="J910" s="156"/>
      <c r="K910" s="108"/>
    </row>
    <row r="911" spans="2:11" s="7" customFormat="1">
      <c r="B911" s="108"/>
      <c r="C911" s="108"/>
      <c r="D911" s="108"/>
      <c r="E911" s="108"/>
      <c r="F911" s="108"/>
      <c r="G911" s="108"/>
      <c r="H911" s="108"/>
      <c r="I911" s="108"/>
      <c r="J911" s="156"/>
      <c r="K911" s="108"/>
    </row>
    <row r="912" spans="2:11" s="7" customFormat="1">
      <c r="B912" s="108"/>
      <c r="C912" s="108"/>
      <c r="D912" s="108"/>
      <c r="E912" s="108"/>
      <c r="F912" s="108"/>
      <c r="G912" s="108"/>
      <c r="H912" s="108"/>
      <c r="I912" s="108"/>
      <c r="J912" s="156"/>
      <c r="K912" s="108"/>
    </row>
    <row r="913" spans="2:11" s="7" customFormat="1">
      <c r="B913" s="108"/>
      <c r="C913" s="108"/>
      <c r="D913" s="108"/>
      <c r="E913" s="108"/>
      <c r="F913" s="108"/>
      <c r="G913" s="108"/>
      <c r="H913" s="108"/>
      <c r="I913" s="108"/>
      <c r="J913" s="156"/>
      <c r="K913" s="108"/>
    </row>
    <row r="914" spans="2:11" s="7" customFormat="1">
      <c r="B914" s="108"/>
      <c r="C914" s="108"/>
      <c r="D914" s="108"/>
      <c r="E914" s="108"/>
      <c r="F914" s="108"/>
      <c r="G914" s="108"/>
      <c r="H914" s="108"/>
      <c r="I914" s="108"/>
      <c r="J914" s="156"/>
      <c r="K914" s="108"/>
    </row>
    <row r="915" spans="2:11" s="7" customFormat="1">
      <c r="B915" s="108"/>
      <c r="C915" s="108"/>
      <c r="D915" s="108"/>
      <c r="E915" s="108"/>
      <c r="F915" s="108"/>
      <c r="G915" s="108"/>
      <c r="H915" s="108"/>
      <c r="I915" s="108"/>
      <c r="J915" s="156"/>
      <c r="K915" s="108"/>
    </row>
    <row r="916" spans="2:11" s="7" customFormat="1">
      <c r="B916" s="108"/>
      <c r="C916" s="108"/>
      <c r="D916" s="108"/>
      <c r="E916" s="108"/>
      <c r="F916" s="108"/>
      <c r="G916" s="108"/>
      <c r="H916" s="108"/>
      <c r="I916" s="108"/>
      <c r="J916" s="156"/>
      <c r="K916" s="108"/>
    </row>
    <row r="917" spans="2:11" s="7" customFormat="1">
      <c r="B917" s="108"/>
      <c r="C917" s="108"/>
      <c r="D917" s="108"/>
      <c r="E917" s="108"/>
      <c r="F917" s="108"/>
      <c r="G917" s="108"/>
      <c r="H917" s="108"/>
      <c r="I917" s="108"/>
      <c r="J917" s="156"/>
      <c r="K917" s="108"/>
    </row>
    <row r="918" spans="2:11" s="7" customFormat="1">
      <c r="B918" s="108"/>
      <c r="C918" s="108"/>
      <c r="D918" s="108"/>
      <c r="E918" s="108"/>
      <c r="F918" s="108"/>
      <c r="G918" s="108"/>
      <c r="H918" s="108"/>
      <c r="I918" s="108"/>
      <c r="J918" s="156"/>
      <c r="K918" s="108"/>
    </row>
    <row r="919" spans="2:11" s="7" customFormat="1">
      <c r="B919" s="108"/>
      <c r="C919" s="108"/>
      <c r="D919" s="108"/>
      <c r="E919" s="108"/>
      <c r="F919" s="108"/>
      <c r="G919" s="108"/>
      <c r="H919" s="108"/>
      <c r="I919" s="108"/>
      <c r="J919" s="156"/>
      <c r="K919" s="108"/>
    </row>
    <row r="920" spans="2:11" s="7" customFormat="1">
      <c r="B920" s="108"/>
      <c r="C920" s="108"/>
      <c r="D920" s="108"/>
      <c r="E920" s="108"/>
      <c r="F920" s="108"/>
      <c r="G920" s="108"/>
      <c r="H920" s="108"/>
      <c r="I920" s="108"/>
      <c r="J920" s="156"/>
      <c r="K920" s="108"/>
    </row>
    <row r="921" spans="2:11" s="7" customFormat="1">
      <c r="B921" s="108"/>
      <c r="C921" s="108"/>
      <c r="D921" s="108"/>
      <c r="E921" s="108"/>
      <c r="F921" s="108"/>
      <c r="G921" s="108"/>
      <c r="H921" s="108"/>
      <c r="I921" s="108"/>
      <c r="J921" s="156"/>
      <c r="K921" s="108"/>
    </row>
    <row r="922" spans="2:11" s="7" customFormat="1">
      <c r="B922" s="108"/>
      <c r="C922" s="108"/>
      <c r="D922" s="108"/>
      <c r="E922" s="108"/>
      <c r="F922" s="108"/>
      <c r="G922" s="108"/>
      <c r="H922" s="108"/>
      <c r="I922" s="108"/>
      <c r="J922" s="156"/>
      <c r="K922" s="108"/>
    </row>
    <row r="923" spans="2:11" s="7" customFormat="1">
      <c r="B923" s="108"/>
      <c r="C923" s="108"/>
      <c r="D923" s="108"/>
      <c r="E923" s="108"/>
      <c r="F923" s="108"/>
      <c r="G923" s="108"/>
      <c r="H923" s="108"/>
      <c r="I923" s="108"/>
      <c r="J923" s="156"/>
      <c r="K923" s="108"/>
    </row>
    <row r="924" spans="2:11" s="7" customFormat="1">
      <c r="B924" s="108"/>
      <c r="C924" s="108"/>
      <c r="D924" s="108"/>
      <c r="E924" s="108"/>
      <c r="F924" s="108"/>
      <c r="G924" s="108"/>
      <c r="H924" s="108"/>
      <c r="I924" s="108"/>
      <c r="J924" s="156"/>
      <c r="K924" s="108"/>
    </row>
    <row r="925" spans="2:11" s="7" customFormat="1">
      <c r="B925" s="108"/>
      <c r="C925" s="108"/>
      <c r="D925" s="108"/>
      <c r="E925" s="108"/>
      <c r="F925" s="108"/>
      <c r="G925" s="108"/>
      <c r="H925" s="108"/>
      <c r="I925" s="108"/>
      <c r="J925" s="156"/>
      <c r="K925" s="108"/>
    </row>
    <row r="926" spans="2:11" s="7" customFormat="1">
      <c r="B926" s="108"/>
      <c r="C926" s="108"/>
      <c r="D926" s="108"/>
      <c r="E926" s="108"/>
      <c r="F926" s="108"/>
      <c r="G926" s="108"/>
      <c r="H926" s="108"/>
      <c r="I926" s="108"/>
      <c r="J926" s="156"/>
      <c r="K926" s="108"/>
    </row>
    <row r="927" spans="2:11" s="7" customFormat="1">
      <c r="B927" s="108"/>
      <c r="C927" s="108"/>
      <c r="D927" s="108"/>
      <c r="E927" s="108"/>
      <c r="F927" s="108"/>
      <c r="G927" s="108"/>
      <c r="H927" s="108"/>
      <c r="I927" s="108"/>
      <c r="J927" s="156"/>
      <c r="K927" s="108"/>
    </row>
    <row r="928" spans="2:11" s="7" customFormat="1">
      <c r="B928" s="108"/>
      <c r="C928" s="108"/>
      <c r="D928" s="108"/>
      <c r="E928" s="108"/>
      <c r="F928" s="108"/>
      <c r="G928" s="108"/>
      <c r="H928" s="108"/>
      <c r="I928" s="108"/>
      <c r="J928" s="156"/>
      <c r="K928" s="108"/>
    </row>
    <row r="929" spans="2:11" s="7" customFormat="1">
      <c r="B929" s="108"/>
      <c r="C929" s="108"/>
      <c r="D929" s="108"/>
      <c r="E929" s="108"/>
      <c r="F929" s="108"/>
      <c r="G929" s="108"/>
      <c r="H929" s="108"/>
      <c r="I929" s="108"/>
      <c r="J929" s="156"/>
      <c r="K929" s="108"/>
    </row>
    <row r="930" spans="2:11" s="7" customFormat="1">
      <c r="B930" s="108"/>
      <c r="C930" s="108"/>
      <c r="D930" s="108"/>
      <c r="E930" s="108"/>
      <c r="F930" s="108"/>
      <c r="G930" s="108"/>
      <c r="H930" s="108"/>
      <c r="I930" s="108"/>
      <c r="J930" s="156"/>
      <c r="K930" s="108"/>
    </row>
    <row r="931" spans="2:11" s="7" customFormat="1">
      <c r="B931" s="108"/>
      <c r="C931" s="108"/>
      <c r="D931" s="108"/>
      <c r="E931" s="108"/>
      <c r="F931" s="108"/>
      <c r="G931" s="108"/>
      <c r="H931" s="108"/>
      <c r="I931" s="108"/>
      <c r="J931" s="156"/>
      <c r="K931" s="108"/>
    </row>
    <row r="932" spans="2:11" s="7" customFormat="1">
      <c r="B932" s="108"/>
      <c r="C932" s="108"/>
      <c r="D932" s="108"/>
      <c r="E932" s="108"/>
      <c r="F932" s="108"/>
      <c r="G932" s="108"/>
      <c r="H932" s="108"/>
      <c r="I932" s="108"/>
      <c r="J932" s="156"/>
      <c r="K932" s="108"/>
    </row>
    <row r="933" spans="2:11" s="7" customFormat="1">
      <c r="B933" s="108"/>
      <c r="C933" s="108"/>
      <c r="D933" s="108"/>
      <c r="E933" s="108"/>
      <c r="F933" s="108"/>
      <c r="G933" s="108"/>
      <c r="H933" s="108"/>
      <c r="I933" s="108"/>
      <c r="J933" s="156"/>
      <c r="K933" s="108"/>
    </row>
    <row r="934" spans="2:11" s="7" customFormat="1">
      <c r="B934" s="108"/>
      <c r="C934" s="108"/>
      <c r="D934" s="108"/>
      <c r="E934" s="108"/>
      <c r="F934" s="108"/>
      <c r="G934" s="108"/>
      <c r="H934" s="108"/>
      <c r="I934" s="108"/>
      <c r="J934" s="156"/>
      <c r="K934" s="108"/>
    </row>
    <row r="935" spans="2:11" s="7" customFormat="1">
      <c r="B935" s="108"/>
      <c r="C935" s="108"/>
      <c r="D935" s="108"/>
      <c r="E935" s="108"/>
      <c r="F935" s="108"/>
      <c r="G935" s="108"/>
      <c r="H935" s="108"/>
      <c r="I935" s="108"/>
      <c r="J935" s="156"/>
      <c r="K935" s="108"/>
    </row>
    <row r="936" spans="2:11" s="7" customFormat="1">
      <c r="B936" s="108"/>
      <c r="C936" s="108"/>
      <c r="D936" s="108"/>
      <c r="E936" s="108"/>
      <c r="F936" s="108"/>
      <c r="G936" s="108"/>
      <c r="H936" s="108"/>
      <c r="I936" s="108"/>
      <c r="J936" s="156"/>
      <c r="K936" s="108"/>
    </row>
    <row r="937" spans="2:11" s="7" customFormat="1">
      <c r="B937" s="108"/>
      <c r="C937" s="108"/>
      <c r="D937" s="108"/>
      <c r="E937" s="108"/>
      <c r="F937" s="108"/>
      <c r="G937" s="108"/>
      <c r="H937" s="108"/>
      <c r="I937" s="108"/>
      <c r="J937" s="156"/>
      <c r="K937" s="108"/>
    </row>
    <row r="938" spans="2:11" s="7" customFormat="1">
      <c r="B938" s="108"/>
      <c r="C938" s="108"/>
      <c r="D938" s="108"/>
      <c r="E938" s="108"/>
      <c r="F938" s="108"/>
      <c r="G938" s="108"/>
      <c r="H938" s="108"/>
      <c r="I938" s="108"/>
      <c r="J938" s="156"/>
      <c r="K938" s="108"/>
    </row>
    <row r="939" spans="2:11" s="7" customFormat="1">
      <c r="B939" s="108"/>
      <c r="C939" s="108"/>
      <c r="D939" s="108"/>
      <c r="E939" s="108"/>
      <c r="F939" s="108"/>
      <c r="G939" s="108"/>
      <c r="H939" s="108"/>
      <c r="I939" s="108"/>
      <c r="J939" s="156"/>
      <c r="K939" s="108"/>
    </row>
    <row r="940" spans="2:11" s="7" customFormat="1">
      <c r="B940" s="108"/>
      <c r="C940" s="108"/>
      <c r="D940" s="108"/>
      <c r="E940" s="108"/>
      <c r="F940" s="108"/>
      <c r="G940" s="108"/>
      <c r="H940" s="108"/>
      <c r="I940" s="108"/>
      <c r="J940" s="156"/>
      <c r="K940" s="108"/>
    </row>
    <row r="941" spans="2:11" s="7" customFormat="1">
      <c r="B941" s="108"/>
      <c r="C941" s="108"/>
      <c r="D941" s="108"/>
      <c r="E941" s="108"/>
      <c r="F941" s="108"/>
      <c r="G941" s="108"/>
      <c r="H941" s="108"/>
      <c r="I941" s="108"/>
      <c r="J941" s="156"/>
      <c r="K941" s="108"/>
    </row>
    <row r="942" spans="2:11" s="7" customFormat="1">
      <c r="B942" s="108"/>
      <c r="C942" s="108"/>
      <c r="D942" s="108"/>
      <c r="E942" s="108"/>
      <c r="F942" s="108"/>
      <c r="G942" s="108"/>
      <c r="H942" s="108"/>
      <c r="I942" s="108"/>
      <c r="J942" s="156"/>
      <c r="K942" s="108"/>
    </row>
    <row r="943" spans="2:11" s="7" customFormat="1">
      <c r="B943" s="108"/>
      <c r="C943" s="108"/>
      <c r="D943" s="108"/>
      <c r="E943" s="108"/>
      <c r="F943" s="108"/>
      <c r="G943" s="108"/>
      <c r="H943" s="108"/>
      <c r="I943" s="108"/>
      <c r="J943" s="156"/>
      <c r="K943" s="108"/>
    </row>
    <row r="944" spans="2:11" s="7" customFormat="1">
      <c r="B944" s="108"/>
      <c r="C944" s="108"/>
      <c r="D944" s="108"/>
      <c r="E944" s="108"/>
      <c r="F944" s="108"/>
      <c r="G944" s="108"/>
      <c r="H944" s="108"/>
      <c r="I944" s="108"/>
      <c r="J944" s="156"/>
      <c r="K944" s="108"/>
    </row>
    <row r="945" spans="2:11" s="7" customFormat="1">
      <c r="B945" s="108"/>
      <c r="C945" s="108"/>
      <c r="D945" s="108"/>
      <c r="E945" s="108"/>
      <c r="F945" s="108"/>
      <c r="G945" s="108"/>
      <c r="H945" s="108"/>
      <c r="I945" s="108"/>
      <c r="J945" s="156"/>
      <c r="K945" s="108"/>
    </row>
    <row r="946" spans="2:11" s="7" customFormat="1">
      <c r="B946" s="108"/>
      <c r="C946" s="108"/>
      <c r="D946" s="108"/>
      <c r="E946" s="108"/>
      <c r="F946" s="108"/>
      <c r="G946" s="108"/>
      <c r="H946" s="108"/>
      <c r="I946" s="108"/>
      <c r="J946" s="156"/>
      <c r="K946" s="108"/>
    </row>
    <row r="947" spans="2:11" s="7" customFormat="1">
      <c r="B947" s="108"/>
      <c r="C947" s="108"/>
      <c r="D947" s="108"/>
      <c r="E947" s="108"/>
      <c r="F947" s="108"/>
      <c r="G947" s="108"/>
      <c r="H947" s="108"/>
      <c r="I947" s="108"/>
      <c r="J947" s="156"/>
      <c r="K947" s="108"/>
    </row>
    <row r="948" spans="2:11" s="7" customFormat="1">
      <c r="B948" s="108"/>
      <c r="C948" s="108"/>
      <c r="D948" s="108"/>
      <c r="E948" s="108"/>
      <c r="F948" s="108"/>
      <c r="G948" s="108"/>
      <c r="H948" s="108"/>
      <c r="I948" s="108"/>
      <c r="J948" s="156"/>
      <c r="K948" s="108"/>
    </row>
    <row r="949" spans="2:11" s="7" customFormat="1">
      <c r="B949" s="108"/>
      <c r="C949" s="108"/>
      <c r="D949" s="108"/>
      <c r="E949" s="108"/>
      <c r="F949" s="108"/>
      <c r="G949" s="108"/>
      <c r="H949" s="108"/>
      <c r="I949" s="108"/>
      <c r="J949" s="156"/>
      <c r="K949" s="108"/>
    </row>
    <row r="950" spans="2:11" s="7" customFormat="1">
      <c r="B950" s="108"/>
      <c r="C950" s="108"/>
      <c r="D950" s="108"/>
      <c r="E950" s="108"/>
      <c r="F950" s="108"/>
      <c r="G950" s="108"/>
      <c r="H950" s="108"/>
      <c r="I950" s="108"/>
      <c r="J950" s="156"/>
      <c r="K950" s="108"/>
    </row>
    <row r="951" spans="2:11" s="7" customFormat="1">
      <c r="B951" s="108"/>
      <c r="C951" s="108"/>
      <c r="D951" s="108"/>
      <c r="E951" s="108"/>
      <c r="F951" s="108"/>
      <c r="G951" s="108"/>
      <c r="H951" s="108"/>
      <c r="I951" s="108"/>
      <c r="J951" s="156"/>
      <c r="K951" s="108"/>
    </row>
    <row r="952" spans="2:11" s="7" customFormat="1">
      <c r="B952" s="108"/>
      <c r="C952" s="108"/>
      <c r="D952" s="108"/>
      <c r="E952" s="108"/>
      <c r="F952" s="108"/>
      <c r="G952" s="108"/>
      <c r="H952" s="108"/>
      <c r="I952" s="108"/>
      <c r="J952" s="156"/>
      <c r="K952" s="108"/>
    </row>
    <row r="953" spans="2:11" s="7" customFormat="1">
      <c r="B953" s="108"/>
      <c r="C953" s="108"/>
      <c r="D953" s="108"/>
      <c r="E953" s="108"/>
      <c r="F953" s="108"/>
      <c r="G953" s="108"/>
      <c r="H953" s="108"/>
      <c r="I953" s="108"/>
      <c r="J953" s="156"/>
      <c r="K953" s="108"/>
    </row>
    <row r="954" spans="2:11" s="7" customFormat="1">
      <c r="B954" s="108"/>
      <c r="C954" s="108"/>
      <c r="D954" s="108"/>
      <c r="E954" s="108"/>
      <c r="F954" s="108"/>
      <c r="G954" s="108"/>
      <c r="H954" s="108"/>
      <c r="I954" s="108"/>
      <c r="J954" s="156"/>
      <c r="K954" s="108"/>
    </row>
    <row r="955" spans="2:11" s="7" customFormat="1">
      <c r="B955" s="108"/>
      <c r="C955" s="108"/>
      <c r="D955" s="108"/>
      <c r="E955" s="108"/>
      <c r="F955" s="108"/>
      <c r="G955" s="108"/>
      <c r="H955" s="108"/>
      <c r="I955" s="108"/>
      <c r="J955" s="156"/>
      <c r="K955" s="108"/>
    </row>
    <row r="956" spans="2:11" s="7" customFormat="1">
      <c r="B956" s="108"/>
      <c r="C956" s="108"/>
      <c r="D956" s="108"/>
      <c r="E956" s="108"/>
      <c r="F956" s="108"/>
      <c r="G956" s="108"/>
      <c r="H956" s="108"/>
      <c r="I956" s="108"/>
      <c r="J956" s="156"/>
      <c r="K956" s="108"/>
    </row>
    <row r="957" spans="2:11" s="7" customFormat="1">
      <c r="B957" s="108"/>
      <c r="C957" s="108"/>
      <c r="D957" s="108"/>
      <c r="E957" s="108"/>
      <c r="F957" s="108"/>
      <c r="G957" s="108"/>
      <c r="H957" s="108"/>
      <c r="I957" s="108"/>
      <c r="J957" s="156"/>
      <c r="K957" s="108"/>
    </row>
    <row r="958" spans="2:11" s="7" customFormat="1">
      <c r="B958" s="108"/>
      <c r="C958" s="108"/>
      <c r="D958" s="108"/>
      <c r="E958" s="108"/>
      <c r="F958" s="108"/>
      <c r="G958" s="108"/>
      <c r="H958" s="108"/>
      <c r="I958" s="108"/>
      <c r="J958" s="156"/>
      <c r="K958" s="108"/>
    </row>
    <row r="959" spans="2:11" s="7" customFormat="1">
      <c r="B959" s="108"/>
      <c r="C959" s="108"/>
      <c r="D959" s="108"/>
      <c r="E959" s="108"/>
      <c r="F959" s="108"/>
      <c r="G959" s="108"/>
      <c r="H959" s="108"/>
      <c r="I959" s="108"/>
      <c r="J959" s="156"/>
      <c r="K959" s="108"/>
    </row>
    <row r="960" spans="2:11" s="7" customFormat="1">
      <c r="B960" s="108"/>
      <c r="C960" s="108"/>
      <c r="D960" s="108"/>
      <c r="E960" s="108"/>
      <c r="F960" s="108"/>
      <c r="G960" s="108"/>
      <c r="H960" s="108"/>
      <c r="I960" s="108"/>
      <c r="J960" s="156"/>
      <c r="K960" s="108"/>
    </row>
    <row r="961" spans="2:11" s="7" customFormat="1">
      <c r="B961" s="108"/>
      <c r="C961" s="108"/>
      <c r="D961" s="108"/>
      <c r="E961" s="108"/>
      <c r="F961" s="108"/>
      <c r="G961" s="108"/>
      <c r="H961" s="108"/>
      <c r="I961" s="108"/>
      <c r="J961" s="156"/>
      <c r="K961" s="108"/>
    </row>
    <row r="962" spans="2:11" s="7" customFormat="1">
      <c r="B962" s="108"/>
      <c r="C962" s="108"/>
      <c r="D962" s="108"/>
      <c r="E962" s="108"/>
      <c r="F962" s="108"/>
      <c r="G962" s="108"/>
      <c r="H962" s="108"/>
      <c r="I962" s="108"/>
      <c r="J962" s="156"/>
      <c r="K962" s="108"/>
    </row>
    <row r="963" spans="2:11" s="7" customFormat="1">
      <c r="B963" s="108"/>
      <c r="C963" s="108"/>
      <c r="D963" s="108"/>
      <c r="E963" s="108"/>
      <c r="F963" s="108"/>
      <c r="G963" s="108"/>
      <c r="H963" s="108"/>
      <c r="I963" s="108"/>
      <c r="J963" s="156"/>
      <c r="K963" s="108"/>
    </row>
    <row r="964" spans="2:11" s="7" customFormat="1">
      <c r="B964" s="108"/>
      <c r="C964" s="108"/>
      <c r="D964" s="108"/>
      <c r="E964" s="108"/>
      <c r="F964" s="108"/>
      <c r="G964" s="108"/>
      <c r="H964" s="108"/>
      <c r="I964" s="108"/>
      <c r="J964" s="156"/>
      <c r="K964" s="108"/>
    </row>
    <row r="965" spans="2:11" s="7" customFormat="1">
      <c r="B965" s="108"/>
      <c r="C965" s="108"/>
      <c r="D965" s="108"/>
      <c r="E965" s="108"/>
      <c r="F965" s="108"/>
      <c r="G965" s="108"/>
      <c r="H965" s="108"/>
      <c r="I965" s="108"/>
      <c r="J965" s="156"/>
      <c r="K965" s="108"/>
    </row>
    <row r="966" spans="2:11" s="7" customFormat="1">
      <c r="B966" s="108"/>
      <c r="C966" s="108"/>
      <c r="D966" s="108"/>
      <c r="E966" s="108"/>
      <c r="F966" s="108"/>
      <c r="G966" s="108"/>
      <c r="H966" s="108"/>
      <c r="I966" s="108"/>
      <c r="J966" s="156"/>
      <c r="K966" s="108"/>
    </row>
    <row r="967" spans="2:11" s="7" customFormat="1">
      <c r="B967" s="108"/>
      <c r="C967" s="108"/>
      <c r="D967" s="108"/>
      <c r="E967" s="108"/>
      <c r="F967" s="108"/>
      <c r="G967" s="108"/>
      <c r="H967" s="108"/>
      <c r="I967" s="108"/>
      <c r="J967" s="156"/>
      <c r="K967" s="108"/>
    </row>
    <row r="968" spans="2:11" s="7" customFormat="1">
      <c r="B968" s="108"/>
      <c r="C968" s="108"/>
      <c r="D968" s="108"/>
      <c r="E968" s="108"/>
      <c r="F968" s="108"/>
      <c r="G968" s="108"/>
      <c r="H968" s="108"/>
      <c r="I968" s="108"/>
      <c r="J968" s="156"/>
      <c r="K968" s="108"/>
    </row>
    <row r="969" spans="2:11" s="7" customFormat="1">
      <c r="B969" s="108"/>
      <c r="C969" s="108"/>
      <c r="D969" s="108"/>
      <c r="E969" s="108"/>
      <c r="F969" s="108"/>
      <c r="G969" s="108"/>
      <c r="H969" s="108"/>
      <c r="I969" s="108"/>
      <c r="J969" s="156"/>
      <c r="K969" s="108"/>
    </row>
    <row r="970" spans="2:11" s="7" customFormat="1">
      <c r="B970" s="108"/>
      <c r="C970" s="108"/>
      <c r="D970" s="108"/>
      <c r="E970" s="108"/>
      <c r="F970" s="108"/>
      <c r="G970" s="108"/>
      <c r="H970" s="108"/>
      <c r="I970" s="108"/>
      <c r="J970" s="156"/>
      <c r="K970" s="108"/>
    </row>
    <row r="971" spans="2:11" s="7" customFormat="1">
      <c r="B971" s="108"/>
      <c r="C971" s="108"/>
      <c r="D971" s="108"/>
      <c r="E971" s="108"/>
      <c r="F971" s="108"/>
      <c r="G971" s="108"/>
      <c r="H971" s="108"/>
      <c r="I971" s="108"/>
      <c r="J971" s="156"/>
      <c r="K971" s="108"/>
    </row>
    <row r="972" spans="2:11" s="7" customFormat="1">
      <c r="B972" s="108"/>
      <c r="C972" s="108"/>
      <c r="D972" s="108"/>
      <c r="E972" s="108"/>
      <c r="F972" s="108"/>
      <c r="G972" s="108"/>
      <c r="H972" s="108"/>
      <c r="I972" s="108"/>
      <c r="J972" s="156"/>
      <c r="K972" s="108"/>
    </row>
    <row r="973" spans="2:11" s="7" customFormat="1">
      <c r="B973" s="108"/>
      <c r="C973" s="108"/>
      <c r="D973" s="108"/>
      <c r="E973" s="108"/>
      <c r="F973" s="108"/>
      <c r="G973" s="108"/>
      <c r="H973" s="108"/>
      <c r="I973" s="108"/>
      <c r="J973" s="156"/>
      <c r="K973" s="108"/>
    </row>
    <row r="974" spans="2:11" s="7" customFormat="1">
      <c r="B974" s="108"/>
      <c r="C974" s="108"/>
      <c r="D974" s="108"/>
      <c r="E974" s="108"/>
      <c r="F974" s="108"/>
      <c r="G974" s="108"/>
      <c r="H974" s="108"/>
      <c r="I974" s="108"/>
      <c r="J974" s="156"/>
      <c r="K974" s="108"/>
    </row>
    <row r="975" spans="2:11" s="7" customFormat="1">
      <c r="B975" s="108"/>
      <c r="C975" s="108"/>
      <c r="D975" s="108"/>
      <c r="E975" s="108"/>
      <c r="F975" s="108"/>
      <c r="G975" s="108"/>
      <c r="H975" s="108"/>
      <c r="I975" s="108"/>
      <c r="J975" s="156"/>
      <c r="K975" s="108"/>
    </row>
    <row r="976" spans="2:11" s="7" customFormat="1">
      <c r="B976" s="108"/>
      <c r="C976" s="108"/>
      <c r="D976" s="108"/>
      <c r="E976" s="108"/>
      <c r="F976" s="108"/>
      <c r="G976" s="108"/>
      <c r="H976" s="108"/>
      <c r="I976" s="108"/>
      <c r="J976" s="156"/>
      <c r="K976" s="108"/>
    </row>
    <row r="977" spans="2:11" s="7" customFormat="1">
      <c r="B977" s="108"/>
      <c r="C977" s="108"/>
      <c r="D977" s="108"/>
      <c r="E977" s="108"/>
      <c r="F977" s="108"/>
      <c r="G977" s="108"/>
      <c r="H977" s="108"/>
      <c r="I977" s="108"/>
      <c r="J977" s="156"/>
      <c r="K977" s="108"/>
    </row>
    <row r="978" spans="2:11" s="7" customFormat="1">
      <c r="B978" s="108"/>
      <c r="C978" s="108"/>
      <c r="D978" s="108"/>
      <c r="E978" s="108"/>
      <c r="F978" s="108"/>
      <c r="G978" s="108"/>
      <c r="H978" s="108"/>
      <c r="I978" s="108"/>
      <c r="J978" s="156"/>
      <c r="K978" s="108"/>
    </row>
    <row r="979" spans="2:11" s="7" customFormat="1">
      <c r="B979" s="108"/>
      <c r="C979" s="108"/>
      <c r="D979" s="108"/>
      <c r="E979" s="108"/>
      <c r="F979" s="108"/>
      <c r="G979" s="108"/>
      <c r="H979" s="108"/>
      <c r="I979" s="108"/>
      <c r="J979" s="156"/>
      <c r="K979" s="108"/>
    </row>
    <row r="980" spans="2:11" s="7" customFormat="1">
      <c r="B980" s="108"/>
      <c r="C980" s="108"/>
      <c r="D980" s="108"/>
      <c r="E980" s="108"/>
      <c r="F980" s="108"/>
      <c r="G980" s="108"/>
      <c r="H980" s="108"/>
      <c r="I980" s="108"/>
      <c r="J980" s="156"/>
      <c r="K980" s="108"/>
    </row>
    <row r="981" spans="2:11" s="7" customFormat="1">
      <c r="B981" s="108"/>
      <c r="C981" s="108"/>
      <c r="D981" s="108"/>
      <c r="E981" s="108"/>
      <c r="F981" s="108"/>
      <c r="G981" s="108"/>
      <c r="H981" s="108"/>
      <c r="I981" s="108"/>
      <c r="J981" s="156"/>
      <c r="K981" s="108"/>
    </row>
    <row r="982" spans="2:11" s="7" customFormat="1">
      <c r="B982" s="108"/>
      <c r="C982" s="108"/>
      <c r="D982" s="108"/>
      <c r="E982" s="108"/>
      <c r="F982" s="108"/>
      <c r="G982" s="108"/>
      <c r="H982" s="108"/>
      <c r="I982" s="108"/>
      <c r="J982" s="156"/>
      <c r="K982" s="108"/>
    </row>
    <row r="983" spans="2:11" s="7" customFormat="1">
      <c r="B983" s="108"/>
      <c r="C983" s="108"/>
      <c r="D983" s="108"/>
      <c r="E983" s="108"/>
      <c r="F983" s="108"/>
      <c r="G983" s="108"/>
      <c r="H983" s="108"/>
      <c r="I983" s="108"/>
      <c r="J983" s="156"/>
      <c r="K983" s="108"/>
    </row>
    <row r="984" spans="2:11" s="7" customFormat="1">
      <c r="B984" s="108"/>
      <c r="C984" s="108"/>
      <c r="D984" s="108"/>
      <c r="E984" s="108"/>
      <c r="F984" s="108"/>
      <c r="G984" s="108"/>
      <c r="H984" s="108"/>
      <c r="I984" s="108"/>
      <c r="J984" s="156"/>
      <c r="K984" s="108"/>
    </row>
    <row r="985" spans="2:11" s="7" customFormat="1">
      <c r="B985" s="108"/>
      <c r="C985" s="108"/>
      <c r="D985" s="108"/>
      <c r="E985" s="108"/>
      <c r="F985" s="108"/>
      <c r="G985" s="108"/>
      <c r="H985" s="108"/>
      <c r="I985" s="108"/>
      <c r="J985" s="156"/>
      <c r="K985" s="108"/>
    </row>
    <row r="986" spans="2:11" s="7" customFormat="1">
      <c r="B986" s="108"/>
      <c r="C986" s="108"/>
      <c r="D986" s="108"/>
      <c r="E986" s="108"/>
      <c r="F986" s="108"/>
      <c r="G986" s="108"/>
      <c r="H986" s="108"/>
      <c r="I986" s="108"/>
      <c r="J986" s="156"/>
      <c r="K986" s="108"/>
    </row>
    <row r="987" spans="2:11" s="7" customFormat="1">
      <c r="B987" s="108"/>
      <c r="C987" s="108"/>
      <c r="D987" s="108"/>
      <c r="E987" s="108"/>
      <c r="F987" s="108"/>
      <c r="G987" s="108"/>
      <c r="H987" s="108"/>
      <c r="I987" s="108"/>
      <c r="J987" s="156"/>
      <c r="K987" s="108"/>
    </row>
    <row r="988" spans="2:11" s="7" customFormat="1">
      <c r="B988" s="108"/>
      <c r="C988" s="108"/>
      <c r="D988" s="108"/>
      <c r="E988" s="108"/>
      <c r="F988" s="108"/>
      <c r="G988" s="108"/>
      <c r="H988" s="108"/>
      <c r="I988" s="108"/>
      <c r="J988" s="156"/>
      <c r="K988" s="108"/>
    </row>
    <row r="989" spans="2:11" s="7" customFormat="1">
      <c r="B989" s="108"/>
      <c r="C989" s="108"/>
      <c r="D989" s="108"/>
      <c r="E989" s="108"/>
      <c r="F989" s="108"/>
      <c r="G989" s="108"/>
      <c r="H989" s="108"/>
      <c r="I989" s="108"/>
      <c r="J989" s="156"/>
      <c r="K989" s="108"/>
    </row>
    <row r="990" spans="2:11" s="7" customFormat="1">
      <c r="B990" s="108"/>
      <c r="C990" s="108"/>
      <c r="D990" s="108"/>
      <c r="E990" s="108"/>
      <c r="F990" s="108"/>
      <c r="G990" s="108"/>
      <c r="H990" s="108"/>
      <c r="I990" s="108"/>
      <c r="J990" s="156"/>
      <c r="K990" s="108"/>
    </row>
    <row r="991" spans="2:11" s="7" customFormat="1">
      <c r="B991" s="108"/>
      <c r="C991" s="108"/>
      <c r="D991" s="108"/>
      <c r="E991" s="108"/>
      <c r="F991" s="108"/>
      <c r="G991" s="108"/>
      <c r="H991" s="108"/>
      <c r="I991" s="108"/>
      <c r="J991" s="156"/>
      <c r="K991" s="108"/>
    </row>
    <row r="992" spans="2:11" s="7" customFormat="1">
      <c r="B992" s="108"/>
      <c r="C992" s="108"/>
      <c r="D992" s="108"/>
      <c r="E992" s="108"/>
      <c r="F992" s="108"/>
      <c r="G992" s="108"/>
      <c r="H992" s="108"/>
      <c r="I992" s="108"/>
      <c r="J992" s="156"/>
      <c r="K992" s="108"/>
    </row>
    <row r="993" spans="2:11" s="7" customFormat="1">
      <c r="B993" s="108"/>
      <c r="C993" s="108"/>
      <c r="D993" s="108"/>
      <c r="E993" s="108"/>
      <c r="F993" s="108"/>
      <c r="G993" s="108"/>
      <c r="H993" s="108"/>
      <c r="I993" s="108"/>
      <c r="J993" s="156"/>
      <c r="K993" s="108"/>
    </row>
    <row r="994" spans="2:11" s="7" customFormat="1">
      <c r="B994" s="108"/>
      <c r="C994" s="108"/>
      <c r="D994" s="108"/>
      <c r="E994" s="108"/>
      <c r="F994" s="108"/>
      <c r="G994" s="108"/>
      <c r="H994" s="108"/>
      <c r="I994" s="108"/>
      <c r="J994" s="156"/>
      <c r="K994" s="108"/>
    </row>
    <row r="995" spans="2:11" s="7" customFormat="1">
      <c r="B995" s="108"/>
      <c r="C995" s="108"/>
      <c r="D995" s="108"/>
      <c r="E995" s="108"/>
      <c r="F995" s="108"/>
      <c r="G995" s="108"/>
      <c r="H995" s="108"/>
      <c r="I995" s="108"/>
      <c r="J995" s="156"/>
      <c r="K995" s="108"/>
    </row>
    <row r="996" spans="2:11" s="7" customFormat="1">
      <c r="B996" s="108"/>
      <c r="C996" s="108"/>
      <c r="D996" s="108"/>
      <c r="E996" s="108"/>
      <c r="F996" s="108"/>
      <c r="G996" s="108"/>
      <c r="H996" s="108"/>
      <c r="I996" s="108"/>
      <c r="J996" s="156"/>
      <c r="K996" s="108"/>
    </row>
    <row r="997" spans="2:11" s="7" customFormat="1">
      <c r="B997" s="108"/>
      <c r="C997" s="108"/>
      <c r="D997" s="108"/>
      <c r="E997" s="108"/>
      <c r="F997" s="108"/>
      <c r="G997" s="108"/>
      <c r="H997" s="108"/>
      <c r="I997" s="108"/>
      <c r="J997" s="156"/>
      <c r="K997" s="108"/>
    </row>
    <row r="998" spans="2:11" s="7" customFormat="1">
      <c r="B998" s="108"/>
      <c r="C998" s="108"/>
      <c r="D998" s="108"/>
      <c r="E998" s="108"/>
      <c r="F998" s="108"/>
      <c r="G998" s="108"/>
      <c r="H998" s="108"/>
      <c r="I998" s="108"/>
      <c r="J998" s="156"/>
      <c r="K998" s="108"/>
    </row>
    <row r="999" spans="2:11" s="7" customFormat="1">
      <c r="B999" s="108"/>
      <c r="C999" s="108"/>
      <c r="D999" s="108"/>
      <c r="E999" s="108"/>
      <c r="F999" s="108"/>
      <c r="G999" s="108"/>
      <c r="H999" s="108"/>
      <c r="I999" s="108"/>
      <c r="J999" s="156"/>
      <c r="K999" s="108"/>
    </row>
    <row r="1000" spans="2:11" s="7" customFormat="1">
      <c r="B1000" s="108"/>
      <c r="C1000" s="108"/>
      <c r="D1000" s="108"/>
      <c r="E1000" s="108"/>
      <c r="F1000" s="108"/>
      <c r="G1000" s="108"/>
      <c r="H1000" s="108"/>
      <c r="I1000" s="108"/>
      <c r="J1000" s="156"/>
      <c r="K1000" s="108"/>
    </row>
    <row r="1001" spans="2:11" s="7" customFormat="1">
      <c r="B1001" s="108"/>
      <c r="C1001" s="108"/>
      <c r="D1001" s="108"/>
      <c r="E1001" s="108"/>
      <c r="F1001" s="108"/>
      <c r="G1001" s="108"/>
      <c r="H1001" s="108"/>
      <c r="I1001" s="108"/>
      <c r="J1001" s="156"/>
      <c r="K1001" s="108"/>
    </row>
    <row r="1002" spans="2:11" s="7" customFormat="1">
      <c r="B1002" s="108"/>
      <c r="C1002" s="108"/>
      <c r="D1002" s="108"/>
      <c r="E1002" s="108"/>
      <c r="F1002" s="108"/>
      <c r="G1002" s="108"/>
      <c r="H1002" s="108"/>
      <c r="I1002" s="108"/>
      <c r="J1002" s="156"/>
      <c r="K1002" s="108"/>
    </row>
    <row r="1003" spans="2:11" s="7" customFormat="1">
      <c r="B1003" s="108"/>
      <c r="C1003" s="108"/>
      <c r="D1003" s="108"/>
      <c r="E1003" s="108"/>
      <c r="F1003" s="108"/>
      <c r="G1003" s="108"/>
      <c r="H1003" s="108"/>
      <c r="I1003" s="108"/>
      <c r="J1003" s="156"/>
      <c r="K1003" s="108"/>
    </row>
    <row r="1004" spans="2:11" s="7" customFormat="1">
      <c r="B1004" s="108"/>
      <c r="C1004" s="108"/>
      <c r="D1004" s="108"/>
      <c r="E1004" s="108"/>
      <c r="F1004" s="108"/>
      <c r="G1004" s="108"/>
      <c r="H1004" s="108"/>
      <c r="I1004" s="108"/>
      <c r="J1004" s="156"/>
      <c r="K1004" s="108"/>
    </row>
    <row r="1005" spans="2:11" s="7" customFormat="1">
      <c r="B1005" s="108"/>
      <c r="C1005" s="108"/>
      <c r="D1005" s="108"/>
      <c r="E1005" s="108"/>
      <c r="F1005" s="108"/>
      <c r="G1005" s="108"/>
      <c r="H1005" s="108"/>
      <c r="I1005" s="108"/>
      <c r="J1005" s="156"/>
      <c r="K1005" s="108"/>
    </row>
    <row r="1006" spans="2:11" s="7" customFormat="1">
      <c r="B1006" s="108"/>
      <c r="C1006" s="108"/>
      <c r="D1006" s="108"/>
      <c r="E1006" s="108"/>
      <c r="F1006" s="108"/>
      <c r="G1006" s="108"/>
      <c r="H1006" s="108"/>
      <c r="I1006" s="108"/>
      <c r="J1006" s="156"/>
      <c r="K1006" s="108"/>
    </row>
    <row r="1007" spans="2:11" s="7" customFormat="1">
      <c r="B1007" s="108"/>
      <c r="C1007" s="108"/>
      <c r="D1007" s="108"/>
      <c r="E1007" s="108"/>
      <c r="F1007" s="108"/>
      <c r="G1007" s="108"/>
      <c r="H1007" s="108"/>
      <c r="I1007" s="108"/>
      <c r="J1007" s="156"/>
      <c r="K1007" s="108"/>
    </row>
    <row r="1008" spans="2:11" s="7" customFormat="1">
      <c r="B1008" s="108"/>
      <c r="C1008" s="108"/>
      <c r="D1008" s="108"/>
      <c r="E1008" s="108"/>
      <c r="F1008" s="108"/>
      <c r="G1008" s="108"/>
      <c r="H1008" s="108"/>
      <c r="I1008" s="108"/>
      <c r="J1008" s="156"/>
      <c r="K1008" s="108"/>
    </row>
    <row r="1009" spans="2:11" s="7" customFormat="1">
      <c r="B1009" s="108"/>
      <c r="C1009" s="108"/>
      <c r="D1009" s="108"/>
      <c r="E1009" s="108"/>
      <c r="F1009" s="108"/>
      <c r="G1009" s="108"/>
      <c r="H1009" s="108"/>
      <c r="I1009" s="108"/>
      <c r="J1009" s="156"/>
      <c r="K1009" s="108"/>
    </row>
    <row r="1010" spans="2:11" s="7" customFormat="1">
      <c r="B1010" s="108"/>
      <c r="C1010" s="108"/>
      <c r="D1010" s="108"/>
      <c r="E1010" s="108"/>
      <c r="F1010" s="108"/>
      <c r="G1010" s="108"/>
      <c r="H1010" s="108"/>
      <c r="I1010" s="108"/>
      <c r="J1010" s="156"/>
      <c r="K1010" s="108"/>
    </row>
    <row r="1011" spans="2:11" s="7" customFormat="1">
      <c r="B1011" s="108"/>
      <c r="C1011" s="108"/>
      <c r="D1011" s="108"/>
      <c r="E1011" s="108"/>
      <c r="F1011" s="108"/>
      <c r="G1011" s="108"/>
      <c r="H1011" s="108"/>
      <c r="I1011" s="108"/>
      <c r="J1011" s="156"/>
      <c r="K1011" s="108"/>
    </row>
    <row r="1012" spans="2:11" s="7" customFormat="1">
      <c r="B1012" s="108"/>
      <c r="C1012" s="108"/>
      <c r="D1012" s="108"/>
      <c r="E1012" s="108"/>
      <c r="F1012" s="108"/>
      <c r="G1012" s="108"/>
      <c r="H1012" s="108"/>
      <c r="I1012" s="108"/>
      <c r="J1012" s="156"/>
      <c r="K1012" s="108"/>
    </row>
    <row r="1013" spans="2:11" s="7" customFormat="1">
      <c r="B1013" s="108"/>
      <c r="C1013" s="108"/>
      <c r="D1013" s="108"/>
      <c r="E1013" s="108"/>
      <c r="F1013" s="108"/>
      <c r="G1013" s="108"/>
      <c r="H1013" s="108"/>
      <c r="I1013" s="108"/>
      <c r="J1013" s="156"/>
      <c r="K1013" s="108"/>
    </row>
    <row r="1014" spans="2:11" s="7" customFormat="1">
      <c r="B1014" s="108"/>
      <c r="C1014" s="108"/>
      <c r="D1014" s="108"/>
      <c r="E1014" s="108"/>
      <c r="F1014" s="108"/>
      <c r="G1014" s="108"/>
      <c r="H1014" s="108"/>
      <c r="I1014" s="108"/>
      <c r="J1014" s="156"/>
      <c r="K1014" s="108"/>
    </row>
    <row r="1015" spans="2:11" s="7" customFormat="1">
      <c r="B1015" s="108"/>
      <c r="C1015" s="108"/>
      <c r="D1015" s="108"/>
      <c r="E1015" s="108"/>
      <c r="F1015" s="108"/>
      <c r="G1015" s="108"/>
      <c r="H1015" s="108"/>
      <c r="I1015" s="108"/>
      <c r="J1015" s="156"/>
      <c r="K1015" s="108"/>
    </row>
    <row r="1016" spans="2:11" s="7" customFormat="1">
      <c r="B1016" s="108"/>
      <c r="C1016" s="108"/>
      <c r="D1016" s="108"/>
      <c r="E1016" s="108"/>
      <c r="F1016" s="108"/>
      <c r="G1016" s="108"/>
      <c r="H1016" s="108"/>
      <c r="I1016" s="108"/>
      <c r="J1016" s="156"/>
      <c r="K1016" s="108"/>
    </row>
    <row r="1017" spans="2:11" s="7" customFormat="1">
      <c r="B1017" s="108"/>
      <c r="C1017" s="108"/>
      <c r="D1017" s="108"/>
      <c r="E1017" s="108"/>
      <c r="F1017" s="108"/>
      <c r="G1017" s="108"/>
      <c r="H1017" s="108"/>
      <c r="I1017" s="108"/>
      <c r="J1017" s="156"/>
      <c r="K1017" s="108"/>
    </row>
    <row r="1018" spans="2:11" s="7" customFormat="1">
      <c r="B1018" s="108"/>
      <c r="C1018" s="108"/>
      <c r="D1018" s="108"/>
      <c r="E1018" s="108"/>
      <c r="F1018" s="108"/>
      <c r="G1018" s="108"/>
      <c r="H1018" s="108"/>
      <c r="I1018" s="108"/>
      <c r="J1018" s="156"/>
      <c r="K1018" s="108"/>
    </row>
    <row r="1019" spans="2:11" s="7" customFormat="1">
      <c r="B1019" s="108"/>
      <c r="C1019" s="108"/>
      <c r="D1019" s="108"/>
      <c r="E1019" s="108"/>
      <c r="F1019" s="108"/>
      <c r="G1019" s="108"/>
      <c r="H1019" s="108"/>
      <c r="I1019" s="108"/>
      <c r="J1019" s="156"/>
      <c r="K1019" s="108"/>
    </row>
    <row r="1020" spans="2:11" s="7" customFormat="1">
      <c r="B1020" s="108"/>
      <c r="C1020" s="108"/>
      <c r="D1020" s="108"/>
      <c r="E1020" s="108"/>
      <c r="F1020" s="108"/>
      <c r="G1020" s="108"/>
      <c r="H1020" s="108"/>
      <c r="I1020" s="108"/>
      <c r="J1020" s="156"/>
      <c r="K1020" s="108"/>
    </row>
    <row r="1021" spans="2:11" s="7" customFormat="1">
      <c r="B1021" s="108"/>
      <c r="C1021" s="108"/>
      <c r="D1021" s="108"/>
      <c r="E1021" s="108"/>
      <c r="F1021" s="108"/>
      <c r="G1021" s="108"/>
      <c r="H1021" s="108"/>
      <c r="I1021" s="108"/>
      <c r="J1021" s="156"/>
      <c r="K1021" s="108"/>
    </row>
    <row r="1022" spans="2:11" s="7" customFormat="1">
      <c r="B1022" s="108"/>
      <c r="C1022" s="108"/>
      <c r="D1022" s="108"/>
      <c r="E1022" s="108"/>
      <c r="F1022" s="108"/>
      <c r="G1022" s="108"/>
      <c r="H1022" s="108"/>
      <c r="I1022" s="108"/>
      <c r="J1022" s="156"/>
      <c r="K1022" s="108"/>
    </row>
    <row r="1023" spans="2:11" s="7" customFormat="1">
      <c r="B1023" s="108"/>
      <c r="C1023" s="108"/>
      <c r="D1023" s="108"/>
      <c r="E1023" s="108"/>
      <c r="F1023" s="108"/>
      <c r="G1023" s="108"/>
      <c r="H1023" s="108"/>
      <c r="I1023" s="108"/>
      <c r="J1023" s="156"/>
      <c r="K1023" s="108"/>
    </row>
    <row r="1024" spans="2:11" s="7" customFormat="1">
      <c r="B1024" s="108"/>
      <c r="C1024" s="108"/>
      <c r="D1024" s="108"/>
      <c r="E1024" s="108"/>
      <c r="F1024" s="108"/>
      <c r="G1024" s="108"/>
      <c r="H1024" s="108"/>
      <c r="I1024" s="108"/>
      <c r="J1024" s="156"/>
      <c r="K1024" s="108"/>
    </row>
    <row r="1025" spans="2:11" s="7" customFormat="1">
      <c r="B1025" s="108"/>
      <c r="C1025" s="108"/>
      <c r="D1025" s="108"/>
      <c r="E1025" s="108"/>
      <c r="F1025" s="108"/>
      <c r="G1025" s="108"/>
      <c r="H1025" s="108"/>
      <c r="I1025" s="108"/>
      <c r="J1025" s="156"/>
      <c r="K1025" s="108"/>
    </row>
    <row r="1026" spans="2:11" s="7" customFormat="1">
      <c r="B1026" s="108"/>
      <c r="C1026" s="108"/>
      <c r="D1026" s="108"/>
      <c r="E1026" s="108"/>
      <c r="F1026" s="108"/>
      <c r="G1026" s="108"/>
      <c r="H1026" s="108"/>
      <c r="I1026" s="108"/>
      <c r="J1026" s="156"/>
      <c r="K1026" s="108"/>
    </row>
    <row r="1027" spans="2:11" s="7" customFormat="1">
      <c r="B1027" s="108"/>
      <c r="C1027" s="108"/>
      <c r="D1027" s="108"/>
      <c r="E1027" s="108"/>
      <c r="F1027" s="108"/>
      <c r="G1027" s="108"/>
      <c r="H1027" s="108"/>
      <c r="I1027" s="108"/>
      <c r="J1027" s="156"/>
      <c r="K1027" s="108"/>
    </row>
  </sheetData>
  <printOptions gridLines="1"/>
  <pageMargins left="0.5" right="0.5" top="0.66" bottom="0.69" header="0.5" footer="0.5"/>
  <pageSetup paperSize="3" scale="73" fitToHeight="0" orientation="landscape" r:id="rId1"/>
  <headerFooter alignWithMargins="0">
    <oddHeader>&amp;A</oddHeader>
    <oddFooter>&amp;L&amp;B Confidential&amp;B&amp;C&amp;D&amp;RPage &amp;P</oddFooter>
  </headerFooter>
  <tableParts count="1">
    <tablePart r:id="rId2"/>
  </tableParts>
</worksheet>
</file>

<file path=xl/worksheets/sheet4.xml><?xml version="1.0" encoding="utf-8"?>
<worksheet xmlns="http://schemas.openxmlformats.org/spreadsheetml/2006/main" xmlns:r="http://schemas.openxmlformats.org/officeDocument/2006/relationships">
  <sheetPr codeName="Sheet3">
    <tabColor theme="6"/>
    <pageSetUpPr fitToPage="1"/>
  </sheetPr>
  <dimension ref="A1:C10"/>
  <sheetViews>
    <sheetView topLeftCell="A2" zoomScaleNormal="100" zoomScaleSheetLayoutView="40" workbookViewId="0">
      <selection activeCell="A13" sqref="A13"/>
    </sheetView>
  </sheetViews>
  <sheetFormatPr defaultRowHeight="15"/>
  <cols>
    <col min="1" max="1" width="66.85546875" style="2" customWidth="1"/>
    <col min="2" max="2" width="19.5703125" style="24" customWidth="1"/>
    <col min="3" max="3" width="34.85546875" style="2" customWidth="1"/>
    <col min="4" max="16384" width="9.140625" style="2"/>
  </cols>
  <sheetData>
    <row r="1" spans="1:3" s="3" customFormat="1" ht="12.75">
      <c r="B1" s="4"/>
    </row>
    <row r="2" spans="1:3">
      <c r="A2" s="5" t="s">
        <v>21</v>
      </c>
      <c r="B2" s="6" t="s">
        <v>29</v>
      </c>
      <c r="C2" s="5" t="s">
        <v>908</v>
      </c>
    </row>
    <row r="3" spans="1:3">
      <c r="A3" s="157" t="s">
        <v>7</v>
      </c>
      <c r="B3" s="158">
        <v>39883</v>
      </c>
      <c r="C3" s="159" t="s">
        <v>488</v>
      </c>
    </row>
    <row r="4" spans="1:3">
      <c r="A4" s="157" t="s">
        <v>909</v>
      </c>
      <c r="B4" s="158">
        <v>39883</v>
      </c>
      <c r="C4" s="159" t="s">
        <v>488</v>
      </c>
    </row>
    <row r="5" spans="1:3">
      <c r="A5" s="108" t="s">
        <v>910</v>
      </c>
      <c r="B5" s="158">
        <v>39883</v>
      </c>
      <c r="C5" s="108" t="s">
        <v>911</v>
      </c>
    </row>
    <row r="6" spans="1:3">
      <c r="A6" s="108" t="s">
        <v>912</v>
      </c>
      <c r="B6" s="158">
        <v>39883</v>
      </c>
      <c r="C6" s="108" t="s">
        <v>911</v>
      </c>
    </row>
    <row r="7" spans="1:3">
      <c r="A7" s="108" t="s">
        <v>913</v>
      </c>
      <c r="B7" s="158">
        <v>39883</v>
      </c>
      <c r="C7" s="108" t="s">
        <v>914</v>
      </c>
    </row>
    <row r="8" spans="1:3">
      <c r="A8" s="108" t="s">
        <v>915</v>
      </c>
      <c r="B8" s="158">
        <v>39883</v>
      </c>
      <c r="C8" s="108" t="s">
        <v>916</v>
      </c>
    </row>
    <row r="9" spans="1:3">
      <c r="A9" s="108" t="s">
        <v>917</v>
      </c>
      <c r="B9" s="158">
        <v>39883</v>
      </c>
      <c r="C9" s="108" t="s">
        <v>918</v>
      </c>
    </row>
    <row r="10" spans="1:3">
      <c r="A10" s="108" t="s">
        <v>919</v>
      </c>
      <c r="B10" s="158">
        <v>39883</v>
      </c>
      <c r="C10" s="108" t="s">
        <v>918</v>
      </c>
    </row>
  </sheetData>
  <autoFilter ref="A2:C3"/>
  <printOptions gridLines="1"/>
  <pageMargins left="0.5" right="0.5" top="0.5" bottom="0.5" header="0.5" footer="0.5"/>
  <pageSetup scale="76" fitToHeight="7" orientation="landscape" r:id="rId1"/>
  <headerFooter alignWithMargins="0"/>
</worksheet>
</file>

<file path=xl/worksheets/sheet5.xml><?xml version="1.0" encoding="utf-8"?>
<worksheet xmlns="http://schemas.openxmlformats.org/spreadsheetml/2006/main" xmlns:r="http://schemas.openxmlformats.org/officeDocument/2006/relationships">
  <sheetPr codeName="Sheet4">
    <tabColor theme="6"/>
    <pageSetUpPr fitToPage="1"/>
  </sheetPr>
  <dimension ref="A1:J1640"/>
  <sheetViews>
    <sheetView zoomScaleNormal="100" workbookViewId="0">
      <pane xSplit="1" ySplit="2" topLeftCell="B52" activePane="bottomRight" state="frozenSplit"/>
      <selection activeCell="B3" sqref="B3"/>
      <selection pane="topRight" activeCell="B3" sqref="B3"/>
      <selection pane="bottomLeft" activeCell="B3" sqref="B3"/>
      <selection pane="bottomRight" activeCell="F2" sqref="F2"/>
    </sheetView>
  </sheetViews>
  <sheetFormatPr defaultColWidth="41.28515625" defaultRowHeight="15"/>
  <cols>
    <col min="1" max="1" width="12" customWidth="1"/>
    <col min="2" max="2" width="34.5703125" customWidth="1"/>
    <col min="3" max="3" width="21.42578125" bestFit="1" customWidth="1"/>
    <col min="4" max="4" width="10.7109375" customWidth="1"/>
    <col min="5" max="5" width="27.28515625" bestFit="1" customWidth="1"/>
    <col min="6" max="6" width="20.5703125" bestFit="1" customWidth="1"/>
    <col min="7" max="7" width="19.28515625" bestFit="1" customWidth="1"/>
    <col min="8" max="8" width="24" bestFit="1" customWidth="1"/>
    <col min="9" max="9" width="13.42578125" bestFit="1" customWidth="1"/>
    <col min="10" max="10" width="79" customWidth="1"/>
  </cols>
  <sheetData>
    <row r="1" spans="1:10">
      <c r="A1" t="s">
        <v>920</v>
      </c>
      <c r="E1" s="1"/>
    </row>
    <row r="2" spans="1:10">
      <c r="A2" s="102" t="s">
        <v>921</v>
      </c>
      <c r="B2" s="25" t="s">
        <v>922</v>
      </c>
      <c r="C2" s="25" t="s">
        <v>0</v>
      </c>
      <c r="D2" s="25" t="s">
        <v>167</v>
      </c>
      <c r="E2" s="25" t="s">
        <v>23</v>
      </c>
      <c r="F2" s="25" t="s">
        <v>923</v>
      </c>
      <c r="G2" s="25" t="s">
        <v>924</v>
      </c>
      <c r="H2" s="25" t="s">
        <v>925</v>
      </c>
      <c r="I2" s="25" t="s">
        <v>29</v>
      </c>
      <c r="J2" s="25" t="s">
        <v>30</v>
      </c>
    </row>
    <row r="3" spans="1:10" s="27" customFormat="1">
      <c r="A3" s="27">
        <v>2</v>
      </c>
      <c r="B3" s="80" t="s">
        <v>928</v>
      </c>
      <c r="C3" s="160">
        <v>4</v>
      </c>
      <c r="D3" s="80" t="s">
        <v>208</v>
      </c>
      <c r="E3" s="80" t="s">
        <v>929</v>
      </c>
      <c r="F3" s="26" t="s">
        <v>930</v>
      </c>
      <c r="G3" s="26" t="s">
        <v>930</v>
      </c>
      <c r="H3" s="26"/>
      <c r="I3" s="26"/>
      <c r="J3" s="1"/>
    </row>
    <row r="4" spans="1:10" s="27" customFormat="1">
      <c r="A4">
        <v>3</v>
      </c>
      <c r="B4" s="80" t="s">
        <v>931</v>
      </c>
      <c r="C4" s="160">
        <v>8</v>
      </c>
      <c r="D4" s="80" t="s">
        <v>208</v>
      </c>
      <c r="E4" s="80" t="s">
        <v>929</v>
      </c>
      <c r="F4" s="26"/>
      <c r="G4" s="26" t="s">
        <v>930</v>
      </c>
      <c r="H4" s="26"/>
      <c r="I4" s="26"/>
      <c r="J4"/>
    </row>
    <row r="5" spans="1:10" s="27" customFormat="1">
      <c r="A5" s="27">
        <v>4</v>
      </c>
      <c r="B5" s="80" t="s">
        <v>1529</v>
      </c>
      <c r="C5" s="160">
        <v>330</v>
      </c>
      <c r="D5" s="80" t="s">
        <v>208</v>
      </c>
      <c r="E5" s="80" t="s">
        <v>929</v>
      </c>
      <c r="F5" s="26"/>
      <c r="G5" s="26" t="s">
        <v>930</v>
      </c>
      <c r="H5" s="26"/>
      <c r="I5" s="26"/>
      <c r="J5"/>
    </row>
    <row r="6" spans="1:10" s="27" customFormat="1">
      <c r="A6">
        <v>5</v>
      </c>
      <c r="B6" s="80" t="s">
        <v>932</v>
      </c>
      <c r="C6" s="160">
        <v>2.75</v>
      </c>
      <c r="D6" s="80" t="s">
        <v>208</v>
      </c>
      <c r="E6" s="80" t="s">
        <v>929</v>
      </c>
      <c r="F6" s="26" t="s">
        <v>930</v>
      </c>
      <c r="G6" s="26" t="s">
        <v>930</v>
      </c>
      <c r="H6" s="26"/>
      <c r="I6" s="26"/>
      <c r="J6" s="26"/>
    </row>
    <row r="7" spans="1:10" s="27" customFormat="1">
      <c r="A7" s="27">
        <v>6</v>
      </c>
      <c r="B7" s="80" t="s">
        <v>933</v>
      </c>
      <c r="C7" s="160">
        <v>3</v>
      </c>
      <c r="D7" s="80" t="s">
        <v>208</v>
      </c>
      <c r="E7" s="80" t="s">
        <v>929</v>
      </c>
      <c r="F7" s="26" t="s">
        <v>930</v>
      </c>
      <c r="G7" s="26" t="s">
        <v>930</v>
      </c>
      <c r="H7" s="26"/>
      <c r="I7" s="26"/>
      <c r="J7"/>
    </row>
    <row r="8" spans="1:10" s="27" customFormat="1">
      <c r="A8">
        <v>7</v>
      </c>
      <c r="B8" s="80" t="s">
        <v>934</v>
      </c>
      <c r="C8" s="160">
        <v>32</v>
      </c>
      <c r="D8" s="80" t="s">
        <v>208</v>
      </c>
      <c r="E8" s="80" t="s">
        <v>929</v>
      </c>
      <c r="F8" s="26"/>
      <c r="G8" s="26" t="s">
        <v>930</v>
      </c>
      <c r="H8" s="26"/>
      <c r="I8" s="26"/>
      <c r="J8" s="1"/>
    </row>
    <row r="9" spans="1:10" s="27" customFormat="1">
      <c r="A9" s="27">
        <v>8</v>
      </c>
      <c r="B9" s="80" t="s">
        <v>935</v>
      </c>
      <c r="C9" s="160">
        <v>3</v>
      </c>
      <c r="D9" s="80" t="s">
        <v>208</v>
      </c>
      <c r="E9" s="80" t="s">
        <v>929</v>
      </c>
      <c r="F9" s="26" t="s">
        <v>930</v>
      </c>
      <c r="G9" s="26"/>
      <c r="H9" s="26"/>
      <c r="I9" s="26"/>
      <c r="J9"/>
    </row>
    <row r="10" spans="1:10" s="27" customFormat="1">
      <c r="A10">
        <v>9</v>
      </c>
      <c r="B10" s="80" t="s">
        <v>936</v>
      </c>
      <c r="C10" s="160">
        <v>25</v>
      </c>
      <c r="D10" s="80" t="s">
        <v>297</v>
      </c>
      <c r="E10" s="161" t="s">
        <v>937</v>
      </c>
      <c r="F10"/>
      <c r="G10"/>
      <c r="H10"/>
      <c r="I10" s="162">
        <v>39868</v>
      </c>
      <c r="J10" t="s">
        <v>1530</v>
      </c>
    </row>
    <row r="11" spans="1:10" s="27" customFormat="1">
      <c r="A11" s="27">
        <v>10</v>
      </c>
      <c r="B11" s="80" t="s">
        <v>938</v>
      </c>
      <c r="C11" s="160">
        <v>50</v>
      </c>
      <c r="D11" s="80" t="s">
        <v>205</v>
      </c>
      <c r="E11" s="80" t="s">
        <v>204</v>
      </c>
      <c r="F11" s="26" t="s">
        <v>930</v>
      </c>
      <c r="G11" s="26"/>
      <c r="H11" s="26"/>
      <c r="I11" s="26"/>
      <c r="J11" t="s">
        <v>939</v>
      </c>
    </row>
    <row r="12" spans="1:10" s="27" customFormat="1">
      <c r="A12">
        <v>11</v>
      </c>
      <c r="B12" s="80" t="s">
        <v>940</v>
      </c>
      <c r="C12" s="160">
        <v>20</v>
      </c>
      <c r="D12" s="80" t="s">
        <v>205</v>
      </c>
      <c r="E12" s="80" t="s">
        <v>204</v>
      </c>
      <c r="F12" s="26" t="s">
        <v>930</v>
      </c>
      <c r="G12" s="26"/>
      <c r="H12" s="26"/>
      <c r="I12" s="26"/>
      <c r="J12" t="s">
        <v>939</v>
      </c>
    </row>
    <row r="13" spans="1:10" s="27" customFormat="1">
      <c r="A13" s="27">
        <v>12</v>
      </c>
      <c r="B13" s="80" t="s">
        <v>941</v>
      </c>
      <c r="C13" s="160">
        <v>10</v>
      </c>
      <c r="D13" s="80" t="s">
        <v>205</v>
      </c>
      <c r="E13" s="80" t="s">
        <v>204</v>
      </c>
      <c r="F13" s="26" t="s">
        <v>930</v>
      </c>
      <c r="G13" s="26"/>
      <c r="H13" s="26"/>
      <c r="I13" s="162">
        <v>39868</v>
      </c>
      <c r="J13" t="s">
        <v>939</v>
      </c>
    </row>
    <row r="14" spans="1:10" s="27" customFormat="1">
      <c r="A14">
        <v>13</v>
      </c>
      <c r="B14" s="80" t="s">
        <v>942</v>
      </c>
      <c r="C14" s="160">
        <v>25</v>
      </c>
      <c r="D14" s="80" t="s">
        <v>208</v>
      </c>
      <c r="E14" s="80" t="s">
        <v>204</v>
      </c>
      <c r="F14" s="26"/>
      <c r="G14" s="26"/>
      <c r="H14" s="26"/>
      <c r="I14" s="162">
        <v>39898</v>
      </c>
      <c r="J14" t="s">
        <v>943</v>
      </c>
    </row>
    <row r="15" spans="1:10" s="27" customFormat="1">
      <c r="A15" s="27">
        <v>14</v>
      </c>
      <c r="B15" s="80" t="s">
        <v>944</v>
      </c>
      <c r="C15" s="160">
        <v>35</v>
      </c>
      <c r="D15" s="80" t="s">
        <v>205</v>
      </c>
      <c r="E15" s="80" t="s">
        <v>204</v>
      </c>
      <c r="F15" s="26"/>
      <c r="G15" s="26"/>
      <c r="H15" s="26"/>
      <c r="I15" s="26"/>
      <c r="J15"/>
    </row>
    <row r="16" spans="1:10" s="27" customFormat="1">
      <c r="A16">
        <v>15</v>
      </c>
      <c r="B16" s="80" t="s">
        <v>945</v>
      </c>
      <c r="C16" s="160">
        <v>0.5</v>
      </c>
      <c r="D16" s="80" t="s">
        <v>382</v>
      </c>
      <c r="E16" s="80" t="s">
        <v>204</v>
      </c>
      <c r="F16" s="26"/>
      <c r="G16" s="26"/>
      <c r="H16" s="26"/>
      <c r="I16" s="162">
        <v>39929</v>
      </c>
      <c r="J16" t="s">
        <v>946</v>
      </c>
    </row>
    <row r="17" spans="1:10" s="27" customFormat="1">
      <c r="A17" s="27">
        <v>16</v>
      </c>
      <c r="B17" s="80" t="s">
        <v>947</v>
      </c>
      <c r="C17" s="160">
        <v>2.5</v>
      </c>
      <c r="D17" s="80" t="s">
        <v>205</v>
      </c>
      <c r="E17" s="80" t="s">
        <v>204</v>
      </c>
      <c r="F17" s="26"/>
      <c r="G17" s="26"/>
      <c r="H17" s="26"/>
      <c r="I17" s="26"/>
      <c r="J17"/>
    </row>
    <row r="18" spans="1:10" s="27" customFormat="1">
      <c r="A18">
        <v>17</v>
      </c>
      <c r="B18" s="80" t="s">
        <v>948</v>
      </c>
      <c r="C18" s="160">
        <v>5</v>
      </c>
      <c r="D18" s="80" t="s">
        <v>205</v>
      </c>
      <c r="E18" s="80" t="s">
        <v>204</v>
      </c>
      <c r="F18" s="26"/>
      <c r="G18" s="26"/>
      <c r="H18" s="26"/>
      <c r="I18" s="26"/>
      <c r="J18" s="26" t="s">
        <v>949</v>
      </c>
    </row>
    <row r="19" spans="1:10" s="27" customFormat="1">
      <c r="A19" s="27">
        <v>18</v>
      </c>
      <c r="B19" s="80" t="s">
        <v>950</v>
      </c>
      <c r="C19" s="160">
        <v>0.25</v>
      </c>
      <c r="D19" s="80" t="s">
        <v>34</v>
      </c>
      <c r="E19" s="80" t="s">
        <v>951</v>
      </c>
      <c r="F19"/>
      <c r="G19"/>
      <c r="H19"/>
      <c r="I19"/>
      <c r="J19"/>
    </row>
    <row r="20" spans="1:10" s="27" customFormat="1">
      <c r="A20">
        <v>19</v>
      </c>
      <c r="B20" s="80" t="s">
        <v>952</v>
      </c>
      <c r="C20" s="160">
        <v>0.10416666666666666</v>
      </c>
      <c r="D20" s="80" t="s">
        <v>34</v>
      </c>
      <c r="E20" s="80" t="s">
        <v>951</v>
      </c>
      <c r="F20"/>
      <c r="G20"/>
      <c r="H20"/>
      <c r="I20"/>
      <c r="J20"/>
    </row>
    <row r="21" spans="1:10" s="27" customFormat="1">
      <c r="A21" s="27">
        <v>20</v>
      </c>
      <c r="B21" s="80" t="s">
        <v>953</v>
      </c>
      <c r="C21" s="160">
        <v>0.47916666666666663</v>
      </c>
      <c r="D21" s="80" t="s">
        <v>34</v>
      </c>
      <c r="E21" s="80" t="s">
        <v>951</v>
      </c>
      <c r="F21"/>
      <c r="G21"/>
      <c r="H21"/>
      <c r="I21"/>
      <c r="J21"/>
    </row>
    <row r="22" spans="1:10" s="27" customFormat="1">
      <c r="A22">
        <v>21</v>
      </c>
      <c r="B22" s="80" t="s">
        <v>954</v>
      </c>
      <c r="C22" s="160">
        <v>0.35416666666666663</v>
      </c>
      <c r="D22" s="80" t="s">
        <v>34</v>
      </c>
      <c r="E22" s="80" t="s">
        <v>951</v>
      </c>
      <c r="F22"/>
      <c r="G22"/>
      <c r="H22"/>
      <c r="I22"/>
      <c r="J22"/>
    </row>
    <row r="23" spans="1:10" s="27" customFormat="1">
      <c r="A23" s="27">
        <v>22</v>
      </c>
      <c r="B23" s="80" t="s">
        <v>955</v>
      </c>
      <c r="C23" s="160">
        <v>0.52083333333333326</v>
      </c>
      <c r="D23" s="80" t="s">
        <v>34</v>
      </c>
      <c r="E23" s="80" t="s">
        <v>951</v>
      </c>
      <c r="F23" s="163"/>
      <c r="G23" s="163"/>
      <c r="H23" s="163"/>
      <c r="I23" s="163"/>
      <c r="J23" s="163"/>
    </row>
    <row r="24" spans="1:10" s="27" customFormat="1" ht="30">
      <c r="A24">
        <v>23</v>
      </c>
      <c r="B24" s="80" t="s">
        <v>956</v>
      </c>
      <c r="C24" s="160">
        <v>0.35416666666666663</v>
      </c>
      <c r="D24" s="80" t="s">
        <v>34</v>
      </c>
      <c r="E24" s="80" t="s">
        <v>951</v>
      </c>
      <c r="F24"/>
      <c r="G24"/>
      <c r="H24"/>
      <c r="I24"/>
      <c r="J24"/>
    </row>
    <row r="25" spans="1:10" s="27" customFormat="1" ht="30">
      <c r="A25" s="27">
        <v>24</v>
      </c>
      <c r="B25" s="80" t="s">
        <v>957</v>
      </c>
      <c r="C25" s="160">
        <v>0.52083333333333326</v>
      </c>
      <c r="D25" s="80" t="s">
        <v>34</v>
      </c>
      <c r="E25" s="80" t="s">
        <v>951</v>
      </c>
      <c r="F25"/>
      <c r="G25"/>
      <c r="H25"/>
      <c r="I25"/>
      <c r="J25"/>
    </row>
    <row r="26" spans="1:10" s="27" customFormat="1">
      <c r="A26">
        <v>25</v>
      </c>
      <c r="B26" s="80" t="s">
        <v>958</v>
      </c>
      <c r="C26" s="160">
        <v>0.47916666666666663</v>
      </c>
      <c r="D26" s="80" t="s">
        <v>34</v>
      </c>
      <c r="E26" s="80" t="s">
        <v>951</v>
      </c>
      <c r="F26"/>
      <c r="G26"/>
      <c r="H26"/>
      <c r="I26"/>
      <c r="J26"/>
    </row>
    <row r="27" spans="1:10" s="27" customFormat="1">
      <c r="A27" s="27">
        <v>26</v>
      </c>
      <c r="B27" s="80" t="s">
        <v>959</v>
      </c>
      <c r="C27" s="160">
        <v>0.64583333333333326</v>
      </c>
      <c r="D27" s="80" t="s">
        <v>34</v>
      </c>
      <c r="E27" s="80" t="s">
        <v>951</v>
      </c>
      <c r="F27"/>
      <c r="G27"/>
      <c r="H27"/>
      <c r="I27"/>
      <c r="J27"/>
    </row>
    <row r="28" spans="1:10" s="27" customFormat="1">
      <c r="A28">
        <v>27</v>
      </c>
      <c r="B28" s="80" t="s">
        <v>960</v>
      </c>
      <c r="C28" s="160">
        <v>0.35416666666666663</v>
      </c>
      <c r="D28" s="80" t="s">
        <v>34</v>
      </c>
      <c r="E28" s="80" t="s">
        <v>951</v>
      </c>
      <c r="F28"/>
      <c r="G28"/>
      <c r="H28"/>
      <c r="I28"/>
      <c r="J28"/>
    </row>
    <row r="29" spans="1:10" s="27" customFormat="1" ht="30">
      <c r="A29" s="27">
        <v>28</v>
      </c>
      <c r="B29" s="80" t="s">
        <v>961</v>
      </c>
      <c r="C29" s="160">
        <v>0.27083333333333331</v>
      </c>
      <c r="D29" s="80" t="s">
        <v>34</v>
      </c>
      <c r="E29" s="80" t="s">
        <v>951</v>
      </c>
      <c r="F29"/>
      <c r="G29"/>
      <c r="H29"/>
      <c r="I29"/>
      <c r="J29"/>
    </row>
    <row r="30" spans="1:10" s="27" customFormat="1" ht="30">
      <c r="A30">
        <v>29</v>
      </c>
      <c r="B30" s="80" t="s">
        <v>962</v>
      </c>
      <c r="C30" s="160">
        <v>9.375E-2</v>
      </c>
      <c r="D30" s="80" t="s">
        <v>34</v>
      </c>
      <c r="E30" s="80" t="s">
        <v>963</v>
      </c>
      <c r="F30"/>
      <c r="G30"/>
      <c r="H30"/>
      <c r="I30" s="164">
        <v>39861</v>
      </c>
      <c r="J30"/>
    </row>
    <row r="31" spans="1:10" s="27" customFormat="1">
      <c r="A31" s="27">
        <v>30</v>
      </c>
      <c r="B31" s="80" t="s">
        <v>964</v>
      </c>
      <c r="C31" s="160">
        <v>1</v>
      </c>
      <c r="D31" s="80" t="s">
        <v>297</v>
      </c>
      <c r="E31" s="80" t="s">
        <v>963</v>
      </c>
      <c r="F31"/>
      <c r="G31"/>
      <c r="H31"/>
      <c r="I31"/>
      <c r="J31"/>
    </row>
    <row r="32" spans="1:10" s="27" customFormat="1">
      <c r="A32">
        <v>31</v>
      </c>
      <c r="B32" s="80" t="s">
        <v>965</v>
      </c>
      <c r="C32" s="160">
        <v>0.02</v>
      </c>
      <c r="D32" s="80" t="s">
        <v>297</v>
      </c>
      <c r="E32" s="80" t="s">
        <v>966</v>
      </c>
      <c r="F32"/>
      <c r="G32"/>
      <c r="H32"/>
      <c r="I32" s="164">
        <v>39837</v>
      </c>
      <c r="J32"/>
    </row>
    <row r="33" spans="1:10" s="27" customFormat="1">
      <c r="A33" s="27">
        <v>32</v>
      </c>
      <c r="B33" s="80" t="s">
        <v>967</v>
      </c>
      <c r="C33" s="160">
        <v>0.1875</v>
      </c>
      <c r="D33" s="80" t="s">
        <v>34</v>
      </c>
      <c r="E33" s="80" t="s">
        <v>966</v>
      </c>
      <c r="F33"/>
      <c r="G33"/>
      <c r="H33"/>
      <c r="I33"/>
      <c r="J33"/>
    </row>
    <row r="34" spans="1:10" s="27" customFormat="1">
      <c r="A34">
        <v>33</v>
      </c>
      <c r="B34" s="80" t="s">
        <v>968</v>
      </c>
      <c r="C34" s="160">
        <v>0.14583333333333331</v>
      </c>
      <c r="D34" s="80" t="s">
        <v>34</v>
      </c>
      <c r="E34" s="80" t="s">
        <v>966</v>
      </c>
      <c r="F34"/>
      <c r="G34"/>
      <c r="H34"/>
      <c r="I34"/>
      <c r="J34"/>
    </row>
    <row r="35" spans="1:10" s="27" customFormat="1">
      <c r="A35" s="27">
        <v>34</v>
      </c>
      <c r="B35" s="80" t="s">
        <v>969</v>
      </c>
      <c r="C35" s="160">
        <v>0.15</v>
      </c>
      <c r="D35" s="80" t="s">
        <v>382</v>
      </c>
      <c r="E35" s="80" t="s">
        <v>966</v>
      </c>
      <c r="F35"/>
      <c r="G35"/>
      <c r="H35"/>
      <c r="I35" s="164">
        <v>39898</v>
      </c>
      <c r="J35"/>
    </row>
    <row r="36" spans="1:10" s="27" customFormat="1">
      <c r="A36">
        <v>35</v>
      </c>
      <c r="B36" s="80" t="s">
        <v>970</v>
      </c>
      <c r="C36" s="160">
        <v>0.04</v>
      </c>
      <c r="D36" s="80" t="s">
        <v>382</v>
      </c>
      <c r="E36" s="80" t="s">
        <v>966</v>
      </c>
      <c r="F36"/>
      <c r="G36"/>
      <c r="H36"/>
      <c r="I36" s="164">
        <v>39898</v>
      </c>
      <c r="J36"/>
    </row>
    <row r="37" spans="1:10" s="27" customFormat="1">
      <c r="A37" s="27">
        <v>36</v>
      </c>
      <c r="B37" s="80" t="s">
        <v>971</v>
      </c>
      <c r="C37" s="160">
        <v>0.10833333333333334</v>
      </c>
      <c r="D37" s="80" t="s">
        <v>34</v>
      </c>
      <c r="E37" s="80" t="s">
        <v>972</v>
      </c>
      <c r="F37"/>
      <c r="G37"/>
      <c r="H37"/>
      <c r="I37"/>
      <c r="J37"/>
    </row>
    <row r="38" spans="1:10" s="27" customFormat="1">
      <c r="A38">
        <v>37</v>
      </c>
      <c r="B38" s="80" t="s">
        <v>973</v>
      </c>
      <c r="C38" s="160">
        <v>0.13958333333333334</v>
      </c>
      <c r="D38" s="80" t="s">
        <v>34</v>
      </c>
      <c r="E38" s="80" t="s">
        <v>972</v>
      </c>
      <c r="F38"/>
      <c r="G38"/>
      <c r="H38"/>
      <c r="I38"/>
      <c r="J38"/>
    </row>
    <row r="39" spans="1:10" s="27" customFormat="1" ht="30">
      <c r="A39" s="27">
        <v>38</v>
      </c>
      <c r="B39" s="80" t="s">
        <v>974</v>
      </c>
      <c r="C39" s="160">
        <v>0.23541666666666666</v>
      </c>
      <c r="D39" s="80" t="s">
        <v>34</v>
      </c>
      <c r="E39" s="80" t="s">
        <v>972</v>
      </c>
      <c r="F39"/>
      <c r="G39"/>
      <c r="H39"/>
      <c r="I39"/>
      <c r="J39"/>
    </row>
    <row r="40" spans="1:10" s="27" customFormat="1">
      <c r="A40">
        <v>39</v>
      </c>
      <c r="B40" s="80" t="s">
        <v>975</v>
      </c>
      <c r="C40" s="160">
        <v>0.13958333333333334</v>
      </c>
      <c r="D40" s="80" t="s">
        <v>34</v>
      </c>
      <c r="E40" s="80" t="s">
        <v>972</v>
      </c>
      <c r="F40"/>
      <c r="G40"/>
      <c r="H40"/>
      <c r="I40"/>
      <c r="J40"/>
    </row>
    <row r="41" spans="1:10" s="27" customFormat="1" ht="30">
      <c r="A41" s="27">
        <v>40</v>
      </c>
      <c r="B41" s="80" t="s">
        <v>976</v>
      </c>
      <c r="C41" s="160">
        <v>0.16874999999999998</v>
      </c>
      <c r="D41" s="80" t="s">
        <v>34</v>
      </c>
      <c r="E41" s="80" t="s">
        <v>972</v>
      </c>
      <c r="F41"/>
      <c r="G41"/>
      <c r="H41"/>
      <c r="I41"/>
      <c r="J41"/>
    </row>
    <row r="42" spans="1:10" s="27" customFormat="1">
      <c r="A42">
        <v>41</v>
      </c>
      <c r="B42" s="80" t="s">
        <v>977</v>
      </c>
      <c r="C42" s="160">
        <v>0.5</v>
      </c>
      <c r="D42" s="80" t="s">
        <v>34</v>
      </c>
      <c r="E42" s="80" t="s">
        <v>972</v>
      </c>
      <c r="F42"/>
      <c r="G42"/>
      <c r="H42"/>
      <c r="I42"/>
      <c r="J42"/>
    </row>
    <row r="43" spans="1:10" s="27" customFormat="1">
      <c r="A43" s="27">
        <v>42</v>
      </c>
      <c r="B43" s="80" t="s">
        <v>978</v>
      </c>
      <c r="C43" s="160">
        <v>0.20416666666666666</v>
      </c>
      <c r="D43" s="80" t="s">
        <v>34</v>
      </c>
      <c r="E43" s="80" t="s">
        <v>972</v>
      </c>
      <c r="F43"/>
      <c r="G43"/>
      <c r="H43"/>
      <c r="I43"/>
      <c r="J43"/>
    </row>
    <row r="44" spans="1:10" s="27" customFormat="1">
      <c r="A44">
        <v>43</v>
      </c>
      <c r="B44" s="80" t="s">
        <v>979</v>
      </c>
      <c r="C44" s="160">
        <v>0.02</v>
      </c>
      <c r="D44" s="80" t="s">
        <v>297</v>
      </c>
      <c r="E44" s="80" t="s">
        <v>980</v>
      </c>
      <c r="F44"/>
      <c r="G44"/>
      <c r="H44"/>
      <c r="I44" s="164">
        <v>39838</v>
      </c>
      <c r="J44"/>
    </row>
    <row r="45" spans="1:10" s="27" customFormat="1">
      <c r="A45" s="27">
        <v>44</v>
      </c>
      <c r="B45" s="80" t="s">
        <v>981</v>
      </c>
      <c r="C45" s="160">
        <v>0.03</v>
      </c>
      <c r="D45" s="80" t="s">
        <v>297</v>
      </c>
      <c r="E45" s="80" t="s">
        <v>980</v>
      </c>
      <c r="F45"/>
      <c r="G45"/>
      <c r="H45"/>
      <c r="I45" s="164">
        <v>39838</v>
      </c>
      <c r="J45"/>
    </row>
    <row r="46" spans="1:10" s="27" customFormat="1">
      <c r="A46">
        <v>45</v>
      </c>
      <c r="B46" s="80" t="s">
        <v>982</v>
      </c>
      <c r="C46" s="160">
        <v>0.02</v>
      </c>
      <c r="D46" s="80" t="s">
        <v>297</v>
      </c>
      <c r="E46" s="80" t="s">
        <v>980</v>
      </c>
      <c r="F46"/>
      <c r="G46"/>
      <c r="H46"/>
      <c r="I46" s="164">
        <v>39838</v>
      </c>
      <c r="J46"/>
    </row>
    <row r="47" spans="1:10" s="27" customFormat="1">
      <c r="A47" s="27">
        <v>46</v>
      </c>
      <c r="B47" s="80" t="s">
        <v>983</v>
      </c>
      <c r="C47" s="160">
        <v>0.16666666666666666</v>
      </c>
      <c r="D47" s="80" t="s">
        <v>34</v>
      </c>
      <c r="E47" s="80" t="s">
        <v>984</v>
      </c>
      <c r="F47"/>
      <c r="G47"/>
      <c r="H47"/>
      <c r="I47"/>
      <c r="J47"/>
    </row>
    <row r="48" spans="1:10" s="27" customFormat="1">
      <c r="A48">
        <v>47</v>
      </c>
      <c r="B48" s="80" t="s">
        <v>985</v>
      </c>
      <c r="C48" s="160">
        <v>8.3333333333333329E-2</v>
      </c>
      <c r="D48" s="80" t="s">
        <v>34</v>
      </c>
      <c r="E48" s="80" t="s">
        <v>984</v>
      </c>
      <c r="F48"/>
      <c r="G48"/>
      <c r="H48"/>
      <c r="I48"/>
      <c r="J48"/>
    </row>
    <row r="49" spans="1:10" s="27" customFormat="1">
      <c r="A49" s="27">
        <v>48</v>
      </c>
      <c r="B49" s="80" t="s">
        <v>986</v>
      </c>
      <c r="C49" s="160">
        <v>0.13</v>
      </c>
      <c r="D49" s="80" t="s">
        <v>987</v>
      </c>
      <c r="E49" s="80" t="s">
        <v>984</v>
      </c>
      <c r="F49"/>
      <c r="G49"/>
      <c r="H49"/>
      <c r="I49" s="164">
        <v>39837</v>
      </c>
      <c r="J49"/>
    </row>
    <row r="50" spans="1:10" s="27" customFormat="1">
      <c r="A50">
        <v>49</v>
      </c>
      <c r="B50" s="80" t="s">
        <v>988</v>
      </c>
      <c r="C50" s="160">
        <v>8.3333333333333329E-2</v>
      </c>
      <c r="D50" s="80" t="s">
        <v>34</v>
      </c>
      <c r="E50" s="80" t="s">
        <v>984</v>
      </c>
      <c r="F50"/>
      <c r="G50"/>
      <c r="H50"/>
      <c r="I50"/>
      <c r="J50"/>
    </row>
    <row r="51" spans="1:10" s="27" customFormat="1">
      <c r="A51" s="27">
        <v>50</v>
      </c>
      <c r="B51" s="80" t="s">
        <v>989</v>
      </c>
      <c r="C51" s="160">
        <v>0.125</v>
      </c>
      <c r="D51" s="80" t="s">
        <v>34</v>
      </c>
      <c r="E51" s="80" t="s">
        <v>984</v>
      </c>
      <c r="F51"/>
      <c r="G51"/>
      <c r="H51"/>
      <c r="I51"/>
      <c r="J51"/>
    </row>
    <row r="52" spans="1:10" s="27" customFormat="1">
      <c r="A52">
        <v>51</v>
      </c>
      <c r="B52" s="80" t="s">
        <v>990</v>
      </c>
      <c r="C52" s="160">
        <v>0.36</v>
      </c>
      <c r="D52" s="80" t="s">
        <v>991</v>
      </c>
      <c r="E52" s="80" t="s">
        <v>992</v>
      </c>
      <c r="F52"/>
      <c r="G52"/>
      <c r="H52"/>
      <c r="I52" s="164">
        <v>39837</v>
      </c>
      <c r="J52"/>
    </row>
    <row r="53" spans="1:10" s="27" customFormat="1">
      <c r="A53" s="27">
        <v>52</v>
      </c>
      <c r="B53" s="80" t="s">
        <v>993</v>
      </c>
      <c r="C53" s="160">
        <v>0.24</v>
      </c>
      <c r="D53" s="80" t="s">
        <v>991</v>
      </c>
      <c r="E53" s="80" t="s">
        <v>992</v>
      </c>
      <c r="F53"/>
      <c r="G53"/>
      <c r="H53"/>
      <c r="I53" s="164">
        <v>39837</v>
      </c>
      <c r="J53"/>
    </row>
    <row r="54" spans="1:10" s="27" customFormat="1">
      <c r="A54">
        <v>53</v>
      </c>
      <c r="B54" s="80" t="s">
        <v>994</v>
      </c>
      <c r="C54" s="160">
        <v>0.12</v>
      </c>
      <c r="D54" s="80" t="s">
        <v>34</v>
      </c>
      <c r="E54" s="161" t="s">
        <v>16</v>
      </c>
      <c r="F54" s="165"/>
      <c r="G54"/>
      <c r="H54"/>
      <c r="I54"/>
      <c r="J54"/>
    </row>
    <row r="55" spans="1:10" s="27" customFormat="1">
      <c r="A55" s="27">
        <v>54</v>
      </c>
      <c r="B55" s="80" t="s">
        <v>995</v>
      </c>
      <c r="C55" s="160">
        <v>0.5</v>
      </c>
      <c r="D55" s="80" t="s">
        <v>34</v>
      </c>
      <c r="E55" s="161" t="s">
        <v>16</v>
      </c>
      <c r="F55" s="165"/>
      <c r="G55"/>
      <c r="H55"/>
      <c r="I55"/>
      <c r="J55"/>
    </row>
    <row r="56" spans="1:10" s="27" customFormat="1">
      <c r="A56">
        <v>55</v>
      </c>
      <c r="B56" s="80" t="s">
        <v>996</v>
      </c>
      <c r="C56" s="160">
        <v>0.25</v>
      </c>
      <c r="D56" s="80" t="s">
        <v>34</v>
      </c>
      <c r="E56" s="163" t="s">
        <v>16</v>
      </c>
      <c r="F56" s="165"/>
      <c r="G56"/>
      <c r="H56"/>
      <c r="I56"/>
      <c r="J56"/>
    </row>
    <row r="57" spans="1:10" s="27" customFormat="1">
      <c r="A57" s="27">
        <v>56</v>
      </c>
      <c r="B57" s="80" t="s">
        <v>997</v>
      </c>
      <c r="C57" s="160">
        <v>0.75</v>
      </c>
      <c r="D57" s="80" t="s">
        <v>34</v>
      </c>
      <c r="E57" s="163" t="s">
        <v>16</v>
      </c>
      <c r="F57" s="165"/>
      <c r="G57"/>
      <c r="H57"/>
      <c r="I57"/>
      <c r="J57"/>
    </row>
    <row r="58" spans="1:10" s="27" customFormat="1">
      <c r="A58">
        <v>57</v>
      </c>
      <c r="B58" s="80" t="s">
        <v>998</v>
      </c>
      <c r="C58" s="160">
        <v>0.5</v>
      </c>
      <c r="D58" s="80" t="s">
        <v>34</v>
      </c>
      <c r="E58" s="163" t="s">
        <v>16</v>
      </c>
      <c r="F58" s="165"/>
      <c r="G58"/>
      <c r="H58"/>
      <c r="I58"/>
      <c r="J58"/>
    </row>
    <row r="59" spans="1:10" s="27" customFormat="1">
      <c r="A59" s="27">
        <v>58</v>
      </c>
      <c r="B59" s="80" t="s">
        <v>999</v>
      </c>
      <c r="C59" s="160">
        <v>0.25</v>
      </c>
      <c r="D59" s="80" t="s">
        <v>34</v>
      </c>
      <c r="E59" s="163" t="s">
        <v>16</v>
      </c>
      <c r="F59" s="165"/>
      <c r="G59"/>
      <c r="H59" t="s">
        <v>1000</v>
      </c>
      <c r="I59"/>
      <c r="J59"/>
    </row>
    <row r="60" spans="1:10" s="27" customFormat="1">
      <c r="A60">
        <v>59</v>
      </c>
      <c r="B60" s="80" t="s">
        <v>1001</v>
      </c>
      <c r="C60" s="160">
        <v>0.25</v>
      </c>
      <c r="D60" s="80" t="s">
        <v>34</v>
      </c>
      <c r="E60" s="161" t="s">
        <v>16</v>
      </c>
      <c r="F60" s="165"/>
      <c r="G60"/>
      <c r="H60" t="s">
        <v>1000</v>
      </c>
      <c r="I60"/>
      <c r="J60"/>
    </row>
    <row r="61" spans="1:10" s="27" customFormat="1">
      <c r="A61" s="27">
        <v>60</v>
      </c>
      <c r="B61" s="80" t="s">
        <v>1002</v>
      </c>
      <c r="C61" s="160">
        <v>0.5</v>
      </c>
      <c r="D61" s="80" t="s">
        <v>34</v>
      </c>
      <c r="E61" s="161" t="s">
        <v>16</v>
      </c>
      <c r="F61" s="165"/>
      <c r="G61"/>
      <c r="H61" t="s">
        <v>1000</v>
      </c>
      <c r="I61"/>
      <c r="J61"/>
    </row>
    <row r="62" spans="1:10" s="27" customFormat="1">
      <c r="A62">
        <v>61</v>
      </c>
      <c r="B62" s="80" t="s">
        <v>1003</v>
      </c>
      <c r="C62" s="160">
        <v>0.75</v>
      </c>
      <c r="D62" s="80" t="s">
        <v>34</v>
      </c>
      <c r="E62" s="161" t="s">
        <v>16</v>
      </c>
      <c r="F62" s="165"/>
      <c r="G62"/>
      <c r="H62" t="s">
        <v>1000</v>
      </c>
      <c r="I62"/>
      <c r="J62"/>
    </row>
    <row r="63" spans="1:10" s="27" customFormat="1">
      <c r="A63" s="27">
        <v>62</v>
      </c>
      <c r="B63" s="80" t="s">
        <v>1004</v>
      </c>
      <c r="C63" s="160">
        <v>0.5</v>
      </c>
      <c r="D63" s="80" t="s">
        <v>34</v>
      </c>
      <c r="E63" s="161" t="s">
        <v>16</v>
      </c>
      <c r="F63" s="165"/>
      <c r="G63"/>
      <c r="H63" t="s">
        <v>1000</v>
      </c>
      <c r="I63"/>
      <c r="J63"/>
    </row>
    <row r="64" spans="1:10" s="27" customFormat="1">
      <c r="A64">
        <v>63</v>
      </c>
      <c r="B64" s="80" t="s">
        <v>1005</v>
      </c>
      <c r="C64" s="160">
        <v>1.5</v>
      </c>
      <c r="D64" s="80" t="s">
        <v>34</v>
      </c>
      <c r="E64" s="161" t="s">
        <v>16</v>
      </c>
      <c r="F64" s="165"/>
      <c r="G64"/>
      <c r="H64" t="s">
        <v>1000</v>
      </c>
      <c r="I64"/>
      <c r="J64"/>
    </row>
    <row r="65" spans="1:10" s="27" customFormat="1">
      <c r="A65" s="27">
        <v>64</v>
      </c>
      <c r="B65" s="80" t="s">
        <v>1006</v>
      </c>
      <c r="C65" s="160">
        <v>0.25</v>
      </c>
      <c r="D65" s="80" t="s">
        <v>34</v>
      </c>
      <c r="E65" s="161" t="s">
        <v>16</v>
      </c>
      <c r="F65"/>
      <c r="G65"/>
      <c r="H65"/>
      <c r="I65"/>
      <c r="J65"/>
    </row>
    <row r="66" spans="1:10" s="27" customFormat="1">
      <c r="A66">
        <v>65</v>
      </c>
      <c r="B66" s="80" t="s">
        <v>1007</v>
      </c>
      <c r="C66" s="160">
        <v>0.25</v>
      </c>
      <c r="D66" s="80" t="s">
        <v>34</v>
      </c>
      <c r="E66" s="161" t="s">
        <v>16</v>
      </c>
      <c r="F66"/>
      <c r="G66"/>
      <c r="H66"/>
      <c r="I66"/>
      <c r="J66"/>
    </row>
    <row r="67" spans="1:10" s="27" customFormat="1">
      <c r="A67" s="27">
        <v>66</v>
      </c>
      <c r="B67" s="80" t="s">
        <v>1008</v>
      </c>
      <c r="C67" s="160">
        <v>0.5</v>
      </c>
      <c r="D67" s="80" t="s">
        <v>34</v>
      </c>
      <c r="E67" s="161" t="s">
        <v>16</v>
      </c>
      <c r="F67"/>
      <c r="G67"/>
      <c r="H67"/>
      <c r="I67"/>
      <c r="J67"/>
    </row>
    <row r="68" spans="1:10" s="27" customFormat="1">
      <c r="A68">
        <v>67</v>
      </c>
      <c r="B68" s="80" t="s">
        <v>1009</v>
      </c>
      <c r="C68" s="160">
        <v>0.12</v>
      </c>
      <c r="D68" s="80" t="s">
        <v>34</v>
      </c>
      <c r="E68" s="161" t="s">
        <v>16</v>
      </c>
      <c r="F68" s="165"/>
      <c r="G68"/>
      <c r="H68" t="s">
        <v>1000</v>
      </c>
      <c r="I68"/>
      <c r="J68"/>
    </row>
    <row r="69" spans="1:10" s="27" customFormat="1">
      <c r="A69" s="27">
        <v>68</v>
      </c>
      <c r="B69" s="80" t="s">
        <v>1010</v>
      </c>
      <c r="C69" s="160">
        <v>0.5</v>
      </c>
      <c r="D69" s="80" t="s">
        <v>34</v>
      </c>
      <c r="E69" s="161" t="s">
        <v>16</v>
      </c>
      <c r="F69" s="165"/>
      <c r="G69"/>
      <c r="H69" t="s">
        <v>1000</v>
      </c>
      <c r="I69"/>
      <c r="J69"/>
    </row>
    <row r="70" spans="1:10" s="27" customFormat="1">
      <c r="A70">
        <v>69</v>
      </c>
      <c r="B70" s="80" t="s">
        <v>1011</v>
      </c>
      <c r="C70" s="160">
        <v>1.5</v>
      </c>
      <c r="D70" s="80" t="s">
        <v>34</v>
      </c>
      <c r="E70" s="161" t="s">
        <v>16</v>
      </c>
      <c r="F70" s="165"/>
      <c r="G70"/>
      <c r="H70" t="s">
        <v>1000</v>
      </c>
      <c r="I70"/>
      <c r="J70"/>
    </row>
    <row r="71" spans="1:10" s="27" customFormat="1">
      <c r="A71" s="27">
        <v>70</v>
      </c>
      <c r="B71" s="80" t="s">
        <v>1012</v>
      </c>
      <c r="C71" s="160">
        <v>1</v>
      </c>
      <c r="D71" s="80" t="s">
        <v>34</v>
      </c>
      <c r="E71" s="161" t="s">
        <v>16</v>
      </c>
      <c r="F71" s="165"/>
      <c r="G71"/>
      <c r="H71" t="s">
        <v>1000</v>
      </c>
      <c r="I71"/>
      <c r="J71"/>
    </row>
    <row r="72" spans="1:10" s="27" customFormat="1">
      <c r="A72">
        <v>71</v>
      </c>
      <c r="B72" s="80" t="s">
        <v>1013</v>
      </c>
      <c r="C72" s="160">
        <v>2</v>
      </c>
      <c r="D72" s="80" t="s">
        <v>34</v>
      </c>
      <c r="E72" s="161" t="s">
        <v>16</v>
      </c>
      <c r="F72" s="165"/>
      <c r="G72"/>
      <c r="H72" t="s">
        <v>1000</v>
      </c>
      <c r="I72"/>
      <c r="J72"/>
    </row>
    <row r="73" spans="1:10" s="27" customFormat="1">
      <c r="A73" s="27">
        <v>72</v>
      </c>
      <c r="B73" s="80" t="s">
        <v>1014</v>
      </c>
      <c r="C73" s="160">
        <v>0.15</v>
      </c>
      <c r="D73" s="80" t="s">
        <v>382</v>
      </c>
      <c r="E73" s="80" t="s">
        <v>1015</v>
      </c>
      <c r="F73" s="26" t="s">
        <v>930</v>
      </c>
      <c r="G73" s="26"/>
      <c r="H73" s="26"/>
      <c r="I73" s="162">
        <v>39898</v>
      </c>
      <c r="J73"/>
    </row>
    <row r="74" spans="1:10" s="27" customFormat="1">
      <c r="A74">
        <v>73</v>
      </c>
      <c r="B74" s="80" t="s">
        <v>1016</v>
      </c>
      <c r="C74" s="160">
        <v>0.08</v>
      </c>
      <c r="D74" s="80" t="s">
        <v>382</v>
      </c>
      <c r="E74" s="80" t="s">
        <v>1015</v>
      </c>
      <c r="F74" s="26"/>
      <c r="G74" s="26"/>
      <c r="H74" s="26"/>
      <c r="I74" s="26"/>
      <c r="J74"/>
    </row>
    <row r="75" spans="1:10" s="27" customFormat="1">
      <c r="A75" s="27">
        <v>74</v>
      </c>
      <c r="B75" s="80" t="s">
        <v>875</v>
      </c>
      <c r="C75" s="160">
        <v>0.15</v>
      </c>
      <c r="D75" s="80" t="s">
        <v>382</v>
      </c>
      <c r="E75" s="80" t="s">
        <v>1015</v>
      </c>
      <c r="F75" s="26" t="s">
        <v>930</v>
      </c>
      <c r="G75" s="26"/>
      <c r="H75" s="26"/>
      <c r="I75" s="162">
        <v>39868</v>
      </c>
      <c r="J75"/>
    </row>
    <row r="76" spans="1:10" s="27" customFormat="1">
      <c r="A76">
        <v>75</v>
      </c>
      <c r="B76" s="80" t="s">
        <v>1017</v>
      </c>
      <c r="C76" s="160">
        <v>5</v>
      </c>
      <c r="D76" s="80" t="s">
        <v>34</v>
      </c>
      <c r="E76" s="80" t="s">
        <v>1018</v>
      </c>
      <c r="F76"/>
      <c r="G76"/>
      <c r="H76"/>
      <c r="I76"/>
      <c r="J76" t="s">
        <v>1019</v>
      </c>
    </row>
    <row r="77" spans="1:10" s="27" customFormat="1">
      <c r="A77" s="27">
        <v>76</v>
      </c>
      <c r="B77" s="80" t="s">
        <v>1020</v>
      </c>
      <c r="C77" s="160">
        <v>5.25</v>
      </c>
      <c r="D77" s="80" t="s">
        <v>205</v>
      </c>
      <c r="E77" s="80" t="s">
        <v>1018</v>
      </c>
      <c r="F77"/>
      <c r="G77"/>
      <c r="H77"/>
      <c r="I77"/>
      <c r="J77"/>
    </row>
    <row r="78" spans="1:10" s="27" customFormat="1">
      <c r="A78">
        <v>77</v>
      </c>
      <c r="B78" s="80" t="s">
        <v>1021</v>
      </c>
      <c r="C78" s="160">
        <v>0</v>
      </c>
      <c r="D78" s="80" t="s">
        <v>34</v>
      </c>
      <c r="E78" s="80" t="s">
        <v>1018</v>
      </c>
      <c r="F78"/>
      <c r="G78"/>
      <c r="H78"/>
      <c r="I78" s="162">
        <v>39869</v>
      </c>
      <c r="J78" t="s">
        <v>1022</v>
      </c>
    </row>
    <row r="79" spans="1:10" s="27" customFormat="1">
      <c r="A79" s="27">
        <v>78</v>
      </c>
      <c r="B79" s="80" t="s">
        <v>1023</v>
      </c>
      <c r="C79" s="160">
        <v>5.625</v>
      </c>
      <c r="D79" s="80" t="s">
        <v>34</v>
      </c>
      <c r="E79" s="80" t="s">
        <v>1018</v>
      </c>
      <c r="F79"/>
      <c r="G79"/>
      <c r="H79" t="s">
        <v>1024</v>
      </c>
      <c r="I79"/>
      <c r="J79"/>
    </row>
    <row r="80" spans="1:10" s="27" customFormat="1">
      <c r="A80">
        <v>79</v>
      </c>
      <c r="B80" s="80" t="s">
        <v>1025</v>
      </c>
      <c r="C80" s="160">
        <v>3.75</v>
      </c>
      <c r="D80" s="80" t="s">
        <v>34</v>
      </c>
      <c r="E80" s="80" t="s">
        <v>1018</v>
      </c>
      <c r="F80"/>
      <c r="G80"/>
      <c r="H80" t="s">
        <v>1024</v>
      </c>
      <c r="I80"/>
      <c r="J80"/>
    </row>
    <row r="81" spans="1:10" s="27" customFormat="1">
      <c r="A81" s="27">
        <v>80</v>
      </c>
      <c r="B81" s="80" t="s">
        <v>1026</v>
      </c>
      <c r="C81" s="160">
        <v>1.875</v>
      </c>
      <c r="D81" s="80" t="s">
        <v>34</v>
      </c>
      <c r="E81" s="80" t="s">
        <v>1018</v>
      </c>
      <c r="F81"/>
      <c r="G81"/>
      <c r="H81" t="s">
        <v>1024</v>
      </c>
      <c r="I81"/>
      <c r="J81"/>
    </row>
    <row r="82" spans="1:10" s="27" customFormat="1">
      <c r="A82">
        <v>81</v>
      </c>
      <c r="B82" s="80" t="s">
        <v>1027</v>
      </c>
      <c r="C82" s="160">
        <v>0.1875</v>
      </c>
      <c r="D82" s="80" t="s">
        <v>34</v>
      </c>
      <c r="E82" s="26" t="s">
        <v>1018</v>
      </c>
      <c r="F82"/>
      <c r="G82"/>
      <c r="H82" t="s">
        <v>1024</v>
      </c>
      <c r="I82"/>
      <c r="J82"/>
    </row>
    <row r="83" spans="1:10" s="27" customFormat="1">
      <c r="A83" s="27">
        <v>82</v>
      </c>
      <c r="B83" s="80" t="s">
        <v>1028</v>
      </c>
      <c r="C83" s="160">
        <v>0.125</v>
      </c>
      <c r="D83" s="80" t="s">
        <v>34</v>
      </c>
      <c r="E83" s="26" t="s">
        <v>1018</v>
      </c>
      <c r="F83"/>
      <c r="G83"/>
      <c r="H83" t="s">
        <v>1024</v>
      </c>
      <c r="I83"/>
      <c r="J83"/>
    </row>
    <row r="84" spans="1:10" s="27" customFormat="1">
      <c r="A84">
        <v>83</v>
      </c>
      <c r="B84" s="80" t="s">
        <v>1029</v>
      </c>
      <c r="C84" s="160">
        <v>6.25E-2</v>
      </c>
      <c r="D84" s="80" t="s">
        <v>34</v>
      </c>
      <c r="E84" s="26" t="s">
        <v>1018</v>
      </c>
      <c r="F84"/>
      <c r="G84"/>
      <c r="H84" t="s">
        <v>1024</v>
      </c>
      <c r="I84"/>
      <c r="J84"/>
    </row>
    <row r="85" spans="1:10" s="27" customFormat="1">
      <c r="A85" s="27">
        <v>84</v>
      </c>
      <c r="B85" s="80" t="s">
        <v>1030</v>
      </c>
      <c r="C85" s="160">
        <v>1.875</v>
      </c>
      <c r="D85" s="80" t="s">
        <v>34</v>
      </c>
      <c r="E85" s="26" t="s">
        <v>1018</v>
      </c>
      <c r="F85"/>
      <c r="G85"/>
      <c r="H85" t="s">
        <v>1024</v>
      </c>
      <c r="I85"/>
      <c r="J85"/>
    </row>
    <row r="86" spans="1:10" s="27" customFormat="1">
      <c r="A86">
        <v>85</v>
      </c>
      <c r="B86" s="80" t="s">
        <v>1031</v>
      </c>
      <c r="C86" s="160">
        <v>1.25</v>
      </c>
      <c r="D86" s="80" t="s">
        <v>34</v>
      </c>
      <c r="E86" s="26" t="s">
        <v>1018</v>
      </c>
      <c r="F86"/>
      <c r="G86"/>
      <c r="H86" t="s">
        <v>1024</v>
      </c>
      <c r="I86"/>
      <c r="J86"/>
    </row>
    <row r="87" spans="1:10" s="27" customFormat="1">
      <c r="A87" s="27">
        <v>86</v>
      </c>
      <c r="B87" s="80" t="s">
        <v>1032</v>
      </c>
      <c r="C87" s="160">
        <v>0.625</v>
      </c>
      <c r="D87" s="80" t="s">
        <v>34</v>
      </c>
      <c r="E87" s="26" t="s">
        <v>1018</v>
      </c>
      <c r="F87"/>
      <c r="G87"/>
      <c r="H87" t="s">
        <v>1024</v>
      </c>
      <c r="I87"/>
      <c r="J87"/>
    </row>
    <row r="88" spans="1:10" s="27" customFormat="1">
      <c r="A88">
        <v>87</v>
      </c>
      <c r="B88" s="80" t="s">
        <v>1033</v>
      </c>
      <c r="C88" s="160">
        <v>2.8125</v>
      </c>
      <c r="D88" s="80" t="s">
        <v>34</v>
      </c>
      <c r="E88" s="26" t="s">
        <v>1018</v>
      </c>
      <c r="F88"/>
      <c r="G88"/>
      <c r="H88" t="s">
        <v>1024</v>
      </c>
      <c r="I88"/>
      <c r="J88"/>
    </row>
    <row r="89" spans="1:10" s="27" customFormat="1">
      <c r="A89" s="27">
        <v>88</v>
      </c>
      <c r="B89" s="80" t="s">
        <v>1034</v>
      </c>
      <c r="C89" s="160">
        <v>1.875</v>
      </c>
      <c r="D89" s="80" t="s">
        <v>34</v>
      </c>
      <c r="E89" s="26" t="s">
        <v>1018</v>
      </c>
      <c r="F89"/>
      <c r="G89"/>
      <c r="H89" t="s">
        <v>1024</v>
      </c>
      <c r="I89"/>
      <c r="J89"/>
    </row>
    <row r="90" spans="1:10" s="27" customFormat="1">
      <c r="A90">
        <v>89</v>
      </c>
      <c r="B90" s="80" t="s">
        <v>1035</v>
      </c>
      <c r="C90" s="160">
        <v>0.9375</v>
      </c>
      <c r="D90" s="80" t="s">
        <v>34</v>
      </c>
      <c r="E90" s="26" t="s">
        <v>1018</v>
      </c>
      <c r="F90"/>
      <c r="G90"/>
      <c r="H90" t="s">
        <v>1024</v>
      </c>
      <c r="I90"/>
      <c r="J90"/>
    </row>
    <row r="91" spans="1:10" s="27" customFormat="1">
      <c r="A91" s="27">
        <v>90</v>
      </c>
      <c r="B91" s="80" t="s">
        <v>1036</v>
      </c>
      <c r="C91" s="160">
        <v>3.75</v>
      </c>
      <c r="D91" s="80" t="s">
        <v>34</v>
      </c>
      <c r="E91" s="26" t="s">
        <v>1018</v>
      </c>
      <c r="F91"/>
      <c r="G91"/>
      <c r="H91" t="s">
        <v>1024</v>
      </c>
      <c r="I91"/>
      <c r="J91"/>
    </row>
    <row r="92" spans="1:10" s="27" customFormat="1">
      <c r="A92">
        <v>91</v>
      </c>
      <c r="B92" s="80" t="s">
        <v>1037</v>
      </c>
      <c r="C92" s="160">
        <v>2.5</v>
      </c>
      <c r="D92" s="80" t="s">
        <v>34</v>
      </c>
      <c r="E92" s="26" t="s">
        <v>1018</v>
      </c>
      <c r="F92"/>
      <c r="G92"/>
      <c r="H92" t="s">
        <v>1024</v>
      </c>
      <c r="I92"/>
      <c r="J92"/>
    </row>
    <row r="93" spans="1:10" s="27" customFormat="1">
      <c r="A93" s="27">
        <v>92</v>
      </c>
      <c r="B93" s="80" t="s">
        <v>1038</v>
      </c>
      <c r="C93" s="160">
        <v>1.25</v>
      </c>
      <c r="D93" s="80" t="s">
        <v>34</v>
      </c>
      <c r="E93" s="26" t="s">
        <v>1018</v>
      </c>
      <c r="F93"/>
      <c r="G93"/>
      <c r="H93" t="s">
        <v>1024</v>
      </c>
      <c r="I93"/>
      <c r="J93"/>
    </row>
    <row r="94" spans="1:10" s="27" customFormat="1">
      <c r="A94">
        <v>93</v>
      </c>
      <c r="B94" s="80" t="s">
        <v>1039</v>
      </c>
      <c r="C94" s="160">
        <v>0.5625</v>
      </c>
      <c r="D94" s="80" t="s">
        <v>34</v>
      </c>
      <c r="E94" s="26" t="s">
        <v>1018</v>
      </c>
      <c r="F94"/>
      <c r="G94"/>
      <c r="H94" t="s">
        <v>1024</v>
      </c>
      <c r="I94"/>
      <c r="J94"/>
    </row>
    <row r="95" spans="1:10" s="27" customFormat="1">
      <c r="A95" s="27">
        <v>94</v>
      </c>
      <c r="B95" s="80" t="s">
        <v>1040</v>
      </c>
      <c r="C95" s="160">
        <v>0.375</v>
      </c>
      <c r="D95" s="80" t="s">
        <v>34</v>
      </c>
      <c r="E95" s="26" t="s">
        <v>1018</v>
      </c>
      <c r="F95"/>
      <c r="G95"/>
      <c r="H95" t="s">
        <v>1024</v>
      </c>
      <c r="I95"/>
      <c r="J95"/>
    </row>
    <row r="96" spans="1:10" s="27" customFormat="1">
      <c r="A96">
        <v>95</v>
      </c>
      <c r="B96" s="80" t="s">
        <v>1041</v>
      </c>
      <c r="C96" s="160">
        <v>0.1875</v>
      </c>
      <c r="D96" s="80" t="s">
        <v>34</v>
      </c>
      <c r="E96" s="26" t="s">
        <v>1018</v>
      </c>
      <c r="F96"/>
      <c r="G96"/>
      <c r="H96" t="s">
        <v>1024</v>
      </c>
      <c r="I96"/>
      <c r="J96"/>
    </row>
    <row r="97" spans="1:10" s="27" customFormat="1">
      <c r="A97" s="27">
        <v>96</v>
      </c>
      <c r="B97" s="80" t="s">
        <v>1042</v>
      </c>
      <c r="C97" s="160">
        <v>0.9375</v>
      </c>
      <c r="D97" s="80" t="s">
        <v>34</v>
      </c>
      <c r="E97" s="26" t="s">
        <v>1018</v>
      </c>
      <c r="F97"/>
      <c r="G97"/>
      <c r="H97" t="s">
        <v>1024</v>
      </c>
      <c r="I97"/>
      <c r="J97"/>
    </row>
    <row r="98" spans="1:10" s="27" customFormat="1">
      <c r="A98">
        <v>97</v>
      </c>
      <c r="B98" s="80" t="s">
        <v>1043</v>
      </c>
      <c r="C98" s="160">
        <v>0.625</v>
      </c>
      <c r="D98" s="80" t="s">
        <v>34</v>
      </c>
      <c r="E98" s="26" t="s">
        <v>1018</v>
      </c>
      <c r="F98"/>
      <c r="G98"/>
      <c r="H98" t="s">
        <v>1024</v>
      </c>
      <c r="I98"/>
      <c r="J98"/>
    </row>
    <row r="99" spans="1:10" s="27" customFormat="1">
      <c r="A99" s="27">
        <v>98</v>
      </c>
      <c r="B99" s="80" t="s">
        <v>1044</v>
      </c>
      <c r="C99" s="160">
        <v>0.3125</v>
      </c>
      <c r="D99" s="80" t="s">
        <v>34</v>
      </c>
      <c r="E99" s="26" t="s">
        <v>1018</v>
      </c>
      <c r="F99"/>
      <c r="G99"/>
      <c r="H99" t="s">
        <v>1024</v>
      </c>
      <c r="I99"/>
      <c r="J99"/>
    </row>
    <row r="100" spans="1:10" s="27" customFormat="1">
      <c r="A100">
        <v>99</v>
      </c>
      <c r="B100" s="80" t="s">
        <v>1045</v>
      </c>
      <c r="C100" s="160">
        <v>2.5</v>
      </c>
      <c r="D100" s="80" t="s">
        <v>34</v>
      </c>
      <c r="E100" s="26" t="s">
        <v>1018</v>
      </c>
      <c r="F100"/>
      <c r="G100"/>
      <c r="H100"/>
      <c r="I100"/>
      <c r="J100"/>
    </row>
    <row r="101" spans="1:10" s="27" customFormat="1">
      <c r="A101" s="27">
        <v>100</v>
      </c>
      <c r="B101" s="80" t="s">
        <v>1046</v>
      </c>
      <c r="C101" s="160">
        <v>0.02</v>
      </c>
      <c r="D101" s="80" t="s">
        <v>379</v>
      </c>
      <c r="E101" s="26" t="s">
        <v>1018</v>
      </c>
      <c r="F101"/>
      <c r="G101"/>
      <c r="H101"/>
      <c r="I101"/>
      <c r="J101" t="s">
        <v>1047</v>
      </c>
    </row>
    <row r="102" spans="1:10" s="27" customFormat="1">
      <c r="A102">
        <v>101</v>
      </c>
      <c r="B102" s="80" t="s">
        <v>1048</v>
      </c>
      <c r="C102" s="160">
        <v>0.06</v>
      </c>
      <c r="D102" s="80" t="s">
        <v>382</v>
      </c>
      <c r="E102" s="26" t="s">
        <v>1018</v>
      </c>
      <c r="F102"/>
      <c r="G102"/>
      <c r="H102"/>
      <c r="I102"/>
      <c r="J102"/>
    </row>
    <row r="103" spans="1:10" s="27" customFormat="1">
      <c r="A103" s="27">
        <v>102</v>
      </c>
      <c r="B103" s="80" t="s">
        <v>1049</v>
      </c>
      <c r="C103" s="160">
        <v>0</v>
      </c>
      <c r="D103" s="80" t="s">
        <v>34</v>
      </c>
      <c r="E103" s="161" t="s">
        <v>1018</v>
      </c>
      <c r="F103" s="165"/>
      <c r="G103"/>
      <c r="H103"/>
      <c r="I103" s="162">
        <v>39933</v>
      </c>
      <c r="J103" t="s">
        <v>1050</v>
      </c>
    </row>
    <row r="104" spans="1:10" s="27" customFormat="1">
      <c r="A104">
        <v>103</v>
      </c>
      <c r="B104" s="80" t="s">
        <v>1051</v>
      </c>
      <c r="C104" s="160">
        <v>0.02</v>
      </c>
      <c r="D104" s="80" t="s">
        <v>382</v>
      </c>
      <c r="E104" s="26" t="s">
        <v>1018</v>
      </c>
      <c r="F104"/>
      <c r="G104"/>
      <c r="H104"/>
      <c r="I104"/>
      <c r="J104" t="s">
        <v>1047</v>
      </c>
    </row>
    <row r="105" spans="1:10" s="27" customFormat="1">
      <c r="A105" s="27">
        <v>104</v>
      </c>
      <c r="B105" s="80" t="s">
        <v>1052</v>
      </c>
      <c r="C105" s="160">
        <v>2</v>
      </c>
      <c r="D105" s="80" t="s">
        <v>1053</v>
      </c>
      <c r="E105" s="26" t="s">
        <v>1018</v>
      </c>
      <c r="F105"/>
      <c r="G105"/>
      <c r="H105"/>
      <c r="I105"/>
      <c r="J105" t="s">
        <v>1054</v>
      </c>
    </row>
    <row r="106" spans="1:10" s="27" customFormat="1">
      <c r="A106">
        <v>105</v>
      </c>
      <c r="B106" s="80" t="s">
        <v>1055</v>
      </c>
      <c r="C106" s="160">
        <v>0.1</v>
      </c>
      <c r="D106" s="80" t="s">
        <v>34</v>
      </c>
      <c r="E106" s="26" t="s">
        <v>1018</v>
      </c>
      <c r="F106"/>
      <c r="G106"/>
      <c r="H106"/>
      <c r="I106"/>
      <c r="J106" t="s">
        <v>1047</v>
      </c>
    </row>
    <row r="107" spans="1:10" s="27" customFormat="1">
      <c r="A107" s="27">
        <v>106</v>
      </c>
      <c r="B107" s="80" t="s">
        <v>1056</v>
      </c>
      <c r="C107" s="160">
        <v>0.65</v>
      </c>
      <c r="D107" s="80" t="s">
        <v>34</v>
      </c>
      <c r="E107" s="26" t="s">
        <v>1018</v>
      </c>
      <c r="F107" s="26"/>
      <c r="G107" s="26"/>
      <c r="H107"/>
      <c r="I107" s="162">
        <v>39873</v>
      </c>
      <c r="J107" t="s">
        <v>1057</v>
      </c>
    </row>
    <row r="108" spans="1:10" s="27" customFormat="1">
      <c r="A108">
        <v>107</v>
      </c>
      <c r="B108" s="80" t="s">
        <v>1058</v>
      </c>
      <c r="C108" s="160">
        <v>1.3</v>
      </c>
      <c r="D108" s="80" t="s">
        <v>34</v>
      </c>
      <c r="E108" s="26" t="s">
        <v>1018</v>
      </c>
      <c r="F108" s="26"/>
      <c r="G108" s="26"/>
      <c r="H108"/>
      <c r="I108" s="162">
        <v>39873</v>
      </c>
      <c r="J108" t="s">
        <v>1059</v>
      </c>
    </row>
    <row r="109" spans="1:10" s="27" customFormat="1">
      <c r="A109" s="27">
        <v>108</v>
      </c>
      <c r="B109" s="80" t="s">
        <v>1060</v>
      </c>
      <c r="C109" s="160">
        <v>0.25</v>
      </c>
      <c r="D109" s="80" t="s">
        <v>34</v>
      </c>
      <c r="E109" s="80" t="s">
        <v>1018</v>
      </c>
      <c r="F109"/>
      <c r="G109"/>
      <c r="H109"/>
      <c r="I109" s="162">
        <v>39861</v>
      </c>
      <c r="J109"/>
    </row>
    <row r="110" spans="1:10" s="27" customFormat="1">
      <c r="A110">
        <v>109</v>
      </c>
      <c r="B110" s="80" t="s">
        <v>1061</v>
      </c>
      <c r="C110" s="160">
        <v>0.6</v>
      </c>
      <c r="D110" s="80" t="s">
        <v>34</v>
      </c>
      <c r="E110" s="161" t="s">
        <v>1018</v>
      </c>
      <c r="F110"/>
      <c r="G110"/>
      <c r="H110"/>
      <c r="I110" s="162">
        <v>39861</v>
      </c>
      <c r="J110" t="s">
        <v>1062</v>
      </c>
    </row>
    <row r="111" spans="1:10" s="27" customFormat="1" ht="30">
      <c r="A111" s="27">
        <v>110</v>
      </c>
      <c r="B111" s="80" t="s">
        <v>1063</v>
      </c>
      <c r="C111" s="160">
        <v>4.5</v>
      </c>
      <c r="D111" s="80" t="s">
        <v>34</v>
      </c>
      <c r="E111" s="80" t="s">
        <v>1018</v>
      </c>
      <c r="F111"/>
      <c r="G111"/>
      <c r="H111"/>
      <c r="I111"/>
      <c r="J111"/>
    </row>
    <row r="112" spans="1:10" s="27" customFormat="1" ht="30">
      <c r="A112">
        <v>111</v>
      </c>
      <c r="B112" s="80" t="s">
        <v>1064</v>
      </c>
      <c r="C112" s="160">
        <v>8.75</v>
      </c>
      <c r="D112" s="80" t="s">
        <v>34</v>
      </c>
      <c r="E112" s="80" t="s">
        <v>1018</v>
      </c>
      <c r="F112"/>
      <c r="G112"/>
      <c r="H112"/>
      <c r="I112"/>
      <c r="J112"/>
    </row>
    <row r="113" spans="1:10" s="27" customFormat="1">
      <c r="A113" s="27">
        <v>112</v>
      </c>
      <c r="B113" s="80" t="s">
        <v>1065</v>
      </c>
      <c r="C113" s="160">
        <v>0.8</v>
      </c>
      <c r="D113" s="80" t="s">
        <v>297</v>
      </c>
      <c r="E113" s="80" t="s">
        <v>1018</v>
      </c>
      <c r="F113"/>
      <c r="G113"/>
      <c r="H113"/>
      <c r="I113"/>
      <c r="J113"/>
    </row>
    <row r="114" spans="1:10" s="27" customFormat="1">
      <c r="A114">
        <v>113</v>
      </c>
      <c r="B114" s="80" t="s">
        <v>1066</v>
      </c>
      <c r="C114" s="160">
        <v>0.5</v>
      </c>
      <c r="D114" s="80" t="s">
        <v>382</v>
      </c>
      <c r="E114" s="161" t="s">
        <v>1067</v>
      </c>
      <c r="F114"/>
      <c r="G114"/>
      <c r="H114"/>
      <c r="I114" s="162">
        <v>39861</v>
      </c>
      <c r="J114" t="s">
        <v>1068</v>
      </c>
    </row>
    <row r="115" spans="1:10" s="27" customFormat="1">
      <c r="A115" s="27">
        <v>114</v>
      </c>
      <c r="B115" s="80" t="s">
        <v>1069</v>
      </c>
      <c r="C115" s="160">
        <v>0.5</v>
      </c>
      <c r="D115" s="80" t="s">
        <v>382</v>
      </c>
      <c r="E115" s="161" t="s">
        <v>1067</v>
      </c>
      <c r="F115"/>
      <c r="G115"/>
      <c r="H115"/>
      <c r="I115" s="162">
        <v>39861</v>
      </c>
      <c r="J115" t="s">
        <v>1068</v>
      </c>
    </row>
    <row r="116" spans="1:10" s="27" customFormat="1">
      <c r="A116">
        <v>115</v>
      </c>
      <c r="B116" s="80" t="s">
        <v>1070</v>
      </c>
      <c r="C116" s="160">
        <v>0.7</v>
      </c>
      <c r="D116" s="80" t="s">
        <v>1071</v>
      </c>
      <c r="E116" s="80" t="s">
        <v>1067</v>
      </c>
      <c r="F116" s="26"/>
      <c r="G116" s="26"/>
      <c r="H116" s="26" t="s">
        <v>1072</v>
      </c>
      <c r="I116" s="26"/>
      <c r="J116" t="s">
        <v>1073</v>
      </c>
    </row>
    <row r="117" spans="1:10" s="27" customFormat="1">
      <c r="A117" s="27">
        <v>116</v>
      </c>
      <c r="B117" s="80" t="s">
        <v>1074</v>
      </c>
      <c r="C117" s="160">
        <v>0.35</v>
      </c>
      <c r="D117" s="80" t="s">
        <v>1071</v>
      </c>
      <c r="E117" s="80" t="s">
        <v>1067</v>
      </c>
      <c r="F117" s="26"/>
      <c r="G117" s="26"/>
      <c r="H117" s="26" t="s">
        <v>1072</v>
      </c>
      <c r="I117" s="26"/>
      <c r="J117"/>
    </row>
    <row r="118" spans="1:10" s="27" customFormat="1">
      <c r="A118">
        <v>117</v>
      </c>
      <c r="B118" s="80" t="s">
        <v>1075</v>
      </c>
      <c r="C118" s="160">
        <v>0.3</v>
      </c>
      <c r="D118" s="80" t="s">
        <v>460</v>
      </c>
      <c r="E118" s="80" t="s">
        <v>1067</v>
      </c>
      <c r="F118" s="26"/>
      <c r="G118" s="26"/>
      <c r="H118" s="26" t="s">
        <v>1076</v>
      </c>
      <c r="I118" s="26"/>
      <c r="J118"/>
    </row>
    <row r="119" spans="1:10" s="27" customFormat="1">
      <c r="A119" s="27">
        <v>118</v>
      </c>
      <c r="B119" s="80" t="s">
        <v>1077</v>
      </c>
      <c r="C119" s="160">
        <v>0.2</v>
      </c>
      <c r="D119" s="80" t="s">
        <v>382</v>
      </c>
      <c r="E119" s="80" t="s">
        <v>1067</v>
      </c>
      <c r="F119" s="26"/>
      <c r="G119" s="26"/>
      <c r="H119" s="26" t="s">
        <v>1076</v>
      </c>
      <c r="I119" s="26"/>
      <c r="J119"/>
    </row>
    <row r="120" spans="1:10" s="27" customFormat="1">
      <c r="A120">
        <v>119</v>
      </c>
      <c r="B120" s="80" t="s">
        <v>1531</v>
      </c>
      <c r="C120" s="160">
        <v>0.5</v>
      </c>
      <c r="D120" s="80" t="s">
        <v>382</v>
      </c>
      <c r="E120" s="80" t="s">
        <v>1067</v>
      </c>
      <c r="F120" s="26"/>
      <c r="G120" s="26"/>
      <c r="H120" s="26" t="s">
        <v>1076</v>
      </c>
      <c r="I120" s="162">
        <v>40307</v>
      </c>
      <c r="J120" t="s">
        <v>1532</v>
      </c>
    </row>
    <row r="121" spans="1:10" s="27" customFormat="1">
      <c r="A121" s="27">
        <v>120</v>
      </c>
      <c r="B121" s="80" t="s">
        <v>1078</v>
      </c>
      <c r="C121" s="160">
        <v>0.15</v>
      </c>
      <c r="D121" s="80" t="s">
        <v>379</v>
      </c>
      <c r="E121" s="80" t="s">
        <v>1067</v>
      </c>
      <c r="F121" s="26"/>
      <c r="G121" s="26"/>
      <c r="H121" s="26" t="s">
        <v>1076</v>
      </c>
      <c r="I121" s="26"/>
      <c r="J121" s="26" t="s">
        <v>1079</v>
      </c>
    </row>
    <row r="122" spans="1:10" s="27" customFormat="1">
      <c r="A122">
        <v>121</v>
      </c>
      <c r="B122" s="80" t="s">
        <v>1080</v>
      </c>
      <c r="C122" s="160">
        <v>0.15</v>
      </c>
      <c r="D122" s="80" t="s">
        <v>379</v>
      </c>
      <c r="E122" s="80" t="s">
        <v>1067</v>
      </c>
      <c r="F122" s="26"/>
      <c r="G122" s="26"/>
      <c r="H122" s="26" t="s">
        <v>1076</v>
      </c>
      <c r="I122" s="26"/>
      <c r="J122" s="26" t="s">
        <v>1079</v>
      </c>
    </row>
    <row r="123" spans="1:10" s="27" customFormat="1">
      <c r="A123" s="27">
        <v>122</v>
      </c>
      <c r="B123" s="80" t="s">
        <v>1081</v>
      </c>
      <c r="C123" s="160">
        <v>0.15</v>
      </c>
      <c r="D123" s="80" t="s">
        <v>379</v>
      </c>
      <c r="E123" s="80" t="s">
        <v>1067</v>
      </c>
      <c r="F123" s="26"/>
      <c r="G123" s="26"/>
      <c r="H123" s="26" t="s">
        <v>1076</v>
      </c>
      <c r="I123" s="26"/>
      <c r="J123" s="26" t="s">
        <v>1079</v>
      </c>
    </row>
    <row r="124" spans="1:10" s="27" customFormat="1">
      <c r="A124">
        <v>123</v>
      </c>
      <c r="B124" s="80" t="s">
        <v>1082</v>
      </c>
      <c r="C124" s="160">
        <v>0.2</v>
      </c>
      <c r="D124" s="80" t="s">
        <v>460</v>
      </c>
      <c r="E124" s="161" t="s">
        <v>1067</v>
      </c>
      <c r="F124"/>
      <c r="G124"/>
      <c r="H124" t="s">
        <v>1076</v>
      </c>
      <c r="I124" s="162">
        <v>39864</v>
      </c>
      <c r="J124" t="s">
        <v>1083</v>
      </c>
    </row>
    <row r="125" spans="1:10" s="27" customFormat="1">
      <c r="A125" s="27">
        <v>124</v>
      </c>
      <c r="B125" s="80" t="s">
        <v>1084</v>
      </c>
      <c r="C125" s="160">
        <v>0.02</v>
      </c>
      <c r="D125" s="80" t="s">
        <v>379</v>
      </c>
      <c r="E125" s="161" t="s">
        <v>1067</v>
      </c>
      <c r="F125" s="165"/>
      <c r="G125"/>
      <c r="H125" t="s">
        <v>1076</v>
      </c>
      <c r="I125" s="162">
        <v>39864</v>
      </c>
      <c r="J125" t="s">
        <v>1085</v>
      </c>
    </row>
    <row r="126" spans="1:10" s="27" customFormat="1">
      <c r="A126">
        <v>125</v>
      </c>
      <c r="B126" s="80" t="s">
        <v>1086</v>
      </c>
      <c r="C126" s="160">
        <v>0.1</v>
      </c>
      <c r="D126" s="80" t="s">
        <v>382</v>
      </c>
      <c r="E126" s="80" t="s">
        <v>1067</v>
      </c>
      <c r="F126"/>
      <c r="G126"/>
      <c r="H126" t="s">
        <v>1076</v>
      </c>
      <c r="I126" s="162">
        <v>39868</v>
      </c>
      <c r="J126" t="s">
        <v>1087</v>
      </c>
    </row>
    <row r="127" spans="1:10" s="27" customFormat="1">
      <c r="A127" s="27">
        <v>126</v>
      </c>
      <c r="B127" s="80" t="s">
        <v>1088</v>
      </c>
      <c r="C127" s="160">
        <v>0.01</v>
      </c>
      <c r="D127" s="80" t="s">
        <v>382</v>
      </c>
      <c r="E127" s="80" t="s">
        <v>1067</v>
      </c>
      <c r="F127" s="26"/>
      <c r="G127" s="26"/>
      <c r="H127" s="26" t="s">
        <v>1076</v>
      </c>
      <c r="I127" s="162">
        <v>40475</v>
      </c>
      <c r="J127" t="s">
        <v>1533</v>
      </c>
    </row>
    <row r="128" spans="1:10" s="27" customFormat="1" ht="75">
      <c r="A128">
        <v>127</v>
      </c>
      <c r="B128" s="80" t="s">
        <v>1076</v>
      </c>
      <c r="C128" s="160">
        <v>0.04</v>
      </c>
      <c r="D128" s="80" t="s">
        <v>460</v>
      </c>
      <c r="E128" s="80" t="s">
        <v>1067</v>
      </c>
      <c r="F128" s="26"/>
      <c r="G128" s="26"/>
      <c r="H128" s="26" t="s">
        <v>1076</v>
      </c>
      <c r="I128" s="162">
        <v>40446</v>
      </c>
      <c r="J128" s="26" t="s">
        <v>1534</v>
      </c>
    </row>
    <row r="129" spans="1:10" s="27" customFormat="1">
      <c r="A129" s="27">
        <v>128</v>
      </c>
      <c r="B129" s="80" t="s">
        <v>1089</v>
      </c>
      <c r="C129" s="160">
        <v>0.1</v>
      </c>
      <c r="D129" s="80" t="s">
        <v>382</v>
      </c>
      <c r="E129" s="80" t="s">
        <v>1067</v>
      </c>
      <c r="F129" s="26"/>
      <c r="G129" s="26"/>
      <c r="H129" s="26" t="s">
        <v>1076</v>
      </c>
      <c r="I129" s="162"/>
      <c r="J129" s="26" t="s">
        <v>1090</v>
      </c>
    </row>
    <row r="130" spans="1:10" s="27" customFormat="1">
      <c r="A130">
        <v>129</v>
      </c>
      <c r="B130" s="80" t="s">
        <v>1091</v>
      </c>
      <c r="C130" s="160">
        <v>0.35</v>
      </c>
      <c r="D130" s="80" t="s">
        <v>1092</v>
      </c>
      <c r="E130" s="80" t="s">
        <v>1067</v>
      </c>
      <c r="F130" s="26"/>
      <c r="G130" s="26"/>
      <c r="H130" s="26" t="s">
        <v>1076</v>
      </c>
      <c r="I130" s="162"/>
      <c r="J130"/>
    </row>
    <row r="131" spans="1:10" s="27" customFormat="1">
      <c r="A131" s="27">
        <v>130</v>
      </c>
      <c r="B131" s="80" t="s">
        <v>1093</v>
      </c>
      <c r="C131" s="160">
        <v>0.7</v>
      </c>
      <c r="D131" s="80" t="s">
        <v>1092</v>
      </c>
      <c r="E131" s="80" t="s">
        <v>1067</v>
      </c>
      <c r="F131" s="26"/>
      <c r="G131" s="26"/>
      <c r="H131" s="26" t="s">
        <v>1076</v>
      </c>
      <c r="I131" s="162"/>
      <c r="J131"/>
    </row>
    <row r="132" spans="1:10" s="27" customFormat="1">
      <c r="A132">
        <v>131</v>
      </c>
      <c r="B132" s="80" t="s">
        <v>1094</v>
      </c>
      <c r="C132" s="160">
        <v>1.05</v>
      </c>
      <c r="D132" s="80" t="s">
        <v>1092</v>
      </c>
      <c r="E132" s="80" t="s">
        <v>1067</v>
      </c>
      <c r="F132" s="26"/>
      <c r="G132" s="26"/>
      <c r="H132" s="26" t="s">
        <v>1076</v>
      </c>
      <c r="I132" s="162"/>
      <c r="J132"/>
    </row>
    <row r="133" spans="1:10" s="27" customFormat="1">
      <c r="A133" s="27">
        <v>132</v>
      </c>
      <c r="B133" s="80" t="s">
        <v>1095</v>
      </c>
      <c r="C133" s="160">
        <v>1.4</v>
      </c>
      <c r="D133" s="80" t="s">
        <v>1092</v>
      </c>
      <c r="E133" s="80" t="s">
        <v>1067</v>
      </c>
      <c r="F133" s="26"/>
      <c r="G133" s="26"/>
      <c r="H133" s="26" t="s">
        <v>1076</v>
      </c>
      <c r="I133" s="162"/>
      <c r="J133"/>
    </row>
    <row r="134" spans="1:10" s="27" customFormat="1">
      <c r="A134">
        <v>133</v>
      </c>
      <c r="B134" s="80" t="s">
        <v>1096</v>
      </c>
      <c r="C134" s="160">
        <v>0.1</v>
      </c>
      <c r="D134" s="80" t="s">
        <v>382</v>
      </c>
      <c r="E134" s="80" t="s">
        <v>1067</v>
      </c>
      <c r="F134" s="26"/>
      <c r="G134" s="26"/>
      <c r="H134" s="26" t="s">
        <v>1076</v>
      </c>
      <c r="I134" s="162"/>
      <c r="J134"/>
    </row>
    <row r="135" spans="1:10" s="27" customFormat="1">
      <c r="A135" s="27">
        <v>134</v>
      </c>
      <c r="B135" s="80" t="s">
        <v>1097</v>
      </c>
      <c r="C135" s="160">
        <v>0.35</v>
      </c>
      <c r="D135" s="80" t="s">
        <v>1071</v>
      </c>
      <c r="E135" s="81" t="s">
        <v>1067</v>
      </c>
      <c r="F135" s="26"/>
      <c r="G135" s="26"/>
      <c r="H135" s="26" t="s">
        <v>1076</v>
      </c>
      <c r="I135" s="162"/>
      <c r="J135" t="s">
        <v>1098</v>
      </c>
    </row>
    <row r="136" spans="1:10" s="27" customFormat="1">
      <c r="A136">
        <v>135</v>
      </c>
      <c r="B136" s="80" t="s">
        <v>1099</v>
      </c>
      <c r="C136" s="160">
        <v>0.4</v>
      </c>
      <c r="D136" s="80" t="s">
        <v>382</v>
      </c>
      <c r="E136" s="81" t="s">
        <v>1067</v>
      </c>
      <c r="F136" s="26"/>
      <c r="G136" s="26"/>
      <c r="H136" s="26" t="s">
        <v>1076</v>
      </c>
      <c r="I136" s="162"/>
      <c r="J136"/>
    </row>
    <row r="137" spans="1:10" s="27" customFormat="1">
      <c r="A137" s="27">
        <v>136</v>
      </c>
      <c r="B137" s="80" t="s">
        <v>1100</v>
      </c>
      <c r="C137" s="160">
        <v>0.35</v>
      </c>
      <c r="D137" s="80" t="s">
        <v>1071</v>
      </c>
      <c r="E137" s="81" t="s">
        <v>1067</v>
      </c>
      <c r="F137" s="26"/>
      <c r="G137" s="26"/>
      <c r="H137" s="26" t="s">
        <v>1072</v>
      </c>
      <c r="I137" s="162"/>
      <c r="J137"/>
    </row>
    <row r="138" spans="1:10" s="27" customFormat="1">
      <c r="A138">
        <v>137</v>
      </c>
      <c r="B138" s="80" t="s">
        <v>1101</v>
      </c>
      <c r="C138" s="160">
        <v>0.1</v>
      </c>
      <c r="D138" s="80" t="s">
        <v>382</v>
      </c>
      <c r="E138" s="81" t="s">
        <v>1067</v>
      </c>
      <c r="F138"/>
      <c r="G138"/>
      <c r="H138"/>
      <c r="I138" s="162">
        <v>39861</v>
      </c>
      <c r="J138" t="s">
        <v>1102</v>
      </c>
    </row>
    <row r="139" spans="1:10" s="27" customFormat="1">
      <c r="A139" s="27">
        <v>138</v>
      </c>
      <c r="B139" s="80" t="s">
        <v>1103</v>
      </c>
      <c r="C139" s="160">
        <v>0.1</v>
      </c>
      <c r="D139" s="80" t="s">
        <v>382</v>
      </c>
      <c r="E139" s="26" t="s">
        <v>1067</v>
      </c>
      <c r="F139"/>
      <c r="G139"/>
      <c r="H139"/>
      <c r="I139" s="162">
        <v>39861</v>
      </c>
      <c r="J139" t="s">
        <v>1102</v>
      </c>
    </row>
    <row r="140" spans="1:10" s="27" customFormat="1">
      <c r="A140">
        <v>139</v>
      </c>
      <c r="B140" s="80" t="s">
        <v>1104</v>
      </c>
      <c r="C140" s="160">
        <v>0.01</v>
      </c>
      <c r="D140" s="80" t="s">
        <v>382</v>
      </c>
      <c r="E140" s="80" t="s">
        <v>1067</v>
      </c>
      <c r="F140" s="26"/>
      <c r="G140" s="26"/>
      <c r="H140" s="26" t="s">
        <v>1076</v>
      </c>
      <c r="I140" s="162">
        <v>40475</v>
      </c>
      <c r="J140" t="s">
        <v>1533</v>
      </c>
    </row>
    <row r="141" spans="1:10" s="27" customFormat="1" ht="30">
      <c r="A141" s="27">
        <v>140</v>
      </c>
      <c r="B141" s="80" t="s">
        <v>1105</v>
      </c>
      <c r="C141" s="160">
        <v>0.02</v>
      </c>
      <c r="D141" s="80" t="s">
        <v>460</v>
      </c>
      <c r="E141" s="26" t="s">
        <v>1106</v>
      </c>
      <c r="F141" s="26"/>
      <c r="G141" s="26"/>
      <c r="H141" s="26"/>
      <c r="I141" s="162">
        <v>39898</v>
      </c>
      <c r="J141" s="26" t="s">
        <v>1107</v>
      </c>
    </row>
    <row r="142" spans="1:10" s="27" customFormat="1">
      <c r="A142">
        <v>141</v>
      </c>
      <c r="B142" s="80" t="s">
        <v>1108</v>
      </c>
      <c r="C142" s="160">
        <v>0.25</v>
      </c>
      <c r="D142" s="80" t="s">
        <v>1109</v>
      </c>
      <c r="E142" s="26" t="s">
        <v>1110</v>
      </c>
      <c r="F142" s="26"/>
      <c r="G142" s="26"/>
      <c r="H142" s="26"/>
      <c r="I142" s="162"/>
      <c r="J142"/>
    </row>
    <row r="143" spans="1:10" s="27" customFormat="1">
      <c r="A143" s="27">
        <v>142</v>
      </c>
      <c r="B143" s="80" t="s">
        <v>1111</v>
      </c>
      <c r="C143" s="160">
        <v>0.03</v>
      </c>
      <c r="D143" s="80" t="s">
        <v>379</v>
      </c>
      <c r="E143" s="26" t="s">
        <v>1110</v>
      </c>
      <c r="F143" s="26"/>
      <c r="G143" s="26"/>
      <c r="H143" s="26"/>
      <c r="I143" s="162"/>
      <c r="J143"/>
    </row>
    <row r="144" spans="1:10" s="27" customFormat="1">
      <c r="A144">
        <v>143</v>
      </c>
      <c r="B144" s="80" t="s">
        <v>1112</v>
      </c>
      <c r="C144" s="160">
        <v>0.2</v>
      </c>
      <c r="D144" s="80" t="s">
        <v>382</v>
      </c>
      <c r="E144" s="26" t="s">
        <v>1110</v>
      </c>
      <c r="F144"/>
      <c r="G144"/>
      <c r="H144"/>
      <c r="I144" s="162">
        <v>39861</v>
      </c>
      <c r="J144" t="s">
        <v>1113</v>
      </c>
    </row>
    <row r="145" spans="1:10" s="27" customFormat="1">
      <c r="A145" s="27">
        <v>144</v>
      </c>
      <c r="B145" s="80" t="s">
        <v>1114</v>
      </c>
      <c r="C145" s="160">
        <v>0.25</v>
      </c>
      <c r="D145" s="80" t="s">
        <v>1092</v>
      </c>
      <c r="E145" s="26" t="s">
        <v>1110</v>
      </c>
      <c r="F145" s="26"/>
      <c r="G145" s="26"/>
      <c r="H145" s="26"/>
      <c r="I145" s="26"/>
      <c r="J145"/>
    </row>
    <row r="146" spans="1:10" s="27" customFormat="1">
      <c r="A146">
        <v>145</v>
      </c>
      <c r="B146" s="80" t="s">
        <v>1115</v>
      </c>
      <c r="C146" s="160">
        <v>0.03</v>
      </c>
      <c r="D146" s="80" t="s">
        <v>379</v>
      </c>
      <c r="E146" s="26" t="s">
        <v>1110</v>
      </c>
      <c r="F146" s="26"/>
      <c r="G146" s="26"/>
      <c r="H146" s="26"/>
      <c r="I146" s="26"/>
      <c r="J146"/>
    </row>
    <row r="147" spans="1:10" s="27" customFormat="1">
      <c r="A147" s="27">
        <v>146</v>
      </c>
      <c r="B147" s="80" t="s">
        <v>1116</v>
      </c>
      <c r="C147" s="160">
        <v>0.75</v>
      </c>
      <c r="D147" s="80" t="s">
        <v>1109</v>
      </c>
      <c r="E147" s="26" t="s">
        <v>1117</v>
      </c>
      <c r="F147" s="26"/>
      <c r="G147" s="26"/>
      <c r="H147" s="26"/>
      <c r="I147" s="26"/>
      <c r="J147"/>
    </row>
    <row r="148" spans="1:10" s="27" customFormat="1">
      <c r="A148">
        <v>147</v>
      </c>
      <c r="B148" s="80" t="s">
        <v>1118</v>
      </c>
      <c r="C148" s="160">
        <v>0.15</v>
      </c>
      <c r="D148" s="80" t="s">
        <v>382</v>
      </c>
      <c r="E148" s="26" t="s">
        <v>1117</v>
      </c>
      <c r="F148" s="26"/>
      <c r="G148" s="26"/>
      <c r="H148" s="26"/>
      <c r="I148" s="162">
        <v>39837</v>
      </c>
      <c r="J148" t="s">
        <v>1119</v>
      </c>
    </row>
    <row r="149" spans="1:10" s="27" customFormat="1">
      <c r="A149" s="27">
        <v>148</v>
      </c>
      <c r="B149" s="80" t="s">
        <v>1120</v>
      </c>
      <c r="C149" s="160">
        <v>0.75</v>
      </c>
      <c r="D149" s="80" t="s">
        <v>1121</v>
      </c>
      <c r="E149" s="26" t="s">
        <v>1117</v>
      </c>
      <c r="F149" s="26"/>
      <c r="G149" s="26"/>
      <c r="H149" s="26"/>
      <c r="I149" s="26"/>
      <c r="J149" t="s">
        <v>1122</v>
      </c>
    </row>
    <row r="150" spans="1:10" s="27" customFormat="1">
      <c r="A150">
        <v>149</v>
      </c>
      <c r="B150" s="80" t="s">
        <v>1123</v>
      </c>
      <c r="C150" s="160">
        <v>0.45</v>
      </c>
      <c r="D150" s="80" t="s">
        <v>1121</v>
      </c>
      <c r="E150" s="1" t="s">
        <v>1117</v>
      </c>
      <c r="F150"/>
      <c r="G150"/>
      <c r="H150"/>
      <c r="I150" s="162">
        <v>39868</v>
      </c>
      <c r="J150" t="s">
        <v>1124</v>
      </c>
    </row>
    <row r="151" spans="1:10" s="27" customFormat="1">
      <c r="A151" s="27">
        <v>150</v>
      </c>
      <c r="B151" s="80" t="s">
        <v>1125</v>
      </c>
      <c r="C151" s="160">
        <v>0.38</v>
      </c>
      <c r="D151" s="80" t="s">
        <v>382</v>
      </c>
      <c r="E151" s="26" t="s">
        <v>1117</v>
      </c>
      <c r="F151" s="26"/>
      <c r="G151" s="26"/>
      <c r="H151" s="26"/>
      <c r="I151" s="162">
        <v>39837</v>
      </c>
      <c r="J151" t="s">
        <v>1126</v>
      </c>
    </row>
    <row r="152" spans="1:10" s="27" customFormat="1">
      <c r="A152"/>
      <c r="B152"/>
      <c r="C152"/>
      <c r="D152"/>
      <c r="E152"/>
      <c r="F152"/>
      <c r="G152"/>
      <c r="H152"/>
      <c r="I152"/>
      <c r="J152"/>
    </row>
    <row r="153" spans="1:10" s="27" customFormat="1">
      <c r="B153"/>
      <c r="C153"/>
      <c r="D153"/>
      <c r="E153"/>
      <c r="F153"/>
      <c r="G153"/>
      <c r="H153"/>
      <c r="I153"/>
      <c r="J153"/>
    </row>
    <row r="154" spans="1:10" s="27" customFormat="1">
      <c r="A154"/>
      <c r="B154"/>
      <c r="C154"/>
      <c r="D154"/>
      <c r="E154"/>
      <c r="F154"/>
      <c r="G154"/>
      <c r="H154"/>
      <c r="I154"/>
      <c r="J154"/>
    </row>
    <row r="155" spans="1:10" s="27" customFormat="1">
      <c r="B155"/>
      <c r="C155"/>
      <c r="D155"/>
      <c r="E155"/>
      <c r="F155"/>
      <c r="G155"/>
      <c r="H155"/>
      <c r="I155"/>
      <c r="J155"/>
    </row>
    <row r="156" spans="1:10" s="27" customFormat="1">
      <c r="A156"/>
      <c r="B156"/>
      <c r="C156"/>
      <c r="D156"/>
      <c r="E156"/>
      <c r="F156"/>
      <c r="G156"/>
      <c r="H156"/>
      <c r="I156"/>
      <c r="J156"/>
    </row>
    <row r="157" spans="1:10" s="27" customFormat="1">
      <c r="B157"/>
      <c r="C157"/>
      <c r="D157"/>
      <c r="E157"/>
      <c r="F157"/>
      <c r="G157"/>
      <c r="H157"/>
      <c r="I157"/>
      <c r="J157"/>
    </row>
    <row r="158" spans="1:10" s="27" customFormat="1">
      <c r="A158"/>
      <c r="B158"/>
      <c r="C158"/>
      <c r="D158"/>
      <c r="E158"/>
      <c r="F158"/>
      <c r="G158"/>
      <c r="H158"/>
      <c r="I158"/>
      <c r="J158"/>
    </row>
    <row r="159" spans="1:10" s="27" customFormat="1">
      <c r="B159"/>
      <c r="C159"/>
      <c r="D159"/>
      <c r="E159"/>
      <c r="F159"/>
      <c r="G159"/>
      <c r="H159"/>
      <c r="I159"/>
      <c r="J159"/>
    </row>
    <row r="160" spans="1:10" s="27" customFormat="1">
      <c r="A160"/>
      <c r="B160"/>
      <c r="C160"/>
      <c r="D160"/>
      <c r="E160"/>
      <c r="F160"/>
      <c r="G160"/>
      <c r="H160"/>
      <c r="I160"/>
      <c r="J160"/>
    </row>
    <row r="161" spans="2:10" s="27" customFormat="1">
      <c r="B161"/>
      <c r="C161"/>
      <c r="D161"/>
      <c r="E161"/>
      <c r="F161"/>
      <c r="G161"/>
      <c r="H161"/>
      <c r="I161"/>
      <c r="J161"/>
    </row>
    <row r="162" spans="2:10" s="27" customFormat="1">
      <c r="B162"/>
      <c r="C162"/>
      <c r="D162"/>
      <c r="E162"/>
      <c r="F162"/>
      <c r="G162"/>
      <c r="H162"/>
      <c r="I162"/>
      <c r="J162"/>
    </row>
    <row r="163" spans="2:10" s="27" customFormat="1">
      <c r="B163"/>
      <c r="C163"/>
      <c r="D163"/>
      <c r="E163"/>
      <c r="F163"/>
      <c r="G163"/>
      <c r="H163"/>
      <c r="I163"/>
      <c r="J163"/>
    </row>
    <row r="164" spans="2:10" s="27" customFormat="1">
      <c r="B164"/>
      <c r="C164"/>
      <c r="D164"/>
      <c r="E164"/>
      <c r="F164"/>
      <c r="G164"/>
      <c r="H164"/>
      <c r="I164"/>
      <c r="J164"/>
    </row>
    <row r="165" spans="2:10" s="27" customFormat="1">
      <c r="B165"/>
      <c r="C165"/>
      <c r="D165"/>
      <c r="E165"/>
      <c r="F165"/>
      <c r="G165"/>
      <c r="H165"/>
      <c r="I165"/>
      <c r="J165"/>
    </row>
    <row r="166" spans="2:10" s="27" customFormat="1">
      <c r="B166"/>
      <c r="C166"/>
      <c r="D166"/>
      <c r="E166"/>
      <c r="F166"/>
      <c r="G166"/>
      <c r="H166"/>
      <c r="I166"/>
      <c r="J166"/>
    </row>
    <row r="167" spans="2:10" s="27" customFormat="1">
      <c r="B167"/>
      <c r="C167"/>
      <c r="D167"/>
      <c r="E167"/>
      <c r="F167"/>
      <c r="G167"/>
      <c r="H167"/>
      <c r="I167"/>
      <c r="J167"/>
    </row>
    <row r="168" spans="2:10" s="27" customFormat="1">
      <c r="B168"/>
      <c r="C168"/>
      <c r="D168"/>
      <c r="E168"/>
      <c r="F168"/>
      <c r="G168"/>
      <c r="H168"/>
      <c r="I168"/>
      <c r="J168"/>
    </row>
    <row r="169" spans="2:10" s="27" customFormat="1">
      <c r="B169"/>
      <c r="C169"/>
      <c r="D169"/>
      <c r="E169"/>
      <c r="F169"/>
      <c r="G169"/>
      <c r="H169"/>
      <c r="I169"/>
      <c r="J169"/>
    </row>
    <row r="170" spans="2:10" s="27" customFormat="1">
      <c r="B170"/>
      <c r="C170"/>
      <c r="D170"/>
      <c r="E170"/>
      <c r="F170"/>
      <c r="G170"/>
      <c r="H170"/>
      <c r="I170"/>
      <c r="J170"/>
    </row>
    <row r="171" spans="2:10" s="27" customFormat="1">
      <c r="B171"/>
      <c r="C171"/>
      <c r="D171"/>
      <c r="E171"/>
      <c r="F171"/>
      <c r="G171"/>
      <c r="H171"/>
      <c r="I171"/>
      <c r="J171"/>
    </row>
    <row r="172" spans="2:10" s="27" customFormat="1">
      <c r="B172"/>
      <c r="C172"/>
      <c r="D172"/>
      <c r="E172"/>
      <c r="F172"/>
      <c r="G172"/>
      <c r="H172"/>
      <c r="I172"/>
      <c r="J172"/>
    </row>
    <row r="173" spans="2:10" s="27" customFormat="1">
      <c r="B173"/>
      <c r="C173"/>
      <c r="D173"/>
      <c r="E173"/>
      <c r="F173"/>
      <c r="G173"/>
      <c r="H173"/>
      <c r="I173"/>
      <c r="J173"/>
    </row>
    <row r="174" spans="2:10" s="27" customFormat="1">
      <c r="B174"/>
      <c r="C174"/>
      <c r="D174"/>
      <c r="E174"/>
      <c r="F174"/>
      <c r="G174"/>
      <c r="H174"/>
      <c r="I174"/>
      <c r="J174"/>
    </row>
    <row r="175" spans="2:10" s="27" customFormat="1">
      <c r="B175"/>
      <c r="C175"/>
      <c r="D175"/>
      <c r="E175"/>
      <c r="F175"/>
      <c r="G175"/>
      <c r="H175"/>
      <c r="I175"/>
      <c r="J175"/>
    </row>
    <row r="176" spans="2:10" s="27" customFormat="1">
      <c r="B176"/>
      <c r="C176"/>
      <c r="D176"/>
      <c r="E176"/>
      <c r="F176"/>
      <c r="G176"/>
      <c r="H176"/>
      <c r="I176"/>
      <c r="J176"/>
    </row>
    <row r="177" spans="2:10" s="27" customFormat="1">
      <c r="B177"/>
      <c r="C177"/>
      <c r="D177"/>
      <c r="E177"/>
      <c r="F177"/>
      <c r="G177"/>
      <c r="H177"/>
      <c r="I177"/>
      <c r="J177"/>
    </row>
    <row r="178" spans="2:10" s="27" customFormat="1">
      <c r="B178"/>
      <c r="C178"/>
      <c r="D178"/>
      <c r="E178"/>
      <c r="F178"/>
      <c r="G178"/>
      <c r="H178"/>
      <c r="I178"/>
      <c r="J178"/>
    </row>
    <row r="179" spans="2:10" s="27" customFormat="1">
      <c r="B179"/>
      <c r="C179"/>
      <c r="D179"/>
      <c r="E179"/>
      <c r="F179"/>
      <c r="G179"/>
      <c r="H179"/>
      <c r="I179"/>
      <c r="J179"/>
    </row>
    <row r="180" spans="2:10" s="27" customFormat="1">
      <c r="B180"/>
      <c r="C180"/>
      <c r="D180"/>
      <c r="E180"/>
      <c r="F180"/>
      <c r="G180"/>
      <c r="H180"/>
      <c r="I180"/>
      <c r="J180"/>
    </row>
    <row r="181" spans="2:10" s="27" customFormat="1">
      <c r="B181"/>
      <c r="C181"/>
      <c r="D181"/>
      <c r="E181"/>
      <c r="F181"/>
      <c r="G181"/>
      <c r="H181"/>
      <c r="I181"/>
      <c r="J181"/>
    </row>
    <row r="182" spans="2:10" s="27" customFormat="1">
      <c r="B182"/>
      <c r="C182"/>
      <c r="D182"/>
      <c r="E182"/>
      <c r="F182"/>
      <c r="G182"/>
      <c r="H182"/>
      <c r="I182"/>
      <c r="J182"/>
    </row>
    <row r="183" spans="2:10" s="27" customFormat="1">
      <c r="B183"/>
      <c r="C183"/>
      <c r="D183"/>
      <c r="E183"/>
      <c r="F183"/>
      <c r="G183"/>
      <c r="H183"/>
      <c r="I183"/>
      <c r="J183"/>
    </row>
    <row r="184" spans="2:10" s="27" customFormat="1">
      <c r="B184"/>
      <c r="C184"/>
      <c r="D184"/>
      <c r="E184"/>
      <c r="F184"/>
      <c r="G184"/>
      <c r="H184"/>
      <c r="I184"/>
      <c r="J184"/>
    </row>
    <row r="185" spans="2:10" s="27" customFormat="1">
      <c r="B185"/>
      <c r="C185"/>
      <c r="D185"/>
      <c r="E185"/>
      <c r="F185"/>
      <c r="G185"/>
      <c r="H185"/>
      <c r="I185"/>
      <c r="J185"/>
    </row>
    <row r="186" spans="2:10" s="27" customFormat="1">
      <c r="B186"/>
      <c r="C186"/>
      <c r="D186"/>
      <c r="E186"/>
      <c r="F186"/>
      <c r="G186"/>
      <c r="H186"/>
      <c r="I186"/>
      <c r="J186"/>
    </row>
    <row r="187" spans="2:10" s="27" customFormat="1">
      <c r="B187"/>
      <c r="C187"/>
      <c r="D187"/>
      <c r="E187"/>
      <c r="F187"/>
      <c r="G187"/>
      <c r="H187"/>
      <c r="I187"/>
      <c r="J187"/>
    </row>
    <row r="188" spans="2:10" s="27" customFormat="1">
      <c r="B188"/>
      <c r="C188"/>
      <c r="D188"/>
      <c r="E188"/>
      <c r="F188"/>
      <c r="G188"/>
      <c r="H188"/>
      <c r="I188"/>
      <c r="J188"/>
    </row>
    <row r="189" spans="2:10" s="27" customFormat="1">
      <c r="B189"/>
      <c r="C189"/>
      <c r="D189"/>
      <c r="E189"/>
      <c r="F189"/>
      <c r="G189"/>
      <c r="H189"/>
      <c r="I189"/>
      <c r="J189"/>
    </row>
    <row r="190" spans="2:10" s="27" customFormat="1">
      <c r="B190"/>
      <c r="C190"/>
      <c r="D190"/>
      <c r="E190"/>
      <c r="F190"/>
      <c r="G190"/>
      <c r="H190"/>
      <c r="I190"/>
      <c r="J190"/>
    </row>
    <row r="191" spans="2:10" s="27" customFormat="1">
      <c r="B191"/>
      <c r="C191"/>
      <c r="D191"/>
      <c r="E191"/>
      <c r="F191"/>
      <c r="G191"/>
      <c r="H191"/>
      <c r="I191"/>
      <c r="J191"/>
    </row>
    <row r="192" spans="2:10" s="27" customFormat="1">
      <c r="B192"/>
      <c r="C192"/>
      <c r="D192"/>
      <c r="E192"/>
      <c r="F192"/>
      <c r="G192"/>
      <c r="H192"/>
      <c r="I192"/>
      <c r="J192"/>
    </row>
    <row r="193" spans="2:10" s="27" customFormat="1">
      <c r="B193"/>
      <c r="C193"/>
      <c r="D193"/>
      <c r="E193"/>
      <c r="F193"/>
      <c r="G193"/>
      <c r="H193"/>
      <c r="I193"/>
      <c r="J193"/>
    </row>
    <row r="194" spans="2:10" s="27" customFormat="1">
      <c r="B194"/>
      <c r="C194"/>
      <c r="D194"/>
      <c r="E194"/>
      <c r="F194"/>
      <c r="G194"/>
      <c r="H194"/>
      <c r="I194"/>
      <c r="J194"/>
    </row>
    <row r="195" spans="2:10" s="27" customFormat="1">
      <c r="B195"/>
      <c r="C195"/>
      <c r="D195"/>
      <c r="E195"/>
      <c r="F195"/>
      <c r="G195"/>
      <c r="H195"/>
      <c r="I195"/>
      <c r="J195"/>
    </row>
    <row r="196" spans="2:10" s="27" customFormat="1">
      <c r="B196"/>
      <c r="C196"/>
      <c r="D196"/>
      <c r="E196"/>
      <c r="F196"/>
      <c r="G196"/>
      <c r="H196"/>
      <c r="I196"/>
      <c r="J196"/>
    </row>
    <row r="197" spans="2:10" s="27" customFormat="1">
      <c r="B197"/>
      <c r="C197"/>
      <c r="D197"/>
      <c r="E197"/>
      <c r="F197"/>
      <c r="G197"/>
      <c r="H197"/>
      <c r="I197"/>
      <c r="J197"/>
    </row>
    <row r="198" spans="2:10" s="27" customFormat="1">
      <c r="B198"/>
      <c r="C198"/>
      <c r="D198"/>
      <c r="E198"/>
      <c r="F198"/>
      <c r="G198"/>
      <c r="H198"/>
      <c r="I198"/>
      <c r="J198"/>
    </row>
    <row r="199" spans="2:10" s="27" customFormat="1">
      <c r="B199"/>
      <c r="C199"/>
      <c r="D199"/>
      <c r="E199"/>
      <c r="F199"/>
      <c r="G199"/>
      <c r="H199"/>
      <c r="I199"/>
      <c r="J199"/>
    </row>
    <row r="200" spans="2:10" s="27" customFormat="1">
      <c r="B200"/>
      <c r="C200"/>
      <c r="D200"/>
      <c r="E200"/>
      <c r="F200"/>
      <c r="G200"/>
      <c r="H200"/>
      <c r="I200"/>
      <c r="J200"/>
    </row>
    <row r="201" spans="2:10" s="27" customFormat="1">
      <c r="B201"/>
      <c r="C201"/>
      <c r="D201"/>
      <c r="E201"/>
      <c r="F201"/>
      <c r="G201"/>
      <c r="H201"/>
      <c r="I201"/>
      <c r="J201"/>
    </row>
    <row r="202" spans="2:10" s="27" customFormat="1">
      <c r="B202"/>
      <c r="C202"/>
      <c r="D202"/>
      <c r="E202"/>
      <c r="F202"/>
      <c r="G202"/>
      <c r="H202"/>
      <c r="I202"/>
      <c r="J202"/>
    </row>
    <row r="203" spans="2:10" s="27" customFormat="1">
      <c r="B203"/>
      <c r="C203"/>
      <c r="D203"/>
      <c r="E203"/>
      <c r="F203"/>
      <c r="G203"/>
      <c r="H203"/>
      <c r="I203"/>
      <c r="J203"/>
    </row>
    <row r="204" spans="2:10" s="27" customFormat="1">
      <c r="B204"/>
      <c r="C204"/>
      <c r="D204"/>
      <c r="E204"/>
      <c r="F204"/>
      <c r="G204"/>
      <c r="H204"/>
      <c r="I204"/>
      <c r="J204"/>
    </row>
    <row r="205" spans="2:10" s="27" customFormat="1">
      <c r="B205"/>
      <c r="C205"/>
      <c r="D205"/>
      <c r="E205"/>
      <c r="F205"/>
      <c r="G205"/>
      <c r="H205"/>
      <c r="I205"/>
      <c r="J205"/>
    </row>
    <row r="206" spans="2:10" s="27" customFormat="1">
      <c r="B206"/>
      <c r="C206"/>
      <c r="D206"/>
      <c r="E206"/>
      <c r="F206"/>
      <c r="G206"/>
      <c r="H206"/>
      <c r="I206"/>
      <c r="J206"/>
    </row>
    <row r="207" spans="2:10" s="27" customFormat="1">
      <c r="B207"/>
      <c r="C207"/>
      <c r="D207"/>
      <c r="E207"/>
      <c r="F207"/>
      <c r="G207"/>
      <c r="H207"/>
      <c r="I207"/>
      <c r="J207"/>
    </row>
    <row r="208" spans="2:10" s="27" customFormat="1">
      <c r="B208"/>
      <c r="C208"/>
      <c r="D208"/>
      <c r="E208"/>
      <c r="F208"/>
      <c r="G208"/>
      <c r="H208"/>
      <c r="I208"/>
      <c r="J208"/>
    </row>
    <row r="209" spans="2:10" s="27" customFormat="1">
      <c r="B209"/>
      <c r="C209"/>
      <c r="D209"/>
      <c r="E209"/>
      <c r="F209"/>
      <c r="G209"/>
      <c r="H209"/>
      <c r="I209"/>
      <c r="J209"/>
    </row>
    <row r="210" spans="2:10" s="27" customFormat="1">
      <c r="B210"/>
      <c r="C210"/>
      <c r="D210"/>
      <c r="E210"/>
      <c r="F210"/>
      <c r="G210"/>
      <c r="H210"/>
      <c r="I210"/>
      <c r="J210"/>
    </row>
    <row r="211" spans="2:10" s="27" customFormat="1">
      <c r="B211"/>
      <c r="C211"/>
      <c r="D211"/>
      <c r="E211"/>
      <c r="F211"/>
      <c r="G211"/>
      <c r="H211"/>
      <c r="I211"/>
      <c r="J211"/>
    </row>
    <row r="212" spans="2:10" s="27" customFormat="1">
      <c r="B212"/>
      <c r="C212"/>
      <c r="D212"/>
      <c r="E212"/>
      <c r="F212"/>
      <c r="G212"/>
      <c r="H212"/>
      <c r="I212"/>
      <c r="J212"/>
    </row>
    <row r="213" spans="2:10" s="27" customFormat="1">
      <c r="B213"/>
      <c r="C213"/>
      <c r="D213"/>
      <c r="E213"/>
      <c r="F213"/>
      <c r="G213"/>
      <c r="H213"/>
      <c r="I213"/>
      <c r="J213"/>
    </row>
    <row r="214" spans="2:10" s="27" customFormat="1">
      <c r="B214"/>
      <c r="C214"/>
      <c r="D214"/>
      <c r="E214"/>
      <c r="F214"/>
      <c r="G214"/>
      <c r="H214"/>
      <c r="I214"/>
      <c r="J214"/>
    </row>
    <row r="215" spans="2:10" s="27" customFormat="1">
      <c r="B215"/>
      <c r="C215"/>
      <c r="D215"/>
      <c r="E215"/>
      <c r="F215"/>
      <c r="G215"/>
      <c r="H215"/>
      <c r="I215"/>
      <c r="J215"/>
    </row>
    <row r="216" spans="2:10" s="27" customFormat="1">
      <c r="B216"/>
      <c r="C216"/>
      <c r="D216"/>
      <c r="E216"/>
      <c r="F216"/>
      <c r="G216"/>
      <c r="H216"/>
      <c r="I216"/>
      <c r="J216"/>
    </row>
    <row r="217" spans="2:10" s="27" customFormat="1">
      <c r="B217"/>
      <c r="C217"/>
      <c r="D217"/>
      <c r="E217"/>
      <c r="F217"/>
      <c r="G217"/>
      <c r="H217"/>
      <c r="I217"/>
      <c r="J217"/>
    </row>
    <row r="218" spans="2:10" s="27" customFormat="1">
      <c r="B218"/>
      <c r="C218"/>
      <c r="D218"/>
      <c r="E218"/>
      <c r="F218"/>
      <c r="G218"/>
      <c r="H218"/>
      <c r="I218"/>
      <c r="J218"/>
    </row>
    <row r="219" spans="2:10" s="27" customFormat="1">
      <c r="B219"/>
      <c r="C219"/>
      <c r="D219"/>
      <c r="E219"/>
      <c r="F219"/>
      <c r="G219"/>
      <c r="H219"/>
      <c r="I219"/>
      <c r="J219"/>
    </row>
    <row r="220" spans="2:10" s="27" customFormat="1">
      <c r="B220"/>
      <c r="C220"/>
      <c r="D220"/>
      <c r="E220"/>
      <c r="F220"/>
      <c r="G220"/>
      <c r="H220"/>
      <c r="I220"/>
      <c r="J220"/>
    </row>
    <row r="221" spans="2:10" s="27" customFormat="1">
      <c r="B221"/>
      <c r="C221"/>
      <c r="D221"/>
      <c r="E221"/>
      <c r="F221"/>
      <c r="G221"/>
      <c r="H221"/>
      <c r="I221"/>
      <c r="J221"/>
    </row>
    <row r="222" spans="2:10" s="27" customFormat="1">
      <c r="B222"/>
      <c r="C222"/>
      <c r="D222"/>
      <c r="E222"/>
      <c r="F222"/>
      <c r="G222"/>
      <c r="H222"/>
      <c r="I222"/>
      <c r="J222"/>
    </row>
    <row r="223" spans="2:10" s="27" customFormat="1">
      <c r="B223"/>
      <c r="C223"/>
      <c r="D223"/>
      <c r="E223"/>
      <c r="F223"/>
      <c r="G223"/>
      <c r="H223"/>
      <c r="I223"/>
      <c r="J223"/>
    </row>
    <row r="224" spans="2:10" s="27" customFormat="1">
      <c r="B224"/>
      <c r="C224"/>
      <c r="D224"/>
      <c r="E224"/>
      <c r="F224"/>
      <c r="G224"/>
      <c r="H224"/>
      <c r="I224"/>
      <c r="J224"/>
    </row>
    <row r="225" spans="2:10" s="27" customFormat="1">
      <c r="B225"/>
      <c r="C225"/>
      <c r="D225"/>
      <c r="E225"/>
      <c r="F225"/>
      <c r="G225"/>
      <c r="H225"/>
      <c r="I225"/>
      <c r="J225"/>
    </row>
    <row r="226" spans="2:10" s="27" customFormat="1">
      <c r="B226"/>
      <c r="C226"/>
      <c r="D226"/>
      <c r="E226"/>
      <c r="F226"/>
      <c r="G226"/>
      <c r="H226"/>
      <c r="I226"/>
      <c r="J226"/>
    </row>
    <row r="227" spans="2:10" s="27" customFormat="1">
      <c r="B227"/>
      <c r="C227"/>
      <c r="D227"/>
      <c r="E227"/>
      <c r="F227"/>
      <c r="G227"/>
      <c r="H227"/>
      <c r="I227"/>
      <c r="J227"/>
    </row>
    <row r="228" spans="2:10" s="27" customFormat="1">
      <c r="B228"/>
      <c r="C228"/>
      <c r="D228"/>
      <c r="E228"/>
      <c r="F228"/>
      <c r="G228"/>
      <c r="H228"/>
      <c r="I228"/>
      <c r="J228"/>
    </row>
    <row r="229" spans="2:10" s="27" customFormat="1">
      <c r="B229"/>
      <c r="C229"/>
      <c r="D229"/>
      <c r="E229"/>
      <c r="F229"/>
      <c r="G229"/>
      <c r="H229"/>
      <c r="I229"/>
      <c r="J229"/>
    </row>
    <row r="230" spans="2:10" s="27" customFormat="1">
      <c r="B230"/>
      <c r="C230"/>
      <c r="D230"/>
      <c r="E230"/>
      <c r="F230"/>
      <c r="G230"/>
      <c r="H230"/>
      <c r="I230"/>
      <c r="J230"/>
    </row>
    <row r="231" spans="2:10" s="27" customFormat="1">
      <c r="B231"/>
      <c r="C231"/>
      <c r="D231"/>
      <c r="E231"/>
      <c r="F231"/>
      <c r="G231"/>
      <c r="H231"/>
      <c r="I231"/>
      <c r="J231"/>
    </row>
    <row r="232" spans="2:10" s="27" customFormat="1">
      <c r="B232"/>
      <c r="C232"/>
      <c r="D232"/>
      <c r="E232"/>
      <c r="F232"/>
      <c r="G232"/>
      <c r="H232"/>
      <c r="I232"/>
      <c r="J232"/>
    </row>
    <row r="233" spans="2:10" s="27" customFormat="1">
      <c r="B233"/>
      <c r="C233"/>
      <c r="D233"/>
      <c r="E233"/>
      <c r="F233"/>
      <c r="G233"/>
      <c r="H233"/>
      <c r="I233"/>
      <c r="J233"/>
    </row>
    <row r="234" spans="2:10" s="27" customFormat="1">
      <c r="B234"/>
      <c r="C234"/>
      <c r="D234"/>
      <c r="E234"/>
      <c r="F234"/>
      <c r="G234"/>
      <c r="H234"/>
      <c r="I234"/>
      <c r="J234"/>
    </row>
    <row r="235" spans="2:10" s="27" customFormat="1">
      <c r="B235"/>
      <c r="C235"/>
      <c r="D235"/>
      <c r="E235"/>
      <c r="F235"/>
      <c r="G235"/>
      <c r="H235"/>
      <c r="I235"/>
      <c r="J235"/>
    </row>
    <row r="236" spans="2:10" s="27" customFormat="1">
      <c r="B236"/>
      <c r="C236"/>
      <c r="D236"/>
      <c r="E236"/>
      <c r="F236"/>
      <c r="G236"/>
      <c r="H236"/>
      <c r="I236"/>
      <c r="J236"/>
    </row>
    <row r="237" spans="2:10" s="27" customFormat="1">
      <c r="B237"/>
      <c r="C237"/>
      <c r="D237"/>
      <c r="E237"/>
      <c r="F237"/>
      <c r="G237"/>
      <c r="H237"/>
      <c r="I237"/>
      <c r="J237"/>
    </row>
    <row r="238" spans="2:10" s="27" customFormat="1">
      <c r="B238"/>
      <c r="C238"/>
      <c r="D238"/>
      <c r="E238"/>
      <c r="F238"/>
      <c r="G238"/>
      <c r="H238"/>
      <c r="I238"/>
      <c r="J238"/>
    </row>
    <row r="239" spans="2:10" s="27" customFormat="1">
      <c r="B239"/>
      <c r="C239"/>
      <c r="D239"/>
      <c r="E239"/>
      <c r="F239"/>
      <c r="G239"/>
      <c r="H239"/>
      <c r="I239"/>
      <c r="J239"/>
    </row>
    <row r="240" spans="2:10" s="27" customFormat="1">
      <c r="B240"/>
      <c r="C240"/>
      <c r="D240"/>
      <c r="E240"/>
      <c r="F240"/>
      <c r="G240"/>
      <c r="H240"/>
      <c r="I240"/>
      <c r="J240"/>
    </row>
    <row r="241" spans="2:10" s="27" customFormat="1">
      <c r="B241"/>
      <c r="C241"/>
      <c r="D241"/>
      <c r="E241"/>
      <c r="F241"/>
      <c r="G241"/>
      <c r="H241"/>
      <c r="I241"/>
      <c r="J241"/>
    </row>
    <row r="242" spans="2:10" s="27" customFormat="1">
      <c r="B242"/>
      <c r="C242"/>
      <c r="D242"/>
      <c r="E242"/>
      <c r="F242"/>
      <c r="G242"/>
      <c r="H242"/>
      <c r="I242"/>
      <c r="J242"/>
    </row>
    <row r="243" spans="2:10" s="27" customFormat="1">
      <c r="B243"/>
      <c r="C243"/>
      <c r="D243"/>
      <c r="E243"/>
      <c r="F243"/>
      <c r="G243"/>
      <c r="H243"/>
      <c r="I243"/>
      <c r="J243"/>
    </row>
    <row r="244" spans="2:10" s="27" customFormat="1">
      <c r="B244"/>
      <c r="C244"/>
      <c r="D244"/>
      <c r="E244"/>
      <c r="F244"/>
      <c r="G244"/>
      <c r="H244"/>
      <c r="I244"/>
      <c r="J244"/>
    </row>
    <row r="245" spans="2:10" s="27" customFormat="1">
      <c r="B245"/>
      <c r="C245"/>
      <c r="D245"/>
      <c r="E245"/>
      <c r="F245"/>
      <c r="G245"/>
      <c r="H245"/>
      <c r="I245"/>
      <c r="J245"/>
    </row>
    <row r="246" spans="2:10" s="27" customFormat="1">
      <c r="B246"/>
      <c r="C246"/>
      <c r="D246"/>
      <c r="E246"/>
      <c r="F246"/>
      <c r="G246"/>
      <c r="H246"/>
      <c r="I246"/>
      <c r="J246"/>
    </row>
    <row r="247" spans="2:10" s="27" customFormat="1">
      <c r="B247"/>
      <c r="C247"/>
      <c r="D247"/>
      <c r="E247"/>
      <c r="F247"/>
      <c r="G247"/>
      <c r="H247"/>
      <c r="I247"/>
      <c r="J247"/>
    </row>
    <row r="248" spans="2:10" s="27" customFormat="1">
      <c r="B248"/>
      <c r="C248"/>
      <c r="D248"/>
      <c r="E248"/>
      <c r="F248"/>
      <c r="G248"/>
      <c r="H248"/>
      <c r="I248"/>
      <c r="J248"/>
    </row>
    <row r="249" spans="2:10" s="27" customFormat="1">
      <c r="B249"/>
      <c r="C249"/>
      <c r="D249"/>
      <c r="E249"/>
      <c r="F249"/>
      <c r="G249"/>
      <c r="H249"/>
      <c r="I249"/>
      <c r="J249"/>
    </row>
    <row r="250" spans="2:10" s="27" customFormat="1">
      <c r="B250"/>
      <c r="C250"/>
      <c r="D250"/>
      <c r="E250"/>
      <c r="F250"/>
      <c r="G250"/>
      <c r="H250"/>
      <c r="I250"/>
      <c r="J250"/>
    </row>
    <row r="251" spans="2:10" s="27" customFormat="1">
      <c r="B251"/>
      <c r="C251"/>
      <c r="D251"/>
      <c r="E251"/>
      <c r="F251"/>
      <c r="G251"/>
      <c r="H251"/>
      <c r="I251"/>
      <c r="J251"/>
    </row>
    <row r="252" spans="2:10" s="27" customFormat="1">
      <c r="B252"/>
      <c r="C252"/>
      <c r="D252"/>
      <c r="E252"/>
      <c r="F252"/>
      <c r="G252"/>
      <c r="H252"/>
      <c r="I252"/>
      <c r="J252"/>
    </row>
    <row r="253" spans="2:10" s="27" customFormat="1">
      <c r="B253"/>
      <c r="C253"/>
      <c r="D253"/>
      <c r="E253"/>
      <c r="F253"/>
      <c r="G253"/>
      <c r="H253"/>
      <c r="I253"/>
      <c r="J253"/>
    </row>
    <row r="254" spans="2:10" s="27" customFormat="1">
      <c r="B254"/>
      <c r="C254"/>
      <c r="D254"/>
      <c r="E254"/>
      <c r="F254"/>
      <c r="G254"/>
      <c r="H254"/>
      <c r="I254"/>
      <c r="J254"/>
    </row>
    <row r="255" spans="2:10" s="27" customFormat="1">
      <c r="B255"/>
      <c r="C255"/>
      <c r="D255"/>
      <c r="E255"/>
      <c r="F255"/>
      <c r="G255"/>
      <c r="H255"/>
      <c r="I255"/>
      <c r="J255"/>
    </row>
    <row r="256" spans="2:10" s="27" customFormat="1">
      <c r="B256"/>
      <c r="C256"/>
      <c r="D256"/>
      <c r="E256"/>
      <c r="F256"/>
      <c r="G256"/>
      <c r="H256"/>
      <c r="I256"/>
      <c r="J256"/>
    </row>
    <row r="257" spans="2:10" s="27" customFormat="1">
      <c r="B257"/>
      <c r="C257"/>
      <c r="D257"/>
      <c r="E257"/>
      <c r="F257"/>
      <c r="G257"/>
      <c r="H257"/>
      <c r="I257"/>
      <c r="J257"/>
    </row>
    <row r="258" spans="2:10" s="27" customFormat="1">
      <c r="B258"/>
      <c r="C258"/>
      <c r="D258"/>
      <c r="E258"/>
      <c r="F258"/>
      <c r="G258"/>
      <c r="H258"/>
      <c r="I258"/>
      <c r="J258"/>
    </row>
    <row r="259" spans="2:10" s="27" customFormat="1">
      <c r="B259"/>
      <c r="C259"/>
      <c r="D259"/>
      <c r="E259"/>
      <c r="F259"/>
      <c r="G259"/>
      <c r="H259"/>
      <c r="I259"/>
      <c r="J259"/>
    </row>
    <row r="260" spans="2:10" s="27" customFormat="1">
      <c r="B260"/>
      <c r="C260"/>
      <c r="D260"/>
      <c r="E260"/>
      <c r="F260"/>
      <c r="G260"/>
      <c r="H260"/>
      <c r="I260"/>
      <c r="J260"/>
    </row>
    <row r="261" spans="2:10" s="27" customFormat="1">
      <c r="B261"/>
      <c r="C261"/>
      <c r="D261"/>
      <c r="E261"/>
      <c r="F261"/>
      <c r="G261"/>
      <c r="H261"/>
      <c r="I261"/>
      <c r="J261"/>
    </row>
    <row r="262" spans="2:10" s="27" customFormat="1">
      <c r="B262"/>
      <c r="C262"/>
      <c r="D262"/>
      <c r="E262"/>
      <c r="F262"/>
      <c r="G262"/>
      <c r="H262"/>
      <c r="I262"/>
      <c r="J262"/>
    </row>
    <row r="263" spans="2:10" s="27" customFormat="1">
      <c r="B263"/>
      <c r="C263"/>
      <c r="D263"/>
      <c r="E263"/>
      <c r="F263"/>
      <c r="G263"/>
      <c r="H263"/>
      <c r="I263"/>
      <c r="J263"/>
    </row>
    <row r="264" spans="2:10" s="27" customFormat="1">
      <c r="B264"/>
      <c r="C264"/>
      <c r="D264"/>
      <c r="E264"/>
      <c r="F264"/>
      <c r="G264"/>
      <c r="H264"/>
      <c r="I264"/>
      <c r="J264"/>
    </row>
    <row r="265" spans="2:10" s="27" customFormat="1">
      <c r="B265"/>
      <c r="C265"/>
      <c r="D265"/>
      <c r="E265"/>
      <c r="F265"/>
      <c r="G265"/>
      <c r="H265"/>
      <c r="I265"/>
      <c r="J265"/>
    </row>
    <row r="266" spans="2:10" s="27" customFormat="1">
      <c r="B266"/>
      <c r="C266"/>
      <c r="D266"/>
      <c r="E266"/>
      <c r="F266"/>
      <c r="G266"/>
      <c r="H266"/>
      <c r="I266"/>
      <c r="J266"/>
    </row>
    <row r="267" spans="2:10" s="27" customFormat="1">
      <c r="B267"/>
      <c r="C267"/>
      <c r="D267"/>
      <c r="E267"/>
      <c r="F267"/>
      <c r="G267"/>
      <c r="H267"/>
      <c r="I267"/>
      <c r="J267"/>
    </row>
    <row r="268" spans="2:10" s="27" customFormat="1">
      <c r="B268"/>
      <c r="C268"/>
      <c r="D268"/>
      <c r="E268"/>
      <c r="F268"/>
      <c r="G268"/>
      <c r="H268"/>
      <c r="I268"/>
      <c r="J268"/>
    </row>
    <row r="269" spans="2:10" s="27" customFormat="1">
      <c r="B269"/>
      <c r="C269"/>
      <c r="D269"/>
      <c r="E269"/>
      <c r="F269"/>
      <c r="G269"/>
      <c r="H269"/>
      <c r="I269"/>
      <c r="J269"/>
    </row>
    <row r="270" spans="2:10" s="27" customFormat="1">
      <c r="B270"/>
      <c r="C270"/>
      <c r="D270"/>
      <c r="E270"/>
      <c r="F270"/>
      <c r="G270"/>
      <c r="H270"/>
      <c r="I270"/>
      <c r="J270"/>
    </row>
    <row r="271" spans="2:10" s="27" customFormat="1">
      <c r="B271"/>
      <c r="C271"/>
      <c r="D271"/>
      <c r="E271"/>
      <c r="F271"/>
      <c r="G271"/>
      <c r="H271"/>
      <c r="I271"/>
      <c r="J271"/>
    </row>
    <row r="272" spans="2:10" s="27" customFormat="1">
      <c r="B272"/>
      <c r="C272"/>
      <c r="D272"/>
      <c r="E272"/>
      <c r="F272"/>
      <c r="G272"/>
      <c r="H272"/>
      <c r="I272"/>
      <c r="J272"/>
    </row>
    <row r="273" spans="2:10" s="27" customFormat="1">
      <c r="B273"/>
      <c r="C273"/>
      <c r="D273"/>
      <c r="E273"/>
      <c r="F273"/>
      <c r="G273"/>
      <c r="H273"/>
      <c r="I273"/>
      <c r="J273"/>
    </row>
    <row r="274" spans="2:10" s="27" customFormat="1">
      <c r="B274"/>
      <c r="C274"/>
      <c r="D274"/>
      <c r="E274"/>
      <c r="F274"/>
      <c r="G274"/>
      <c r="H274"/>
      <c r="I274"/>
      <c r="J274"/>
    </row>
    <row r="275" spans="2:10" s="27" customFormat="1">
      <c r="B275"/>
      <c r="C275"/>
      <c r="D275"/>
      <c r="E275"/>
      <c r="F275"/>
      <c r="G275"/>
      <c r="H275"/>
      <c r="I275"/>
      <c r="J275"/>
    </row>
    <row r="276" spans="2:10" s="27" customFormat="1">
      <c r="B276"/>
      <c r="C276"/>
      <c r="D276"/>
      <c r="E276"/>
      <c r="F276"/>
      <c r="G276"/>
      <c r="H276"/>
      <c r="I276"/>
      <c r="J276"/>
    </row>
    <row r="277" spans="2:10" s="27" customFormat="1">
      <c r="B277"/>
      <c r="C277"/>
      <c r="D277"/>
      <c r="E277"/>
      <c r="F277"/>
      <c r="G277"/>
      <c r="H277"/>
      <c r="I277"/>
      <c r="J277"/>
    </row>
    <row r="278" spans="2:10" s="27" customFormat="1">
      <c r="B278"/>
      <c r="C278"/>
      <c r="D278"/>
      <c r="E278"/>
      <c r="F278"/>
      <c r="G278"/>
      <c r="H278"/>
      <c r="I278"/>
      <c r="J278"/>
    </row>
    <row r="279" spans="2:10" s="27" customFormat="1">
      <c r="B279"/>
      <c r="C279"/>
      <c r="D279"/>
      <c r="E279"/>
      <c r="F279"/>
      <c r="G279"/>
      <c r="H279"/>
      <c r="I279"/>
      <c r="J279"/>
    </row>
    <row r="280" spans="2:10" s="27" customFormat="1">
      <c r="B280"/>
      <c r="C280"/>
      <c r="D280"/>
      <c r="E280"/>
      <c r="F280"/>
      <c r="G280"/>
      <c r="H280"/>
      <c r="I280"/>
      <c r="J280"/>
    </row>
    <row r="281" spans="2:10" s="27" customFormat="1">
      <c r="B281"/>
      <c r="C281"/>
      <c r="D281"/>
      <c r="E281"/>
      <c r="F281"/>
      <c r="G281"/>
      <c r="H281"/>
      <c r="I281"/>
      <c r="J281"/>
    </row>
    <row r="282" spans="2:10" s="27" customFormat="1">
      <c r="B282"/>
      <c r="C282"/>
      <c r="D282"/>
      <c r="E282"/>
      <c r="F282"/>
      <c r="G282"/>
      <c r="H282"/>
      <c r="I282"/>
      <c r="J282"/>
    </row>
    <row r="283" spans="2:10" s="27" customFormat="1">
      <c r="B283"/>
      <c r="C283"/>
      <c r="D283"/>
      <c r="E283"/>
      <c r="F283"/>
      <c r="G283"/>
      <c r="H283"/>
      <c r="I283"/>
      <c r="J283"/>
    </row>
    <row r="284" spans="2:10" s="27" customFormat="1">
      <c r="B284"/>
      <c r="C284"/>
      <c r="D284"/>
      <c r="E284"/>
      <c r="F284"/>
      <c r="G284"/>
      <c r="H284"/>
      <c r="I284"/>
      <c r="J284"/>
    </row>
    <row r="285" spans="2:10" s="27" customFormat="1">
      <c r="B285"/>
      <c r="C285"/>
      <c r="D285"/>
      <c r="E285"/>
      <c r="F285"/>
      <c r="G285"/>
      <c r="H285"/>
      <c r="I285"/>
      <c r="J285"/>
    </row>
    <row r="286" spans="2:10" s="27" customFormat="1">
      <c r="B286"/>
      <c r="C286"/>
      <c r="D286"/>
      <c r="E286"/>
      <c r="F286"/>
      <c r="G286"/>
      <c r="H286"/>
      <c r="I286"/>
      <c r="J286"/>
    </row>
    <row r="287" spans="2:10" s="27" customFormat="1">
      <c r="B287"/>
      <c r="C287"/>
      <c r="D287"/>
      <c r="E287"/>
      <c r="F287"/>
      <c r="G287"/>
      <c r="H287"/>
      <c r="I287"/>
      <c r="J287"/>
    </row>
    <row r="288" spans="2:10" s="27" customFormat="1">
      <c r="B288"/>
      <c r="C288"/>
      <c r="D288"/>
      <c r="E288"/>
      <c r="F288"/>
      <c r="G288"/>
      <c r="H288"/>
      <c r="I288"/>
      <c r="J288"/>
    </row>
    <row r="289" spans="2:10" s="27" customFormat="1">
      <c r="B289"/>
      <c r="C289"/>
      <c r="D289"/>
      <c r="E289"/>
      <c r="F289"/>
      <c r="G289"/>
      <c r="H289"/>
      <c r="I289"/>
      <c r="J289"/>
    </row>
    <row r="290" spans="2:10" s="27" customFormat="1">
      <c r="B290"/>
      <c r="C290"/>
      <c r="D290"/>
      <c r="E290"/>
      <c r="F290"/>
      <c r="G290"/>
      <c r="H290"/>
      <c r="I290"/>
      <c r="J290"/>
    </row>
    <row r="291" spans="2:10" s="27" customFormat="1">
      <c r="B291"/>
      <c r="C291"/>
      <c r="D291"/>
      <c r="E291"/>
      <c r="F291"/>
      <c r="G291"/>
      <c r="H291"/>
      <c r="I291"/>
      <c r="J291"/>
    </row>
    <row r="292" spans="2:10" s="27" customFormat="1">
      <c r="B292"/>
      <c r="C292"/>
      <c r="D292"/>
      <c r="E292"/>
      <c r="F292"/>
      <c r="G292"/>
      <c r="H292"/>
      <c r="I292"/>
      <c r="J292"/>
    </row>
    <row r="293" spans="2:10" s="27" customFormat="1">
      <c r="B293"/>
      <c r="C293"/>
      <c r="D293"/>
      <c r="E293"/>
      <c r="F293"/>
      <c r="G293"/>
      <c r="H293"/>
      <c r="I293"/>
      <c r="J293"/>
    </row>
    <row r="294" spans="2:10" s="27" customFormat="1">
      <c r="B294"/>
      <c r="C294"/>
      <c r="D294"/>
      <c r="E294"/>
      <c r="F294"/>
      <c r="G294"/>
      <c r="H294"/>
      <c r="I294"/>
      <c r="J294"/>
    </row>
    <row r="295" spans="2:10" s="27" customFormat="1">
      <c r="B295"/>
      <c r="C295"/>
      <c r="D295"/>
      <c r="E295"/>
      <c r="F295"/>
      <c r="G295"/>
      <c r="H295"/>
      <c r="I295"/>
      <c r="J295"/>
    </row>
    <row r="296" spans="2:10" s="27" customFormat="1">
      <c r="B296"/>
      <c r="C296"/>
      <c r="D296"/>
      <c r="E296"/>
      <c r="F296"/>
      <c r="G296"/>
      <c r="H296"/>
      <c r="I296"/>
      <c r="J296"/>
    </row>
    <row r="297" spans="2:10" s="27" customFormat="1">
      <c r="B297"/>
      <c r="C297"/>
      <c r="D297"/>
      <c r="E297"/>
      <c r="F297"/>
      <c r="G297"/>
      <c r="H297"/>
      <c r="I297"/>
      <c r="J297"/>
    </row>
    <row r="298" spans="2:10" s="27" customFormat="1">
      <c r="B298"/>
      <c r="C298"/>
      <c r="D298"/>
      <c r="E298"/>
      <c r="F298"/>
      <c r="G298"/>
      <c r="H298"/>
      <c r="I298"/>
      <c r="J298"/>
    </row>
    <row r="299" spans="2:10" s="27" customFormat="1">
      <c r="B299"/>
      <c r="C299"/>
      <c r="D299"/>
      <c r="E299"/>
      <c r="F299"/>
      <c r="G299"/>
      <c r="H299"/>
      <c r="I299"/>
      <c r="J299"/>
    </row>
    <row r="300" spans="2:10" s="27" customFormat="1">
      <c r="B300"/>
      <c r="C300"/>
      <c r="D300"/>
      <c r="E300"/>
      <c r="F300"/>
      <c r="G300"/>
      <c r="H300"/>
      <c r="I300"/>
      <c r="J300"/>
    </row>
    <row r="301" spans="2:10" s="27" customFormat="1">
      <c r="B301"/>
      <c r="C301"/>
      <c r="D301"/>
      <c r="E301"/>
      <c r="F301"/>
      <c r="G301"/>
      <c r="H301"/>
      <c r="I301"/>
      <c r="J301"/>
    </row>
    <row r="302" spans="2:10" s="27" customFormat="1">
      <c r="B302"/>
      <c r="C302"/>
      <c r="D302"/>
      <c r="E302"/>
      <c r="F302"/>
      <c r="G302"/>
      <c r="H302"/>
      <c r="I302"/>
      <c r="J302"/>
    </row>
    <row r="303" spans="2:10" s="27" customFormat="1">
      <c r="B303"/>
      <c r="C303"/>
      <c r="D303"/>
      <c r="E303"/>
      <c r="F303"/>
      <c r="G303"/>
      <c r="H303"/>
      <c r="I303"/>
      <c r="J303"/>
    </row>
    <row r="304" spans="2:10" s="27" customFormat="1">
      <c r="B304"/>
      <c r="C304"/>
      <c r="D304"/>
      <c r="E304"/>
      <c r="F304"/>
      <c r="G304"/>
      <c r="H304"/>
      <c r="I304"/>
      <c r="J304"/>
    </row>
    <row r="305" spans="2:10" s="27" customFormat="1">
      <c r="B305"/>
      <c r="C305"/>
      <c r="D305"/>
      <c r="E305"/>
      <c r="F305"/>
      <c r="G305"/>
      <c r="H305"/>
      <c r="I305"/>
      <c r="J305"/>
    </row>
    <row r="306" spans="2:10" s="27" customFormat="1">
      <c r="B306"/>
      <c r="C306"/>
      <c r="D306"/>
      <c r="E306"/>
      <c r="F306"/>
      <c r="G306"/>
      <c r="H306"/>
      <c r="I306"/>
      <c r="J306"/>
    </row>
    <row r="307" spans="2:10" s="27" customFormat="1">
      <c r="B307"/>
      <c r="C307"/>
      <c r="D307"/>
      <c r="E307"/>
      <c r="F307"/>
      <c r="G307"/>
      <c r="H307"/>
      <c r="I307"/>
      <c r="J307"/>
    </row>
    <row r="308" spans="2:10" s="27" customFormat="1">
      <c r="B308"/>
      <c r="C308"/>
      <c r="D308"/>
      <c r="E308"/>
      <c r="F308"/>
      <c r="G308"/>
      <c r="H308"/>
      <c r="I308"/>
      <c r="J308"/>
    </row>
    <row r="309" spans="2:10" s="27" customFormat="1">
      <c r="B309"/>
      <c r="C309"/>
      <c r="D309"/>
      <c r="E309"/>
      <c r="F309"/>
      <c r="G309"/>
      <c r="H309"/>
      <c r="I309"/>
      <c r="J309"/>
    </row>
    <row r="310" spans="2:10" s="27" customFormat="1">
      <c r="B310"/>
      <c r="C310"/>
      <c r="D310"/>
      <c r="E310"/>
      <c r="F310"/>
      <c r="G310"/>
      <c r="H310"/>
      <c r="I310"/>
      <c r="J310"/>
    </row>
    <row r="311" spans="2:10" s="27" customFormat="1">
      <c r="B311"/>
      <c r="C311"/>
      <c r="D311"/>
      <c r="E311"/>
      <c r="F311"/>
      <c r="G311"/>
      <c r="H311"/>
      <c r="I311"/>
      <c r="J311"/>
    </row>
    <row r="312" spans="2:10" s="27" customFormat="1">
      <c r="B312"/>
      <c r="C312"/>
      <c r="D312"/>
      <c r="E312"/>
      <c r="F312"/>
      <c r="G312"/>
      <c r="H312"/>
      <c r="I312"/>
      <c r="J312"/>
    </row>
    <row r="313" spans="2:10" s="27" customFormat="1">
      <c r="B313"/>
      <c r="C313"/>
      <c r="D313"/>
      <c r="E313"/>
      <c r="F313"/>
      <c r="G313"/>
      <c r="H313"/>
      <c r="I313"/>
      <c r="J313"/>
    </row>
    <row r="314" spans="2:10" s="27" customFormat="1">
      <c r="B314"/>
      <c r="C314"/>
      <c r="D314"/>
      <c r="E314"/>
      <c r="F314"/>
      <c r="G314"/>
      <c r="H314"/>
      <c r="I314"/>
      <c r="J314"/>
    </row>
    <row r="315" spans="2:10" s="27" customFormat="1">
      <c r="B315"/>
      <c r="C315"/>
      <c r="D315"/>
      <c r="E315"/>
      <c r="F315"/>
      <c r="G315"/>
      <c r="H315"/>
      <c r="I315"/>
      <c r="J315"/>
    </row>
    <row r="316" spans="2:10" s="27" customFormat="1">
      <c r="B316"/>
      <c r="C316"/>
      <c r="D316"/>
      <c r="E316"/>
      <c r="F316"/>
      <c r="G316"/>
      <c r="H316"/>
      <c r="I316"/>
      <c r="J316"/>
    </row>
    <row r="317" spans="2:10" s="27" customFormat="1">
      <c r="B317"/>
      <c r="C317"/>
      <c r="D317"/>
      <c r="E317"/>
      <c r="F317"/>
      <c r="G317"/>
      <c r="H317"/>
      <c r="I317"/>
      <c r="J317"/>
    </row>
    <row r="318" spans="2:10" s="27" customFormat="1">
      <c r="B318"/>
      <c r="C318"/>
      <c r="D318"/>
      <c r="E318"/>
      <c r="F318"/>
      <c r="G318"/>
      <c r="H318"/>
      <c r="I318"/>
      <c r="J318"/>
    </row>
    <row r="319" spans="2:10" s="27" customFormat="1">
      <c r="B319"/>
      <c r="C319"/>
      <c r="D319"/>
      <c r="E319"/>
      <c r="F319"/>
      <c r="G319"/>
      <c r="H319"/>
      <c r="I319"/>
      <c r="J319"/>
    </row>
    <row r="320" spans="2:10" s="27" customFormat="1">
      <c r="B320"/>
      <c r="C320"/>
      <c r="D320"/>
      <c r="E320"/>
      <c r="F320"/>
      <c r="G320"/>
      <c r="H320"/>
      <c r="I320"/>
      <c r="J320"/>
    </row>
    <row r="321" spans="2:10" s="27" customFormat="1">
      <c r="B321"/>
      <c r="C321"/>
      <c r="D321"/>
      <c r="E321"/>
      <c r="F321"/>
      <c r="G321"/>
      <c r="H321"/>
      <c r="I321"/>
      <c r="J321"/>
    </row>
    <row r="322" spans="2:10" s="27" customFormat="1">
      <c r="B322"/>
      <c r="C322"/>
      <c r="D322"/>
      <c r="E322"/>
      <c r="F322"/>
      <c r="G322"/>
      <c r="H322"/>
      <c r="I322"/>
      <c r="J322"/>
    </row>
    <row r="323" spans="2:10" s="27" customFormat="1">
      <c r="B323"/>
      <c r="C323"/>
      <c r="D323"/>
      <c r="E323"/>
      <c r="F323"/>
      <c r="G323"/>
      <c r="H323"/>
      <c r="I323"/>
      <c r="J323"/>
    </row>
    <row r="324" spans="2:10" s="27" customFormat="1">
      <c r="B324"/>
      <c r="C324"/>
      <c r="D324"/>
      <c r="E324"/>
      <c r="F324"/>
      <c r="G324"/>
      <c r="H324"/>
      <c r="I324"/>
      <c r="J324"/>
    </row>
    <row r="325" spans="2:10" s="27" customFormat="1">
      <c r="B325"/>
      <c r="C325"/>
      <c r="D325"/>
      <c r="E325"/>
      <c r="F325"/>
      <c r="G325"/>
      <c r="H325"/>
      <c r="I325"/>
      <c r="J325"/>
    </row>
    <row r="326" spans="2:10" s="27" customFormat="1">
      <c r="B326"/>
      <c r="C326"/>
      <c r="D326"/>
      <c r="E326"/>
      <c r="F326"/>
      <c r="G326"/>
      <c r="H326"/>
      <c r="I326"/>
      <c r="J326"/>
    </row>
    <row r="327" spans="2:10" s="27" customFormat="1">
      <c r="B327"/>
      <c r="C327"/>
      <c r="D327"/>
      <c r="E327"/>
      <c r="F327"/>
      <c r="G327"/>
      <c r="H327"/>
      <c r="I327"/>
      <c r="J327"/>
    </row>
    <row r="328" spans="2:10" s="27" customFormat="1">
      <c r="B328"/>
      <c r="C328"/>
      <c r="D328"/>
      <c r="E328"/>
      <c r="F328"/>
      <c r="G328"/>
      <c r="H328"/>
      <c r="I328"/>
      <c r="J328"/>
    </row>
    <row r="329" spans="2:10" s="27" customFormat="1">
      <c r="B329"/>
      <c r="C329"/>
      <c r="D329"/>
      <c r="E329"/>
      <c r="F329"/>
      <c r="G329"/>
      <c r="H329"/>
      <c r="I329"/>
      <c r="J329"/>
    </row>
    <row r="330" spans="2:10" s="27" customFormat="1">
      <c r="B330"/>
      <c r="C330"/>
      <c r="D330"/>
      <c r="E330"/>
      <c r="F330"/>
      <c r="G330"/>
      <c r="H330"/>
      <c r="I330"/>
      <c r="J330"/>
    </row>
    <row r="331" spans="2:10" s="27" customFormat="1">
      <c r="B331"/>
      <c r="C331"/>
      <c r="D331"/>
      <c r="E331"/>
      <c r="F331"/>
      <c r="G331"/>
      <c r="H331"/>
      <c r="I331"/>
      <c r="J331"/>
    </row>
    <row r="332" spans="2:10" s="27" customFormat="1">
      <c r="B332"/>
      <c r="C332"/>
      <c r="D332"/>
      <c r="E332"/>
      <c r="F332"/>
      <c r="G332"/>
      <c r="H332"/>
      <c r="I332"/>
      <c r="J332"/>
    </row>
    <row r="333" spans="2:10" s="27" customFormat="1">
      <c r="B333"/>
      <c r="C333"/>
      <c r="D333"/>
      <c r="E333"/>
      <c r="F333"/>
      <c r="G333"/>
      <c r="H333"/>
      <c r="I333"/>
      <c r="J333"/>
    </row>
    <row r="334" spans="2:10" s="27" customFormat="1">
      <c r="B334"/>
      <c r="C334"/>
      <c r="D334"/>
      <c r="E334"/>
      <c r="F334"/>
      <c r="G334"/>
      <c r="H334"/>
      <c r="I334"/>
      <c r="J334"/>
    </row>
    <row r="335" spans="2:10" s="27" customFormat="1">
      <c r="B335"/>
      <c r="C335"/>
      <c r="D335"/>
      <c r="E335"/>
      <c r="F335"/>
      <c r="G335"/>
      <c r="H335"/>
      <c r="I335"/>
      <c r="J335"/>
    </row>
    <row r="336" spans="2:10" s="27" customFormat="1">
      <c r="B336"/>
      <c r="C336"/>
      <c r="D336"/>
      <c r="E336"/>
      <c r="F336"/>
      <c r="G336"/>
      <c r="H336"/>
      <c r="I336"/>
      <c r="J336"/>
    </row>
    <row r="337" spans="2:10" s="27" customFormat="1">
      <c r="B337"/>
      <c r="C337"/>
      <c r="D337"/>
      <c r="E337"/>
      <c r="F337"/>
      <c r="G337"/>
      <c r="H337"/>
      <c r="I337"/>
      <c r="J337"/>
    </row>
    <row r="338" spans="2:10" s="27" customFormat="1">
      <c r="B338"/>
      <c r="C338"/>
      <c r="D338"/>
      <c r="E338"/>
      <c r="F338"/>
      <c r="G338"/>
      <c r="H338"/>
      <c r="I338"/>
      <c r="J338"/>
    </row>
    <row r="339" spans="2:10" s="27" customFormat="1">
      <c r="B339"/>
      <c r="C339"/>
      <c r="D339"/>
      <c r="E339"/>
      <c r="F339"/>
      <c r="G339"/>
      <c r="H339"/>
      <c r="I339"/>
      <c r="J339"/>
    </row>
    <row r="340" spans="2:10" s="27" customFormat="1">
      <c r="B340"/>
      <c r="C340"/>
      <c r="D340"/>
      <c r="E340"/>
      <c r="F340"/>
      <c r="G340"/>
      <c r="H340"/>
      <c r="I340"/>
      <c r="J340"/>
    </row>
    <row r="341" spans="2:10" s="27" customFormat="1">
      <c r="B341"/>
      <c r="C341"/>
      <c r="D341"/>
      <c r="E341"/>
      <c r="F341"/>
      <c r="G341"/>
      <c r="H341"/>
      <c r="I341"/>
      <c r="J341"/>
    </row>
    <row r="342" spans="2:10" s="27" customFormat="1">
      <c r="B342"/>
      <c r="C342"/>
      <c r="D342"/>
      <c r="E342"/>
      <c r="F342"/>
      <c r="G342"/>
      <c r="H342"/>
      <c r="I342"/>
      <c r="J342"/>
    </row>
    <row r="343" spans="2:10" s="27" customFormat="1">
      <c r="B343"/>
      <c r="C343"/>
      <c r="D343"/>
      <c r="E343"/>
      <c r="F343"/>
      <c r="G343"/>
      <c r="H343"/>
      <c r="I343"/>
      <c r="J343"/>
    </row>
    <row r="344" spans="2:10" s="27" customFormat="1">
      <c r="B344"/>
      <c r="C344"/>
      <c r="D344"/>
      <c r="E344"/>
      <c r="F344"/>
      <c r="G344"/>
      <c r="H344"/>
      <c r="I344"/>
      <c r="J344"/>
    </row>
    <row r="345" spans="2:10" s="27" customFormat="1">
      <c r="B345"/>
      <c r="C345"/>
      <c r="D345"/>
      <c r="E345"/>
      <c r="F345"/>
      <c r="G345"/>
      <c r="H345"/>
      <c r="I345"/>
      <c r="J345"/>
    </row>
    <row r="346" spans="2:10" s="27" customFormat="1">
      <c r="B346"/>
      <c r="C346"/>
      <c r="D346"/>
      <c r="E346"/>
      <c r="F346"/>
      <c r="G346"/>
      <c r="H346"/>
      <c r="I346"/>
      <c r="J346"/>
    </row>
    <row r="347" spans="2:10" s="27" customFormat="1">
      <c r="B347"/>
      <c r="C347"/>
      <c r="D347"/>
      <c r="E347"/>
      <c r="F347"/>
      <c r="G347"/>
      <c r="H347"/>
      <c r="I347"/>
      <c r="J347"/>
    </row>
    <row r="348" spans="2:10" s="27" customFormat="1">
      <c r="B348"/>
      <c r="C348"/>
      <c r="D348"/>
      <c r="E348"/>
      <c r="F348"/>
      <c r="G348"/>
      <c r="H348"/>
      <c r="I348"/>
      <c r="J348"/>
    </row>
    <row r="349" spans="2:10" s="27" customFormat="1">
      <c r="B349"/>
      <c r="C349"/>
      <c r="D349"/>
      <c r="E349"/>
      <c r="F349"/>
      <c r="G349"/>
      <c r="H349"/>
      <c r="I349"/>
      <c r="J349"/>
    </row>
    <row r="350" spans="2:10" s="27" customFormat="1">
      <c r="B350"/>
      <c r="C350"/>
      <c r="D350"/>
      <c r="E350"/>
      <c r="F350"/>
      <c r="G350"/>
      <c r="H350"/>
      <c r="I350"/>
      <c r="J350"/>
    </row>
    <row r="351" spans="2:10" s="27" customFormat="1">
      <c r="B351"/>
      <c r="C351"/>
      <c r="D351"/>
      <c r="E351"/>
      <c r="F351"/>
      <c r="G351"/>
      <c r="H351"/>
      <c r="I351"/>
      <c r="J351"/>
    </row>
    <row r="352" spans="2:10" s="27" customFormat="1">
      <c r="B352"/>
      <c r="C352"/>
      <c r="D352"/>
      <c r="E352"/>
      <c r="F352"/>
      <c r="G352"/>
      <c r="H352"/>
      <c r="I352"/>
      <c r="J352"/>
    </row>
    <row r="353" spans="2:10" s="27" customFormat="1">
      <c r="B353"/>
      <c r="C353"/>
      <c r="D353"/>
      <c r="E353"/>
      <c r="F353"/>
      <c r="G353"/>
      <c r="H353"/>
      <c r="I353"/>
      <c r="J353"/>
    </row>
    <row r="354" spans="2:10" s="27" customFormat="1">
      <c r="B354"/>
      <c r="C354"/>
      <c r="D354"/>
      <c r="E354"/>
      <c r="F354"/>
      <c r="G354"/>
      <c r="H354"/>
      <c r="I354"/>
      <c r="J354"/>
    </row>
    <row r="355" spans="2:10" s="27" customFormat="1">
      <c r="B355"/>
      <c r="C355"/>
      <c r="D355"/>
      <c r="E355"/>
      <c r="F355"/>
      <c r="G355"/>
      <c r="H355"/>
      <c r="I355"/>
      <c r="J355"/>
    </row>
    <row r="356" spans="2:10" s="27" customFormat="1">
      <c r="B356"/>
      <c r="C356"/>
      <c r="D356"/>
      <c r="E356"/>
      <c r="F356"/>
      <c r="G356"/>
      <c r="H356"/>
      <c r="I356"/>
      <c r="J356"/>
    </row>
    <row r="357" spans="2:10" s="27" customFormat="1">
      <c r="B357"/>
      <c r="C357"/>
      <c r="D357"/>
      <c r="E357"/>
      <c r="F357"/>
      <c r="G357"/>
      <c r="H357"/>
      <c r="I357"/>
      <c r="J357"/>
    </row>
    <row r="358" spans="2:10" s="27" customFormat="1">
      <c r="B358"/>
      <c r="C358"/>
      <c r="D358"/>
      <c r="E358"/>
      <c r="F358"/>
      <c r="G358"/>
      <c r="H358"/>
      <c r="I358"/>
      <c r="J358"/>
    </row>
    <row r="359" spans="2:10" s="27" customFormat="1">
      <c r="B359"/>
      <c r="C359"/>
      <c r="D359"/>
      <c r="E359"/>
      <c r="F359"/>
      <c r="G359"/>
      <c r="H359"/>
      <c r="I359"/>
      <c r="J359"/>
    </row>
    <row r="360" spans="2:10" s="27" customFormat="1">
      <c r="B360"/>
      <c r="C360"/>
      <c r="D360"/>
      <c r="E360"/>
      <c r="F360"/>
      <c r="G360"/>
      <c r="H360"/>
      <c r="I360"/>
      <c r="J360"/>
    </row>
    <row r="361" spans="2:10" s="27" customFormat="1">
      <c r="B361"/>
      <c r="C361"/>
      <c r="D361"/>
      <c r="E361"/>
      <c r="F361"/>
      <c r="G361"/>
      <c r="H361"/>
      <c r="I361"/>
      <c r="J361"/>
    </row>
    <row r="362" spans="2:10" s="27" customFormat="1">
      <c r="B362"/>
      <c r="C362"/>
      <c r="D362"/>
      <c r="E362"/>
      <c r="F362"/>
      <c r="G362"/>
      <c r="H362"/>
      <c r="I362"/>
      <c r="J362"/>
    </row>
    <row r="363" spans="2:10" s="27" customFormat="1">
      <c r="B363"/>
      <c r="C363"/>
      <c r="D363"/>
      <c r="E363"/>
      <c r="F363"/>
      <c r="G363"/>
      <c r="H363"/>
      <c r="I363"/>
      <c r="J363"/>
    </row>
    <row r="364" spans="2:10" s="27" customFormat="1">
      <c r="B364"/>
      <c r="C364"/>
      <c r="D364"/>
      <c r="E364"/>
      <c r="F364"/>
      <c r="G364"/>
      <c r="H364"/>
      <c r="I364"/>
      <c r="J364"/>
    </row>
    <row r="365" spans="2:10" s="27" customFormat="1">
      <c r="B365"/>
      <c r="C365"/>
      <c r="D365"/>
      <c r="E365"/>
      <c r="F365"/>
      <c r="G365"/>
      <c r="H365"/>
      <c r="I365"/>
      <c r="J365"/>
    </row>
    <row r="366" spans="2:10" s="27" customFormat="1">
      <c r="B366"/>
      <c r="C366"/>
      <c r="D366"/>
      <c r="E366"/>
      <c r="F366"/>
      <c r="G366"/>
      <c r="H366"/>
      <c r="I366"/>
      <c r="J366"/>
    </row>
    <row r="367" spans="2:10" s="27" customFormat="1">
      <c r="B367"/>
      <c r="C367"/>
      <c r="D367"/>
      <c r="E367"/>
      <c r="F367"/>
      <c r="G367"/>
      <c r="H367"/>
      <c r="I367"/>
      <c r="J367"/>
    </row>
    <row r="368" spans="2:10" s="27" customFormat="1">
      <c r="B368"/>
      <c r="C368"/>
      <c r="D368"/>
      <c r="E368"/>
      <c r="F368"/>
      <c r="G368"/>
      <c r="H368"/>
      <c r="I368"/>
      <c r="J368"/>
    </row>
    <row r="369" spans="2:10" s="27" customFormat="1">
      <c r="B369"/>
      <c r="C369"/>
      <c r="D369"/>
      <c r="E369"/>
      <c r="F369"/>
      <c r="G369"/>
      <c r="H369"/>
      <c r="I369"/>
      <c r="J369"/>
    </row>
    <row r="370" spans="2:10" s="27" customFormat="1">
      <c r="B370"/>
      <c r="C370"/>
      <c r="D370"/>
      <c r="E370"/>
      <c r="F370"/>
      <c r="G370"/>
      <c r="H370"/>
      <c r="I370"/>
      <c r="J370"/>
    </row>
    <row r="371" spans="2:10" s="27" customFormat="1">
      <c r="B371"/>
      <c r="C371"/>
      <c r="D371"/>
      <c r="E371"/>
      <c r="F371"/>
      <c r="G371"/>
      <c r="H371"/>
      <c r="I371"/>
      <c r="J371"/>
    </row>
    <row r="372" spans="2:10" s="27" customFormat="1">
      <c r="B372"/>
      <c r="C372"/>
      <c r="D372"/>
      <c r="E372"/>
      <c r="F372"/>
      <c r="G372"/>
      <c r="H372"/>
      <c r="I372"/>
      <c r="J372"/>
    </row>
    <row r="373" spans="2:10" s="27" customFormat="1">
      <c r="B373"/>
      <c r="C373"/>
      <c r="D373"/>
      <c r="E373"/>
      <c r="F373"/>
      <c r="G373"/>
      <c r="H373"/>
      <c r="I373"/>
      <c r="J373"/>
    </row>
    <row r="374" spans="2:10" s="27" customFormat="1">
      <c r="B374"/>
      <c r="C374"/>
      <c r="D374"/>
      <c r="E374"/>
      <c r="F374"/>
      <c r="G374"/>
      <c r="H374"/>
      <c r="I374"/>
      <c r="J374"/>
    </row>
    <row r="375" spans="2:10" s="27" customFormat="1">
      <c r="B375"/>
      <c r="C375"/>
      <c r="D375"/>
      <c r="E375"/>
      <c r="F375"/>
      <c r="G375"/>
      <c r="H375"/>
      <c r="I375"/>
      <c r="J375"/>
    </row>
    <row r="376" spans="2:10" s="27" customFormat="1">
      <c r="B376"/>
      <c r="C376"/>
      <c r="D376"/>
      <c r="E376"/>
      <c r="F376"/>
      <c r="G376"/>
      <c r="H376"/>
      <c r="I376"/>
      <c r="J376"/>
    </row>
    <row r="377" spans="2:10" s="27" customFormat="1">
      <c r="B377"/>
      <c r="C377"/>
      <c r="D377"/>
      <c r="E377"/>
      <c r="F377"/>
      <c r="G377"/>
      <c r="H377"/>
      <c r="I377"/>
      <c r="J377"/>
    </row>
    <row r="378" spans="2:10" s="27" customFormat="1">
      <c r="B378"/>
      <c r="C378"/>
      <c r="D378"/>
      <c r="E378"/>
      <c r="F378"/>
      <c r="G378"/>
      <c r="H378"/>
      <c r="I378"/>
      <c r="J378"/>
    </row>
    <row r="379" spans="2:10" s="27" customFormat="1">
      <c r="B379"/>
      <c r="C379"/>
      <c r="D379"/>
      <c r="E379"/>
      <c r="F379"/>
      <c r="G379"/>
      <c r="H379"/>
      <c r="I379"/>
      <c r="J379"/>
    </row>
    <row r="380" spans="2:10" s="27" customFormat="1">
      <c r="B380"/>
      <c r="C380"/>
      <c r="D380"/>
      <c r="E380"/>
      <c r="F380"/>
      <c r="G380"/>
      <c r="H380"/>
      <c r="I380"/>
      <c r="J380"/>
    </row>
    <row r="381" spans="2:10" s="27" customFormat="1">
      <c r="B381"/>
      <c r="C381"/>
      <c r="D381"/>
      <c r="E381"/>
      <c r="F381"/>
      <c r="G381"/>
      <c r="H381"/>
      <c r="I381"/>
      <c r="J381"/>
    </row>
    <row r="382" spans="2:10" s="27" customFormat="1">
      <c r="B382"/>
      <c r="C382"/>
      <c r="D382"/>
      <c r="E382"/>
      <c r="F382"/>
      <c r="G382"/>
      <c r="H382"/>
      <c r="I382"/>
      <c r="J382"/>
    </row>
    <row r="383" spans="2:10" s="27" customFormat="1">
      <c r="B383"/>
      <c r="C383"/>
      <c r="D383"/>
      <c r="E383"/>
      <c r="F383"/>
      <c r="G383"/>
      <c r="H383"/>
      <c r="I383"/>
      <c r="J383"/>
    </row>
    <row r="384" spans="2:10" s="27" customFormat="1">
      <c r="B384"/>
      <c r="C384"/>
      <c r="D384"/>
      <c r="E384"/>
      <c r="F384"/>
      <c r="G384"/>
      <c r="H384"/>
      <c r="I384"/>
      <c r="J384"/>
    </row>
    <row r="385" spans="2:10" s="27" customFormat="1">
      <c r="B385"/>
      <c r="C385"/>
      <c r="D385"/>
      <c r="E385"/>
      <c r="F385"/>
      <c r="G385"/>
      <c r="H385"/>
      <c r="I385"/>
      <c r="J385"/>
    </row>
    <row r="386" spans="2:10" s="27" customFormat="1">
      <c r="B386"/>
      <c r="C386"/>
      <c r="D386"/>
      <c r="E386"/>
      <c r="F386"/>
      <c r="G386"/>
      <c r="H386"/>
      <c r="I386"/>
      <c r="J386"/>
    </row>
    <row r="387" spans="2:10" s="27" customFormat="1">
      <c r="B387"/>
      <c r="C387"/>
      <c r="D387"/>
      <c r="E387"/>
      <c r="F387"/>
      <c r="G387"/>
      <c r="H387"/>
      <c r="I387"/>
      <c r="J387"/>
    </row>
    <row r="388" spans="2:10" s="27" customFormat="1">
      <c r="B388"/>
      <c r="C388"/>
      <c r="D388"/>
      <c r="E388"/>
      <c r="F388"/>
      <c r="G388"/>
      <c r="H388"/>
      <c r="I388"/>
      <c r="J388"/>
    </row>
    <row r="389" spans="2:10" s="27" customFormat="1">
      <c r="B389"/>
      <c r="C389"/>
      <c r="D389"/>
      <c r="E389"/>
      <c r="F389"/>
      <c r="G389"/>
      <c r="H389"/>
      <c r="I389"/>
      <c r="J389"/>
    </row>
    <row r="390" spans="2:10" s="27" customFormat="1">
      <c r="B390"/>
      <c r="C390"/>
      <c r="D390"/>
      <c r="E390"/>
      <c r="F390"/>
      <c r="G390"/>
      <c r="H390"/>
      <c r="I390"/>
      <c r="J390"/>
    </row>
    <row r="391" spans="2:10" s="27" customFormat="1">
      <c r="B391"/>
      <c r="C391"/>
      <c r="D391"/>
      <c r="E391"/>
      <c r="F391"/>
      <c r="G391"/>
      <c r="H391"/>
      <c r="I391"/>
      <c r="J391"/>
    </row>
    <row r="392" spans="2:10" s="27" customFormat="1">
      <c r="B392"/>
      <c r="C392"/>
      <c r="D392"/>
      <c r="E392"/>
      <c r="F392"/>
      <c r="G392"/>
      <c r="H392"/>
      <c r="I392"/>
      <c r="J392"/>
    </row>
    <row r="393" spans="2:10" s="27" customFormat="1">
      <c r="B393"/>
      <c r="C393"/>
      <c r="D393"/>
      <c r="E393"/>
      <c r="F393"/>
      <c r="G393"/>
      <c r="H393"/>
      <c r="I393"/>
      <c r="J393"/>
    </row>
    <row r="394" spans="2:10" s="27" customFormat="1">
      <c r="B394"/>
      <c r="C394"/>
      <c r="D394"/>
      <c r="E394"/>
      <c r="F394"/>
      <c r="G394"/>
      <c r="H394"/>
      <c r="I394"/>
      <c r="J394"/>
    </row>
    <row r="395" spans="2:10" s="27" customFormat="1">
      <c r="B395"/>
      <c r="C395"/>
      <c r="D395"/>
      <c r="E395"/>
      <c r="F395"/>
      <c r="G395"/>
      <c r="H395"/>
      <c r="I395"/>
      <c r="J395"/>
    </row>
    <row r="396" spans="2:10" s="27" customFormat="1">
      <c r="B396"/>
      <c r="C396"/>
      <c r="D396"/>
      <c r="E396"/>
      <c r="F396"/>
      <c r="G396"/>
      <c r="H396"/>
      <c r="I396"/>
      <c r="J396"/>
    </row>
    <row r="397" spans="2:10" s="27" customFormat="1">
      <c r="B397"/>
      <c r="C397"/>
      <c r="D397"/>
      <c r="E397"/>
      <c r="F397"/>
      <c r="G397"/>
      <c r="H397"/>
      <c r="I397"/>
      <c r="J397"/>
    </row>
    <row r="398" spans="2:10" s="27" customFormat="1">
      <c r="B398"/>
      <c r="C398"/>
      <c r="D398"/>
      <c r="E398"/>
      <c r="F398"/>
      <c r="G398"/>
      <c r="H398"/>
      <c r="I398"/>
      <c r="J398"/>
    </row>
    <row r="399" spans="2:10" s="27" customFormat="1">
      <c r="B399"/>
      <c r="C399"/>
      <c r="D399"/>
      <c r="E399"/>
      <c r="F399"/>
      <c r="G399"/>
      <c r="H399"/>
      <c r="I399"/>
      <c r="J399"/>
    </row>
    <row r="400" spans="2:10" s="27" customFormat="1">
      <c r="B400"/>
      <c r="C400"/>
      <c r="D400"/>
      <c r="E400"/>
      <c r="F400"/>
      <c r="G400"/>
      <c r="H400"/>
      <c r="I400"/>
      <c r="J400"/>
    </row>
    <row r="401" spans="2:10" s="27" customFormat="1">
      <c r="B401"/>
      <c r="C401"/>
      <c r="D401"/>
      <c r="E401"/>
      <c r="F401"/>
      <c r="G401"/>
      <c r="H401"/>
      <c r="I401"/>
      <c r="J401"/>
    </row>
    <row r="402" spans="2:10" s="27" customFormat="1">
      <c r="B402"/>
      <c r="C402"/>
      <c r="D402"/>
      <c r="E402"/>
      <c r="F402"/>
      <c r="G402"/>
      <c r="H402"/>
      <c r="I402"/>
      <c r="J402"/>
    </row>
    <row r="403" spans="2:10" s="27" customFormat="1">
      <c r="B403"/>
      <c r="C403"/>
      <c r="D403"/>
      <c r="E403"/>
      <c r="F403"/>
      <c r="G403"/>
      <c r="H403"/>
      <c r="I403"/>
      <c r="J403"/>
    </row>
    <row r="404" spans="2:10" s="27" customFormat="1">
      <c r="B404"/>
      <c r="C404"/>
      <c r="D404"/>
      <c r="E404"/>
      <c r="F404"/>
      <c r="G404"/>
      <c r="H404"/>
      <c r="I404"/>
      <c r="J404"/>
    </row>
    <row r="405" spans="2:10" s="27" customFormat="1">
      <c r="B405"/>
      <c r="C405"/>
      <c r="D405"/>
      <c r="E405"/>
      <c r="F405"/>
      <c r="G405"/>
      <c r="H405"/>
      <c r="I405"/>
      <c r="J405"/>
    </row>
    <row r="406" spans="2:10" s="27" customFormat="1">
      <c r="B406"/>
      <c r="C406"/>
      <c r="D406"/>
      <c r="E406"/>
      <c r="F406"/>
      <c r="G406"/>
      <c r="H406"/>
      <c r="I406"/>
      <c r="J406"/>
    </row>
    <row r="407" spans="2:10" s="27" customFormat="1">
      <c r="B407"/>
      <c r="C407"/>
      <c r="D407"/>
      <c r="E407"/>
      <c r="F407"/>
      <c r="G407"/>
      <c r="H407"/>
      <c r="I407"/>
      <c r="J407"/>
    </row>
    <row r="408" spans="2:10" s="27" customFormat="1">
      <c r="B408"/>
      <c r="C408"/>
      <c r="D408"/>
      <c r="E408"/>
      <c r="F408"/>
      <c r="G408"/>
      <c r="H408"/>
      <c r="I408"/>
      <c r="J408"/>
    </row>
    <row r="409" spans="2:10" s="27" customFormat="1">
      <c r="B409"/>
      <c r="C409"/>
      <c r="D409"/>
      <c r="E409"/>
      <c r="F409"/>
      <c r="G409"/>
      <c r="H409"/>
      <c r="I409"/>
      <c r="J409"/>
    </row>
    <row r="410" spans="2:10" s="27" customFormat="1">
      <c r="B410"/>
      <c r="C410"/>
      <c r="D410"/>
      <c r="E410"/>
      <c r="F410"/>
      <c r="G410"/>
      <c r="H410"/>
      <c r="I410"/>
      <c r="J410"/>
    </row>
    <row r="411" spans="2:10" s="27" customFormat="1">
      <c r="B411"/>
      <c r="C411"/>
      <c r="D411"/>
      <c r="E411"/>
      <c r="F411"/>
      <c r="G411"/>
      <c r="H411"/>
      <c r="I411"/>
      <c r="J411"/>
    </row>
    <row r="412" spans="2:10" s="27" customFormat="1">
      <c r="B412"/>
      <c r="C412"/>
      <c r="D412"/>
      <c r="E412"/>
      <c r="F412"/>
      <c r="G412"/>
      <c r="H412"/>
      <c r="I412"/>
      <c r="J412"/>
    </row>
    <row r="413" spans="2:10" s="27" customFormat="1">
      <c r="B413"/>
      <c r="C413"/>
      <c r="D413"/>
      <c r="E413"/>
      <c r="F413"/>
      <c r="G413"/>
      <c r="H413"/>
      <c r="I413"/>
      <c r="J413"/>
    </row>
    <row r="414" spans="2:10" s="27" customFormat="1">
      <c r="B414"/>
      <c r="C414"/>
      <c r="D414"/>
      <c r="E414"/>
      <c r="F414"/>
      <c r="G414"/>
      <c r="H414"/>
      <c r="I414"/>
      <c r="J414"/>
    </row>
    <row r="415" spans="2:10" s="27" customFormat="1">
      <c r="B415"/>
      <c r="C415"/>
      <c r="D415"/>
      <c r="E415"/>
      <c r="F415"/>
      <c r="G415"/>
      <c r="H415"/>
      <c r="I415"/>
      <c r="J415"/>
    </row>
    <row r="416" spans="2:10" s="27" customFormat="1">
      <c r="B416"/>
      <c r="C416"/>
      <c r="D416"/>
      <c r="E416"/>
      <c r="F416"/>
      <c r="G416"/>
      <c r="H416"/>
      <c r="I416"/>
      <c r="J416"/>
    </row>
    <row r="417" spans="2:10" s="27" customFormat="1">
      <c r="B417"/>
      <c r="C417"/>
      <c r="D417"/>
      <c r="E417"/>
      <c r="F417"/>
      <c r="G417"/>
      <c r="H417"/>
      <c r="I417"/>
      <c r="J417"/>
    </row>
    <row r="418" spans="2:10" s="27" customFormat="1">
      <c r="B418"/>
      <c r="C418"/>
      <c r="D418"/>
      <c r="E418"/>
      <c r="F418"/>
      <c r="G418"/>
      <c r="H418"/>
      <c r="I418"/>
      <c r="J418"/>
    </row>
    <row r="419" spans="2:10" s="27" customFormat="1">
      <c r="B419"/>
      <c r="C419"/>
      <c r="D419"/>
      <c r="E419"/>
      <c r="F419"/>
      <c r="G419"/>
      <c r="H419"/>
      <c r="I419"/>
      <c r="J419"/>
    </row>
    <row r="420" spans="2:10" s="27" customFormat="1">
      <c r="B420"/>
      <c r="C420"/>
      <c r="D420"/>
      <c r="E420"/>
      <c r="F420"/>
      <c r="G420"/>
      <c r="H420"/>
      <c r="I420"/>
      <c r="J420"/>
    </row>
    <row r="421" spans="2:10" s="27" customFormat="1">
      <c r="B421"/>
      <c r="C421"/>
      <c r="D421"/>
      <c r="E421"/>
      <c r="F421"/>
      <c r="G421"/>
      <c r="H421"/>
      <c r="I421"/>
      <c r="J421"/>
    </row>
    <row r="422" spans="2:10" s="27" customFormat="1">
      <c r="B422"/>
      <c r="C422"/>
      <c r="D422"/>
      <c r="E422"/>
      <c r="F422"/>
      <c r="G422"/>
      <c r="H422"/>
      <c r="I422"/>
      <c r="J422"/>
    </row>
    <row r="423" spans="2:10" s="27" customFormat="1">
      <c r="B423"/>
      <c r="C423"/>
      <c r="D423"/>
      <c r="E423"/>
      <c r="F423"/>
      <c r="G423"/>
      <c r="H423"/>
      <c r="I423"/>
      <c r="J423"/>
    </row>
    <row r="424" spans="2:10" s="27" customFormat="1">
      <c r="B424"/>
      <c r="C424"/>
      <c r="D424"/>
      <c r="E424"/>
      <c r="F424"/>
      <c r="G424"/>
      <c r="H424"/>
      <c r="I424"/>
      <c r="J424"/>
    </row>
    <row r="425" spans="2:10" s="27" customFormat="1">
      <c r="B425"/>
      <c r="C425"/>
      <c r="D425"/>
      <c r="E425"/>
      <c r="F425"/>
      <c r="G425"/>
      <c r="H425"/>
      <c r="I425"/>
      <c r="J425"/>
    </row>
    <row r="426" spans="2:10" s="27" customFormat="1">
      <c r="B426"/>
      <c r="C426"/>
      <c r="D426"/>
      <c r="E426"/>
      <c r="F426"/>
      <c r="G426"/>
      <c r="H426"/>
      <c r="I426"/>
      <c r="J426"/>
    </row>
    <row r="427" spans="2:10" s="27" customFormat="1">
      <c r="B427"/>
      <c r="C427"/>
      <c r="D427"/>
      <c r="E427"/>
      <c r="F427"/>
      <c r="G427"/>
      <c r="H427"/>
      <c r="I427"/>
      <c r="J427"/>
    </row>
    <row r="428" spans="2:10" s="27" customFormat="1">
      <c r="B428"/>
      <c r="C428"/>
      <c r="D428"/>
      <c r="E428"/>
      <c r="F428"/>
      <c r="G428"/>
      <c r="H428"/>
      <c r="I428"/>
      <c r="J428"/>
    </row>
    <row r="429" spans="2:10" s="27" customFormat="1">
      <c r="B429"/>
      <c r="C429"/>
      <c r="D429"/>
      <c r="E429"/>
      <c r="F429"/>
      <c r="G429"/>
      <c r="H429"/>
      <c r="I429"/>
      <c r="J429"/>
    </row>
    <row r="430" spans="2:10" s="27" customFormat="1">
      <c r="B430"/>
      <c r="C430"/>
      <c r="D430"/>
      <c r="E430"/>
      <c r="F430"/>
      <c r="G430"/>
      <c r="H430"/>
      <c r="I430"/>
      <c r="J430"/>
    </row>
    <row r="431" spans="2:10" s="27" customFormat="1">
      <c r="B431"/>
      <c r="C431"/>
      <c r="D431"/>
      <c r="E431"/>
      <c r="F431"/>
      <c r="G431"/>
      <c r="H431"/>
      <c r="I431"/>
      <c r="J431"/>
    </row>
    <row r="432" spans="2:10" s="27" customFormat="1">
      <c r="B432"/>
      <c r="C432"/>
      <c r="D432"/>
      <c r="E432"/>
      <c r="F432"/>
      <c r="G432"/>
      <c r="H432"/>
      <c r="I432"/>
      <c r="J432"/>
    </row>
    <row r="433" spans="2:10" s="27" customFormat="1">
      <c r="B433"/>
      <c r="C433"/>
      <c r="D433"/>
      <c r="E433"/>
      <c r="F433"/>
      <c r="G433"/>
      <c r="H433"/>
      <c r="I433"/>
      <c r="J433"/>
    </row>
    <row r="434" spans="2:10" s="27" customFormat="1">
      <c r="B434"/>
      <c r="C434"/>
      <c r="D434"/>
      <c r="E434"/>
      <c r="F434"/>
      <c r="G434"/>
      <c r="H434"/>
      <c r="I434"/>
      <c r="J434"/>
    </row>
    <row r="435" spans="2:10" s="27" customFormat="1">
      <c r="B435"/>
      <c r="C435"/>
      <c r="D435"/>
      <c r="E435"/>
      <c r="F435"/>
      <c r="G435"/>
      <c r="H435"/>
      <c r="I435"/>
      <c r="J435"/>
    </row>
    <row r="436" spans="2:10" s="27" customFormat="1">
      <c r="B436"/>
      <c r="C436"/>
      <c r="D436"/>
      <c r="E436"/>
      <c r="F436"/>
      <c r="G436"/>
      <c r="H436"/>
      <c r="I436"/>
      <c r="J436"/>
    </row>
    <row r="437" spans="2:10" s="27" customFormat="1">
      <c r="B437"/>
      <c r="C437"/>
      <c r="D437"/>
      <c r="E437"/>
      <c r="F437"/>
      <c r="G437"/>
      <c r="H437"/>
      <c r="I437"/>
      <c r="J437"/>
    </row>
    <row r="438" spans="2:10" s="27" customFormat="1">
      <c r="B438"/>
      <c r="C438"/>
      <c r="D438"/>
      <c r="E438"/>
      <c r="F438"/>
      <c r="G438"/>
      <c r="H438"/>
      <c r="I438"/>
      <c r="J438"/>
    </row>
    <row r="439" spans="2:10" s="27" customFormat="1">
      <c r="B439"/>
      <c r="C439"/>
      <c r="D439"/>
      <c r="E439"/>
      <c r="F439"/>
      <c r="G439"/>
      <c r="H439"/>
      <c r="I439"/>
      <c r="J439"/>
    </row>
    <row r="440" spans="2:10" s="27" customFormat="1">
      <c r="B440"/>
      <c r="C440"/>
      <c r="D440"/>
      <c r="E440"/>
      <c r="F440"/>
      <c r="G440"/>
      <c r="H440"/>
      <c r="I440"/>
      <c r="J440"/>
    </row>
    <row r="441" spans="2:10" s="27" customFormat="1">
      <c r="B441"/>
      <c r="C441"/>
      <c r="D441"/>
      <c r="E441"/>
      <c r="F441"/>
      <c r="G441"/>
      <c r="H441"/>
      <c r="I441"/>
      <c r="J441"/>
    </row>
    <row r="442" spans="2:10" s="27" customFormat="1">
      <c r="B442"/>
      <c r="C442"/>
      <c r="D442"/>
      <c r="E442"/>
      <c r="F442"/>
      <c r="G442"/>
      <c r="H442"/>
      <c r="I442"/>
      <c r="J442"/>
    </row>
    <row r="443" spans="2:10" s="27" customFormat="1">
      <c r="B443"/>
      <c r="C443"/>
      <c r="D443"/>
      <c r="E443"/>
      <c r="F443"/>
      <c r="G443"/>
      <c r="H443"/>
      <c r="I443"/>
      <c r="J443"/>
    </row>
    <row r="444" spans="2:10" s="27" customFormat="1">
      <c r="B444"/>
      <c r="C444"/>
      <c r="D444"/>
      <c r="E444"/>
      <c r="F444"/>
      <c r="G444"/>
      <c r="H444"/>
      <c r="I444"/>
      <c r="J444"/>
    </row>
    <row r="445" spans="2:10" s="27" customFormat="1">
      <c r="B445"/>
      <c r="C445"/>
      <c r="D445"/>
      <c r="E445"/>
      <c r="F445"/>
      <c r="G445"/>
      <c r="H445"/>
      <c r="I445"/>
      <c r="J445"/>
    </row>
    <row r="446" spans="2:10" s="27" customFormat="1">
      <c r="B446"/>
      <c r="C446"/>
      <c r="D446"/>
      <c r="E446"/>
      <c r="F446"/>
      <c r="G446"/>
      <c r="H446"/>
      <c r="I446"/>
      <c r="J446"/>
    </row>
    <row r="447" spans="2:10" s="27" customFormat="1">
      <c r="B447"/>
      <c r="C447"/>
      <c r="D447"/>
      <c r="E447"/>
      <c r="F447"/>
      <c r="G447"/>
      <c r="H447"/>
      <c r="I447"/>
      <c r="J447"/>
    </row>
    <row r="448" spans="2:10" s="27" customFormat="1">
      <c r="B448"/>
      <c r="C448"/>
      <c r="D448"/>
      <c r="E448"/>
      <c r="F448"/>
      <c r="G448"/>
      <c r="H448"/>
      <c r="I448"/>
      <c r="J448"/>
    </row>
    <row r="449" spans="2:10" s="27" customFormat="1">
      <c r="B449"/>
      <c r="C449"/>
      <c r="D449"/>
      <c r="E449"/>
      <c r="F449"/>
      <c r="G449"/>
      <c r="H449"/>
      <c r="I449"/>
      <c r="J449"/>
    </row>
    <row r="450" spans="2:10" s="27" customFormat="1">
      <c r="B450"/>
      <c r="C450"/>
      <c r="D450"/>
      <c r="E450"/>
      <c r="F450"/>
      <c r="G450"/>
      <c r="H450"/>
      <c r="I450"/>
      <c r="J450"/>
    </row>
    <row r="451" spans="2:10" s="27" customFormat="1">
      <c r="B451"/>
      <c r="C451"/>
      <c r="D451"/>
      <c r="E451"/>
      <c r="F451"/>
      <c r="G451"/>
      <c r="H451"/>
      <c r="I451"/>
      <c r="J451"/>
    </row>
    <row r="452" spans="2:10" s="27" customFormat="1">
      <c r="B452"/>
      <c r="C452"/>
      <c r="D452"/>
      <c r="E452"/>
      <c r="F452"/>
      <c r="G452"/>
      <c r="H452"/>
      <c r="I452"/>
      <c r="J452"/>
    </row>
    <row r="453" spans="2:10" s="27" customFormat="1">
      <c r="B453"/>
      <c r="C453"/>
      <c r="D453"/>
      <c r="E453"/>
      <c r="F453"/>
      <c r="G453"/>
      <c r="H453"/>
      <c r="I453"/>
      <c r="J453"/>
    </row>
    <row r="454" spans="2:10" s="27" customFormat="1">
      <c r="B454"/>
      <c r="C454"/>
      <c r="D454"/>
      <c r="E454"/>
      <c r="F454"/>
      <c r="G454"/>
      <c r="H454"/>
      <c r="I454"/>
      <c r="J454"/>
    </row>
    <row r="455" spans="2:10" s="27" customFormat="1">
      <c r="B455"/>
      <c r="C455"/>
      <c r="D455"/>
      <c r="E455"/>
      <c r="F455"/>
      <c r="G455"/>
      <c r="H455"/>
      <c r="I455"/>
      <c r="J455"/>
    </row>
    <row r="456" spans="2:10" s="27" customFormat="1">
      <c r="B456"/>
      <c r="C456"/>
      <c r="D456"/>
      <c r="E456"/>
      <c r="F456"/>
      <c r="G456"/>
      <c r="H456"/>
      <c r="I456"/>
      <c r="J456"/>
    </row>
    <row r="457" spans="2:10" s="27" customFormat="1">
      <c r="B457"/>
      <c r="C457"/>
      <c r="D457"/>
      <c r="E457"/>
      <c r="F457"/>
      <c r="G457"/>
      <c r="H457"/>
      <c r="I457"/>
      <c r="J457"/>
    </row>
    <row r="458" spans="2:10" s="27" customFormat="1">
      <c r="B458"/>
      <c r="C458"/>
      <c r="D458"/>
      <c r="E458"/>
      <c r="F458"/>
      <c r="G458"/>
      <c r="H458"/>
      <c r="I458"/>
      <c r="J458"/>
    </row>
    <row r="459" spans="2:10" s="27" customFormat="1">
      <c r="B459"/>
      <c r="C459"/>
      <c r="D459"/>
      <c r="E459"/>
      <c r="F459"/>
      <c r="G459"/>
      <c r="H459"/>
      <c r="I459"/>
      <c r="J459"/>
    </row>
    <row r="460" spans="2:10" s="27" customFormat="1">
      <c r="B460"/>
      <c r="C460"/>
      <c r="D460"/>
      <c r="E460"/>
      <c r="F460"/>
      <c r="G460"/>
      <c r="H460"/>
      <c r="I460"/>
      <c r="J460"/>
    </row>
    <row r="461" spans="2:10" s="27" customFormat="1">
      <c r="B461"/>
      <c r="C461"/>
      <c r="D461"/>
      <c r="E461"/>
      <c r="F461"/>
      <c r="G461"/>
      <c r="H461"/>
      <c r="I461"/>
      <c r="J461"/>
    </row>
    <row r="462" spans="2:10" s="27" customFormat="1">
      <c r="B462"/>
      <c r="C462"/>
      <c r="D462"/>
      <c r="E462"/>
      <c r="F462"/>
      <c r="G462"/>
      <c r="H462"/>
      <c r="I462"/>
      <c r="J462"/>
    </row>
    <row r="463" spans="2:10" s="27" customFormat="1">
      <c r="B463"/>
      <c r="C463"/>
      <c r="D463"/>
      <c r="E463"/>
      <c r="F463"/>
      <c r="G463"/>
      <c r="H463"/>
      <c r="I463"/>
      <c r="J463"/>
    </row>
    <row r="464" spans="2:10" s="27" customFormat="1">
      <c r="B464"/>
      <c r="C464"/>
      <c r="D464"/>
      <c r="E464"/>
      <c r="F464"/>
      <c r="G464"/>
      <c r="H464"/>
      <c r="I464"/>
      <c r="J464"/>
    </row>
    <row r="465" spans="2:10" s="27" customFormat="1">
      <c r="B465"/>
      <c r="C465"/>
      <c r="D465"/>
      <c r="E465"/>
      <c r="F465"/>
      <c r="G465"/>
      <c r="H465"/>
      <c r="I465"/>
      <c r="J465"/>
    </row>
    <row r="466" spans="2:10" s="27" customFormat="1">
      <c r="B466"/>
      <c r="C466"/>
      <c r="D466"/>
      <c r="E466"/>
      <c r="F466"/>
      <c r="G466"/>
      <c r="H466"/>
      <c r="I466"/>
      <c r="J466"/>
    </row>
    <row r="467" spans="2:10" s="27" customFormat="1">
      <c r="B467"/>
      <c r="C467"/>
      <c r="D467"/>
      <c r="E467"/>
      <c r="F467"/>
      <c r="G467"/>
      <c r="H467"/>
      <c r="I467"/>
      <c r="J467"/>
    </row>
    <row r="468" spans="2:10" s="27" customFormat="1">
      <c r="B468"/>
      <c r="C468"/>
      <c r="D468"/>
      <c r="E468"/>
      <c r="F468"/>
      <c r="G468"/>
      <c r="H468"/>
      <c r="I468"/>
      <c r="J468"/>
    </row>
    <row r="469" spans="2:10" s="27" customFormat="1">
      <c r="B469"/>
      <c r="C469"/>
      <c r="D469"/>
      <c r="E469"/>
      <c r="F469"/>
      <c r="G469"/>
      <c r="H469"/>
      <c r="I469"/>
      <c r="J469"/>
    </row>
    <row r="470" spans="2:10" s="27" customFormat="1">
      <c r="B470"/>
      <c r="C470"/>
      <c r="D470"/>
      <c r="E470"/>
      <c r="F470"/>
      <c r="G470"/>
      <c r="H470"/>
      <c r="I470"/>
      <c r="J470"/>
    </row>
    <row r="471" spans="2:10" s="27" customFormat="1">
      <c r="B471"/>
      <c r="C471"/>
      <c r="D471"/>
      <c r="E471"/>
      <c r="F471"/>
      <c r="G471"/>
      <c r="H471"/>
      <c r="I471"/>
      <c r="J471"/>
    </row>
    <row r="472" spans="2:10" s="27" customFormat="1">
      <c r="B472"/>
      <c r="C472"/>
      <c r="D472"/>
      <c r="E472"/>
      <c r="F472"/>
      <c r="G472"/>
      <c r="H472"/>
      <c r="I472"/>
      <c r="J472"/>
    </row>
    <row r="473" spans="2:10" s="27" customFormat="1">
      <c r="B473"/>
      <c r="C473"/>
      <c r="D473"/>
      <c r="E473"/>
      <c r="F473"/>
      <c r="G473"/>
      <c r="H473"/>
      <c r="I473"/>
      <c r="J473"/>
    </row>
    <row r="474" spans="2:10" s="27" customFormat="1">
      <c r="B474"/>
      <c r="C474"/>
      <c r="D474"/>
      <c r="E474"/>
      <c r="F474"/>
      <c r="G474"/>
      <c r="H474"/>
      <c r="I474"/>
      <c r="J474"/>
    </row>
    <row r="475" spans="2:10" s="27" customFormat="1">
      <c r="B475"/>
      <c r="C475"/>
      <c r="D475"/>
      <c r="E475"/>
      <c r="F475"/>
      <c r="G475"/>
      <c r="H475"/>
      <c r="I475"/>
      <c r="J475"/>
    </row>
    <row r="476" spans="2:10" s="27" customFormat="1">
      <c r="B476"/>
      <c r="C476"/>
      <c r="D476"/>
      <c r="E476"/>
      <c r="F476"/>
      <c r="G476"/>
      <c r="H476"/>
      <c r="I476"/>
      <c r="J476"/>
    </row>
    <row r="477" spans="2:10" s="27" customFormat="1">
      <c r="B477"/>
      <c r="C477"/>
      <c r="D477"/>
      <c r="E477"/>
      <c r="F477"/>
      <c r="G477"/>
      <c r="H477"/>
      <c r="I477"/>
      <c r="J477"/>
    </row>
    <row r="478" spans="2:10" s="27" customFormat="1">
      <c r="B478"/>
      <c r="C478"/>
      <c r="D478"/>
      <c r="E478"/>
      <c r="F478"/>
      <c r="G478"/>
      <c r="H478"/>
      <c r="I478"/>
      <c r="J478"/>
    </row>
    <row r="479" spans="2:10" s="27" customFormat="1">
      <c r="B479"/>
      <c r="C479"/>
      <c r="D479"/>
      <c r="E479"/>
      <c r="F479"/>
      <c r="G479"/>
      <c r="H479"/>
      <c r="I479"/>
      <c r="J479"/>
    </row>
    <row r="480" spans="2:10" s="27" customFormat="1">
      <c r="B480"/>
      <c r="C480"/>
      <c r="D480"/>
      <c r="E480"/>
      <c r="F480"/>
      <c r="G480"/>
      <c r="H480"/>
      <c r="I480"/>
      <c r="J480"/>
    </row>
    <row r="481" spans="2:10" s="27" customFormat="1">
      <c r="B481"/>
      <c r="C481"/>
      <c r="D481"/>
      <c r="E481"/>
      <c r="F481"/>
      <c r="G481"/>
      <c r="H481"/>
      <c r="I481"/>
      <c r="J481"/>
    </row>
    <row r="482" spans="2:10" s="27" customFormat="1">
      <c r="B482"/>
      <c r="C482"/>
      <c r="D482"/>
      <c r="E482"/>
      <c r="F482"/>
      <c r="G482"/>
      <c r="H482"/>
      <c r="I482"/>
      <c r="J482"/>
    </row>
    <row r="483" spans="2:10" s="27" customFormat="1">
      <c r="B483"/>
      <c r="C483"/>
      <c r="D483"/>
      <c r="E483"/>
      <c r="F483"/>
      <c r="G483"/>
      <c r="H483"/>
      <c r="I483"/>
      <c r="J483"/>
    </row>
    <row r="484" spans="2:10" s="27" customFormat="1">
      <c r="B484"/>
      <c r="C484"/>
      <c r="D484"/>
      <c r="E484"/>
      <c r="F484"/>
      <c r="G484"/>
      <c r="H484"/>
      <c r="I484"/>
      <c r="J484"/>
    </row>
    <row r="485" spans="2:10" s="27" customFormat="1">
      <c r="B485"/>
      <c r="C485"/>
      <c r="D485"/>
      <c r="E485"/>
      <c r="F485"/>
      <c r="G485"/>
      <c r="H485"/>
      <c r="I485"/>
      <c r="J485"/>
    </row>
    <row r="486" spans="2:10" s="27" customFormat="1">
      <c r="B486"/>
      <c r="C486"/>
      <c r="D486"/>
      <c r="E486"/>
      <c r="F486"/>
      <c r="G486"/>
      <c r="H486"/>
      <c r="I486"/>
      <c r="J486"/>
    </row>
    <row r="487" spans="2:10" s="27" customFormat="1">
      <c r="B487"/>
      <c r="C487"/>
      <c r="D487"/>
      <c r="E487"/>
      <c r="F487"/>
      <c r="G487"/>
      <c r="H487"/>
      <c r="I487"/>
      <c r="J487"/>
    </row>
    <row r="488" spans="2:10" s="27" customFormat="1">
      <c r="B488"/>
      <c r="C488"/>
      <c r="D488"/>
      <c r="E488"/>
      <c r="F488"/>
      <c r="G488"/>
      <c r="H488"/>
      <c r="I488"/>
      <c r="J488"/>
    </row>
    <row r="489" spans="2:10" s="27" customFormat="1">
      <c r="B489"/>
      <c r="C489"/>
      <c r="D489"/>
      <c r="E489"/>
      <c r="F489"/>
      <c r="G489"/>
      <c r="H489"/>
      <c r="I489"/>
      <c r="J489"/>
    </row>
    <row r="490" spans="2:10" s="27" customFormat="1">
      <c r="B490"/>
      <c r="C490"/>
      <c r="D490"/>
      <c r="E490"/>
      <c r="F490"/>
      <c r="G490"/>
      <c r="H490"/>
      <c r="I490"/>
      <c r="J490"/>
    </row>
    <row r="491" spans="2:10" s="27" customFormat="1">
      <c r="B491"/>
      <c r="C491"/>
      <c r="D491"/>
      <c r="E491"/>
      <c r="F491"/>
      <c r="G491"/>
      <c r="H491"/>
      <c r="I491"/>
      <c r="J491"/>
    </row>
    <row r="492" spans="2:10" s="27" customFormat="1">
      <c r="B492"/>
      <c r="C492"/>
      <c r="D492"/>
      <c r="E492"/>
      <c r="F492"/>
      <c r="G492"/>
      <c r="H492"/>
      <c r="I492"/>
      <c r="J492"/>
    </row>
    <row r="493" spans="2:10" s="27" customFormat="1">
      <c r="B493"/>
      <c r="C493"/>
      <c r="D493"/>
      <c r="E493"/>
      <c r="F493"/>
      <c r="G493"/>
      <c r="H493"/>
      <c r="I493"/>
      <c r="J493"/>
    </row>
    <row r="494" spans="2:10" s="27" customFormat="1">
      <c r="B494"/>
      <c r="C494"/>
      <c r="D494"/>
      <c r="E494"/>
      <c r="F494"/>
      <c r="G494"/>
      <c r="H494"/>
      <c r="I494"/>
      <c r="J494"/>
    </row>
    <row r="495" spans="2:10" s="27" customFormat="1">
      <c r="B495"/>
      <c r="C495"/>
      <c r="D495"/>
      <c r="E495"/>
      <c r="F495"/>
      <c r="G495"/>
      <c r="H495"/>
      <c r="I495"/>
      <c r="J495"/>
    </row>
    <row r="496" spans="2:10" s="27" customFormat="1">
      <c r="B496"/>
      <c r="C496"/>
      <c r="D496"/>
      <c r="E496"/>
      <c r="F496"/>
      <c r="G496"/>
      <c r="H496"/>
      <c r="I496"/>
      <c r="J496"/>
    </row>
    <row r="497" spans="2:10" s="27" customFormat="1">
      <c r="B497"/>
      <c r="C497"/>
      <c r="D497"/>
      <c r="E497"/>
      <c r="F497"/>
      <c r="G497"/>
      <c r="H497"/>
      <c r="I497"/>
      <c r="J497"/>
    </row>
    <row r="498" spans="2:10" s="27" customFormat="1">
      <c r="B498"/>
      <c r="C498"/>
      <c r="D498"/>
      <c r="E498"/>
      <c r="F498"/>
      <c r="G498"/>
      <c r="H498"/>
      <c r="I498"/>
      <c r="J498"/>
    </row>
    <row r="499" spans="2:10" s="27" customFormat="1">
      <c r="B499"/>
      <c r="C499"/>
      <c r="D499"/>
      <c r="E499"/>
      <c r="F499"/>
      <c r="G499"/>
      <c r="H499"/>
      <c r="I499"/>
      <c r="J499"/>
    </row>
    <row r="500" spans="2:10" s="27" customFormat="1">
      <c r="B500"/>
      <c r="C500"/>
      <c r="D500"/>
      <c r="E500"/>
      <c r="F500"/>
      <c r="G500"/>
      <c r="H500"/>
      <c r="I500"/>
      <c r="J500"/>
    </row>
    <row r="501" spans="2:10" s="27" customFormat="1">
      <c r="B501"/>
      <c r="C501"/>
      <c r="D501"/>
      <c r="E501"/>
      <c r="F501"/>
      <c r="G501"/>
      <c r="H501"/>
      <c r="I501"/>
      <c r="J501"/>
    </row>
    <row r="502" spans="2:10" s="27" customFormat="1">
      <c r="B502"/>
      <c r="C502"/>
      <c r="D502"/>
      <c r="E502"/>
      <c r="F502"/>
      <c r="G502"/>
      <c r="H502"/>
      <c r="I502"/>
      <c r="J502"/>
    </row>
    <row r="503" spans="2:10" s="27" customFormat="1">
      <c r="B503"/>
      <c r="C503"/>
      <c r="D503"/>
      <c r="E503"/>
      <c r="F503"/>
      <c r="G503"/>
      <c r="H503"/>
      <c r="I503"/>
      <c r="J503"/>
    </row>
    <row r="504" spans="2:10" s="27" customFormat="1">
      <c r="B504"/>
      <c r="C504"/>
      <c r="D504"/>
      <c r="E504"/>
      <c r="F504"/>
      <c r="G504"/>
      <c r="H504"/>
      <c r="I504"/>
      <c r="J504"/>
    </row>
    <row r="505" spans="2:10" s="27" customFormat="1">
      <c r="B505"/>
      <c r="C505"/>
      <c r="D505"/>
      <c r="E505"/>
      <c r="F505"/>
      <c r="G505"/>
      <c r="H505"/>
      <c r="I505"/>
      <c r="J505"/>
    </row>
    <row r="506" spans="2:10" s="27" customFormat="1">
      <c r="B506"/>
      <c r="C506"/>
      <c r="D506"/>
      <c r="E506"/>
      <c r="F506"/>
      <c r="G506"/>
      <c r="H506"/>
      <c r="I506"/>
      <c r="J506"/>
    </row>
    <row r="507" spans="2:10" s="27" customFormat="1">
      <c r="B507"/>
      <c r="C507"/>
      <c r="D507"/>
      <c r="E507"/>
      <c r="F507"/>
      <c r="G507"/>
      <c r="H507"/>
      <c r="I507"/>
      <c r="J507"/>
    </row>
    <row r="508" spans="2:10" s="27" customFormat="1">
      <c r="B508"/>
      <c r="C508"/>
      <c r="D508"/>
      <c r="E508"/>
      <c r="F508"/>
      <c r="G508"/>
      <c r="H508"/>
      <c r="I508"/>
      <c r="J508"/>
    </row>
    <row r="509" spans="2:10" s="27" customFormat="1">
      <c r="B509"/>
      <c r="C509"/>
      <c r="D509"/>
      <c r="E509"/>
      <c r="F509"/>
      <c r="G509"/>
      <c r="H509"/>
      <c r="I509"/>
      <c r="J509"/>
    </row>
    <row r="510" spans="2:10" s="27" customFormat="1">
      <c r="B510"/>
      <c r="C510"/>
      <c r="D510"/>
      <c r="E510"/>
      <c r="F510"/>
      <c r="G510"/>
      <c r="H510"/>
      <c r="I510"/>
      <c r="J510"/>
    </row>
    <row r="511" spans="2:10" s="27" customFormat="1">
      <c r="B511"/>
      <c r="C511"/>
      <c r="D511"/>
      <c r="E511"/>
      <c r="F511"/>
      <c r="G511"/>
      <c r="H511"/>
      <c r="I511"/>
      <c r="J511"/>
    </row>
    <row r="512" spans="2:10" s="27" customFormat="1">
      <c r="B512"/>
      <c r="C512"/>
      <c r="D512"/>
      <c r="E512"/>
      <c r="F512"/>
      <c r="G512"/>
      <c r="H512"/>
      <c r="I512"/>
      <c r="J512"/>
    </row>
    <row r="513" spans="2:10" s="27" customFormat="1">
      <c r="B513"/>
      <c r="C513"/>
      <c r="D513"/>
      <c r="E513"/>
      <c r="F513"/>
      <c r="G513"/>
      <c r="H513"/>
      <c r="I513"/>
      <c r="J513"/>
    </row>
    <row r="514" spans="2:10" s="27" customFormat="1">
      <c r="B514"/>
      <c r="C514"/>
      <c r="D514"/>
      <c r="E514"/>
      <c r="F514"/>
      <c r="G514"/>
      <c r="H514"/>
      <c r="I514"/>
      <c r="J514"/>
    </row>
    <row r="515" spans="2:10" s="27" customFormat="1">
      <c r="B515"/>
      <c r="C515"/>
      <c r="D515"/>
      <c r="E515"/>
      <c r="F515"/>
      <c r="G515"/>
      <c r="H515"/>
      <c r="I515"/>
      <c r="J515"/>
    </row>
    <row r="516" spans="2:10" s="27" customFormat="1">
      <c r="B516"/>
      <c r="C516"/>
      <c r="D516"/>
      <c r="E516"/>
      <c r="F516"/>
      <c r="G516"/>
      <c r="H516"/>
      <c r="I516"/>
      <c r="J516"/>
    </row>
    <row r="517" spans="2:10" s="27" customFormat="1">
      <c r="B517"/>
      <c r="C517"/>
      <c r="D517"/>
      <c r="E517"/>
      <c r="F517"/>
      <c r="G517"/>
      <c r="H517"/>
      <c r="I517"/>
      <c r="J517"/>
    </row>
    <row r="518" spans="2:10" s="27" customFormat="1">
      <c r="B518"/>
      <c r="C518"/>
      <c r="D518"/>
      <c r="E518"/>
      <c r="F518"/>
      <c r="G518"/>
      <c r="H518"/>
      <c r="I518"/>
      <c r="J518"/>
    </row>
    <row r="519" spans="2:10" s="27" customFormat="1">
      <c r="B519"/>
      <c r="C519"/>
      <c r="D519"/>
      <c r="E519"/>
      <c r="F519"/>
      <c r="G519"/>
      <c r="H519"/>
      <c r="I519"/>
      <c r="J519"/>
    </row>
    <row r="520" spans="2:10" s="27" customFormat="1">
      <c r="B520"/>
      <c r="C520"/>
      <c r="D520"/>
      <c r="E520"/>
      <c r="F520"/>
      <c r="G520"/>
      <c r="H520"/>
      <c r="I520"/>
      <c r="J520"/>
    </row>
    <row r="521" spans="2:10" s="27" customFormat="1">
      <c r="B521"/>
      <c r="C521"/>
      <c r="D521"/>
      <c r="E521"/>
      <c r="F521"/>
      <c r="G521"/>
      <c r="H521"/>
      <c r="I521"/>
      <c r="J521"/>
    </row>
    <row r="522" spans="2:10" s="27" customFormat="1">
      <c r="B522"/>
      <c r="C522"/>
      <c r="D522"/>
      <c r="E522"/>
      <c r="F522"/>
      <c r="G522"/>
      <c r="H522"/>
      <c r="I522"/>
      <c r="J522"/>
    </row>
    <row r="523" spans="2:10" s="27" customFormat="1">
      <c r="B523"/>
      <c r="C523"/>
      <c r="D523"/>
      <c r="E523"/>
      <c r="F523"/>
      <c r="G523"/>
      <c r="H523"/>
      <c r="I523"/>
      <c r="J523"/>
    </row>
    <row r="524" spans="2:10" s="27" customFormat="1">
      <c r="B524"/>
      <c r="C524"/>
      <c r="D524"/>
      <c r="E524"/>
      <c r="F524"/>
      <c r="G524"/>
      <c r="H524"/>
      <c r="I524"/>
      <c r="J524"/>
    </row>
    <row r="525" spans="2:10" s="27" customFormat="1">
      <c r="B525"/>
      <c r="C525"/>
      <c r="D525"/>
      <c r="E525"/>
      <c r="F525"/>
      <c r="G525"/>
      <c r="H525"/>
      <c r="I525"/>
      <c r="J525"/>
    </row>
    <row r="526" spans="2:10" s="27" customFormat="1">
      <c r="B526"/>
      <c r="C526"/>
      <c r="D526"/>
      <c r="E526"/>
      <c r="F526"/>
      <c r="G526"/>
      <c r="H526"/>
      <c r="I526"/>
      <c r="J526"/>
    </row>
    <row r="527" spans="2:10" s="27" customFormat="1">
      <c r="B527"/>
      <c r="C527"/>
      <c r="D527"/>
      <c r="E527"/>
      <c r="F527"/>
      <c r="G527"/>
      <c r="H527"/>
      <c r="I527"/>
      <c r="J527"/>
    </row>
    <row r="528" spans="2:10" s="27" customFormat="1">
      <c r="B528"/>
      <c r="C528"/>
      <c r="D528"/>
      <c r="E528"/>
      <c r="F528"/>
      <c r="G528"/>
      <c r="H528"/>
      <c r="I528"/>
      <c r="J528"/>
    </row>
    <row r="529" spans="2:10" s="27" customFormat="1">
      <c r="B529"/>
      <c r="C529"/>
      <c r="D529"/>
      <c r="E529"/>
      <c r="F529"/>
      <c r="G529"/>
      <c r="H529"/>
      <c r="I529"/>
      <c r="J529"/>
    </row>
    <row r="530" spans="2:10" s="27" customFormat="1">
      <c r="B530"/>
      <c r="C530"/>
      <c r="D530"/>
      <c r="E530"/>
      <c r="F530"/>
      <c r="G530"/>
      <c r="H530"/>
      <c r="I530"/>
      <c r="J530"/>
    </row>
    <row r="531" spans="2:10" s="27" customFormat="1">
      <c r="B531"/>
      <c r="C531"/>
      <c r="D531"/>
      <c r="E531"/>
      <c r="F531"/>
      <c r="G531"/>
      <c r="H531"/>
      <c r="I531"/>
      <c r="J531"/>
    </row>
    <row r="532" spans="2:10" s="27" customFormat="1">
      <c r="B532"/>
      <c r="C532"/>
      <c r="D532"/>
      <c r="E532"/>
      <c r="F532"/>
      <c r="G532"/>
      <c r="H532"/>
      <c r="I532"/>
      <c r="J532"/>
    </row>
    <row r="533" spans="2:10" s="27" customFormat="1">
      <c r="B533"/>
      <c r="C533"/>
      <c r="D533"/>
      <c r="E533"/>
      <c r="F533"/>
      <c r="G533"/>
      <c r="H533"/>
      <c r="I533"/>
      <c r="J533"/>
    </row>
    <row r="534" spans="2:10" s="27" customFormat="1">
      <c r="B534"/>
      <c r="C534"/>
      <c r="D534"/>
      <c r="E534"/>
      <c r="F534"/>
      <c r="G534"/>
      <c r="H534"/>
      <c r="I534"/>
      <c r="J534"/>
    </row>
    <row r="535" spans="2:10" s="27" customFormat="1">
      <c r="B535"/>
      <c r="C535"/>
      <c r="D535"/>
      <c r="E535"/>
      <c r="F535"/>
      <c r="G535"/>
      <c r="H535"/>
      <c r="I535"/>
      <c r="J535"/>
    </row>
    <row r="536" spans="2:10" s="27" customFormat="1">
      <c r="B536"/>
      <c r="C536"/>
      <c r="D536"/>
      <c r="E536"/>
      <c r="F536"/>
      <c r="G536"/>
      <c r="H536"/>
      <c r="I536"/>
      <c r="J536"/>
    </row>
    <row r="537" spans="2:10" s="27" customFormat="1">
      <c r="B537"/>
      <c r="C537"/>
      <c r="D537"/>
      <c r="E537"/>
      <c r="F537"/>
      <c r="G537"/>
      <c r="H537"/>
      <c r="I537"/>
      <c r="J537"/>
    </row>
    <row r="538" spans="2:10" s="27" customFormat="1">
      <c r="B538"/>
      <c r="C538"/>
      <c r="D538"/>
      <c r="E538"/>
      <c r="F538"/>
      <c r="G538"/>
      <c r="H538"/>
      <c r="I538"/>
      <c r="J538"/>
    </row>
    <row r="539" spans="2:10" s="27" customFormat="1">
      <c r="B539"/>
      <c r="C539"/>
      <c r="D539"/>
      <c r="E539"/>
      <c r="F539"/>
      <c r="G539"/>
      <c r="H539"/>
      <c r="I539"/>
      <c r="J539"/>
    </row>
    <row r="540" spans="2:10" s="27" customFormat="1">
      <c r="B540"/>
      <c r="C540"/>
      <c r="D540"/>
      <c r="E540"/>
      <c r="F540"/>
      <c r="G540"/>
      <c r="H540"/>
      <c r="I540"/>
      <c r="J540"/>
    </row>
    <row r="541" spans="2:10" s="27" customFormat="1">
      <c r="B541"/>
      <c r="C541"/>
      <c r="D541"/>
      <c r="E541"/>
      <c r="F541"/>
      <c r="G541"/>
      <c r="H541"/>
      <c r="I541"/>
      <c r="J541"/>
    </row>
    <row r="542" spans="2:10" s="27" customFormat="1">
      <c r="B542"/>
      <c r="C542"/>
      <c r="D542"/>
      <c r="E542"/>
      <c r="F542"/>
      <c r="G542"/>
      <c r="H542"/>
      <c r="I542"/>
      <c r="J542"/>
    </row>
    <row r="543" spans="2:10" s="27" customFormat="1">
      <c r="B543"/>
      <c r="C543"/>
      <c r="D543"/>
      <c r="E543"/>
      <c r="F543"/>
      <c r="G543"/>
      <c r="H543"/>
      <c r="I543"/>
      <c r="J543"/>
    </row>
    <row r="544" spans="2:10" s="27" customFormat="1">
      <c r="B544"/>
      <c r="C544"/>
      <c r="D544"/>
      <c r="E544"/>
      <c r="F544"/>
      <c r="G544"/>
      <c r="H544"/>
      <c r="I544"/>
      <c r="J544"/>
    </row>
    <row r="545" spans="2:10" s="27" customFormat="1">
      <c r="B545"/>
      <c r="C545"/>
      <c r="D545"/>
      <c r="E545"/>
      <c r="F545"/>
      <c r="G545"/>
      <c r="H545"/>
      <c r="I545"/>
      <c r="J545"/>
    </row>
    <row r="546" spans="2:10" s="27" customFormat="1">
      <c r="B546"/>
      <c r="C546"/>
      <c r="D546"/>
      <c r="E546"/>
      <c r="F546"/>
      <c r="G546"/>
      <c r="H546"/>
      <c r="I546"/>
      <c r="J546"/>
    </row>
    <row r="547" spans="2:10" s="27" customFormat="1">
      <c r="B547"/>
      <c r="C547"/>
      <c r="D547"/>
      <c r="E547"/>
      <c r="F547"/>
      <c r="G547"/>
      <c r="H547"/>
      <c r="I547"/>
      <c r="J547"/>
    </row>
    <row r="548" spans="2:10" s="27" customFormat="1">
      <c r="B548"/>
      <c r="C548"/>
      <c r="D548"/>
      <c r="E548"/>
      <c r="F548"/>
      <c r="G548"/>
      <c r="H548"/>
      <c r="I548"/>
      <c r="J548"/>
    </row>
    <row r="549" spans="2:10" s="27" customFormat="1">
      <c r="B549"/>
      <c r="C549"/>
      <c r="D549"/>
      <c r="E549"/>
      <c r="F549"/>
      <c r="G549"/>
      <c r="H549"/>
      <c r="I549"/>
      <c r="J549"/>
    </row>
    <row r="550" spans="2:10" s="27" customFormat="1">
      <c r="B550"/>
      <c r="C550"/>
      <c r="D550"/>
      <c r="E550"/>
      <c r="F550"/>
      <c r="G550"/>
      <c r="H550"/>
      <c r="I550"/>
      <c r="J550"/>
    </row>
    <row r="551" spans="2:10" s="27" customFormat="1">
      <c r="B551"/>
      <c r="C551"/>
      <c r="D551"/>
      <c r="E551"/>
      <c r="F551"/>
      <c r="G551"/>
      <c r="H551"/>
      <c r="I551"/>
      <c r="J551"/>
    </row>
    <row r="552" spans="2:10" s="27" customFormat="1">
      <c r="B552"/>
      <c r="C552"/>
      <c r="D552"/>
      <c r="E552"/>
      <c r="F552"/>
      <c r="G552"/>
      <c r="H552"/>
      <c r="I552"/>
      <c r="J552"/>
    </row>
    <row r="553" spans="2:10" s="27" customFormat="1">
      <c r="B553"/>
      <c r="C553"/>
      <c r="D553"/>
      <c r="E553"/>
      <c r="F553"/>
      <c r="G553"/>
      <c r="H553"/>
      <c r="I553"/>
      <c r="J553"/>
    </row>
    <row r="554" spans="2:10" s="27" customFormat="1">
      <c r="B554"/>
      <c r="C554"/>
      <c r="D554"/>
      <c r="E554"/>
      <c r="F554"/>
      <c r="G554"/>
      <c r="H554"/>
      <c r="I554"/>
      <c r="J554"/>
    </row>
    <row r="555" spans="2:10" s="27" customFormat="1">
      <c r="B555"/>
      <c r="C555"/>
      <c r="D555"/>
      <c r="E555"/>
      <c r="F555"/>
      <c r="G555"/>
      <c r="H555"/>
      <c r="I555"/>
      <c r="J555"/>
    </row>
    <row r="556" spans="2:10" s="27" customFormat="1">
      <c r="B556"/>
      <c r="C556"/>
      <c r="D556"/>
      <c r="E556"/>
      <c r="F556"/>
      <c r="G556"/>
      <c r="H556"/>
      <c r="I556"/>
      <c r="J556"/>
    </row>
    <row r="557" spans="2:10" s="27" customFormat="1">
      <c r="B557"/>
      <c r="C557"/>
      <c r="D557"/>
      <c r="E557"/>
      <c r="F557"/>
      <c r="G557"/>
      <c r="H557"/>
      <c r="I557"/>
      <c r="J557"/>
    </row>
    <row r="558" spans="2:10" s="27" customFormat="1">
      <c r="B558"/>
      <c r="C558"/>
      <c r="D558"/>
      <c r="E558"/>
      <c r="F558"/>
      <c r="G558"/>
      <c r="H558"/>
      <c r="I558"/>
      <c r="J558"/>
    </row>
    <row r="559" spans="2:10" s="27" customFormat="1">
      <c r="B559"/>
      <c r="C559"/>
      <c r="D559"/>
      <c r="E559"/>
      <c r="F559"/>
      <c r="G559"/>
      <c r="H559"/>
      <c r="I559"/>
      <c r="J559"/>
    </row>
    <row r="560" spans="2:10" s="27" customFormat="1">
      <c r="B560"/>
      <c r="C560"/>
      <c r="D560"/>
      <c r="E560"/>
      <c r="F560"/>
      <c r="G560"/>
      <c r="H560"/>
      <c r="I560"/>
      <c r="J560"/>
    </row>
    <row r="561" spans="2:10" s="27" customFormat="1">
      <c r="B561"/>
      <c r="C561"/>
      <c r="D561"/>
      <c r="E561"/>
      <c r="F561"/>
      <c r="G561"/>
      <c r="H561"/>
      <c r="I561"/>
      <c r="J561"/>
    </row>
    <row r="562" spans="2:10" s="27" customFormat="1">
      <c r="B562"/>
      <c r="C562"/>
      <c r="D562"/>
      <c r="E562"/>
      <c r="F562"/>
      <c r="G562"/>
      <c r="H562"/>
      <c r="I562"/>
      <c r="J562"/>
    </row>
    <row r="563" spans="2:10" s="27" customFormat="1">
      <c r="B563"/>
      <c r="C563"/>
      <c r="D563"/>
      <c r="E563"/>
      <c r="F563"/>
      <c r="G563"/>
      <c r="H563"/>
      <c r="I563"/>
      <c r="J563"/>
    </row>
    <row r="564" spans="2:10" s="27" customFormat="1">
      <c r="B564"/>
      <c r="C564"/>
      <c r="D564"/>
      <c r="E564"/>
      <c r="F564"/>
      <c r="G564"/>
      <c r="H564"/>
      <c r="I564"/>
      <c r="J564"/>
    </row>
    <row r="565" spans="2:10" s="27" customFormat="1">
      <c r="B565"/>
      <c r="C565"/>
      <c r="D565"/>
      <c r="E565"/>
      <c r="F565"/>
      <c r="G565"/>
      <c r="H565"/>
      <c r="I565"/>
      <c r="J565"/>
    </row>
    <row r="566" spans="2:10" s="27" customFormat="1">
      <c r="B566"/>
      <c r="C566"/>
      <c r="D566"/>
      <c r="E566"/>
      <c r="F566"/>
      <c r="G566"/>
      <c r="H566"/>
      <c r="I566"/>
      <c r="J566"/>
    </row>
    <row r="567" spans="2:10" s="27" customFormat="1">
      <c r="B567"/>
      <c r="C567"/>
      <c r="D567"/>
      <c r="E567"/>
      <c r="F567"/>
      <c r="G567"/>
      <c r="H567"/>
      <c r="I567"/>
      <c r="J567"/>
    </row>
    <row r="568" spans="2:10" s="27" customFormat="1">
      <c r="B568"/>
      <c r="C568"/>
      <c r="D568"/>
      <c r="E568"/>
      <c r="F568"/>
      <c r="G568"/>
      <c r="H568"/>
      <c r="I568"/>
      <c r="J568"/>
    </row>
    <row r="569" spans="2:10" s="27" customFormat="1">
      <c r="B569"/>
      <c r="C569"/>
      <c r="D569"/>
      <c r="E569"/>
      <c r="F569"/>
      <c r="G569"/>
      <c r="H569"/>
      <c r="I569"/>
      <c r="J569"/>
    </row>
    <row r="570" spans="2:10" s="27" customFormat="1">
      <c r="B570"/>
      <c r="C570"/>
      <c r="D570"/>
      <c r="E570"/>
      <c r="F570"/>
      <c r="G570"/>
      <c r="H570"/>
      <c r="I570"/>
      <c r="J570"/>
    </row>
    <row r="571" spans="2:10" s="27" customFormat="1">
      <c r="B571"/>
      <c r="C571"/>
      <c r="D571"/>
      <c r="E571"/>
      <c r="F571"/>
      <c r="G571"/>
      <c r="H571"/>
      <c r="I571"/>
      <c r="J571"/>
    </row>
    <row r="572" spans="2:10" s="27" customFormat="1">
      <c r="B572"/>
      <c r="C572"/>
      <c r="D572"/>
      <c r="E572"/>
      <c r="F572"/>
      <c r="G572"/>
      <c r="H572"/>
      <c r="I572"/>
      <c r="J572"/>
    </row>
    <row r="573" spans="2:10" s="27" customFormat="1">
      <c r="B573"/>
      <c r="C573"/>
      <c r="D573"/>
      <c r="E573"/>
      <c r="F573"/>
      <c r="G573"/>
      <c r="H573"/>
      <c r="I573"/>
      <c r="J573"/>
    </row>
    <row r="574" spans="2:10" s="27" customFormat="1">
      <c r="B574"/>
      <c r="C574"/>
      <c r="D574"/>
      <c r="E574"/>
      <c r="F574"/>
      <c r="G574"/>
      <c r="H574"/>
      <c r="I574"/>
      <c r="J574"/>
    </row>
    <row r="575" spans="2:10" s="27" customFormat="1">
      <c r="B575"/>
      <c r="C575"/>
      <c r="D575"/>
      <c r="E575"/>
      <c r="F575"/>
      <c r="G575"/>
      <c r="H575"/>
      <c r="I575"/>
      <c r="J575"/>
    </row>
    <row r="576" spans="2:10" s="27" customFormat="1">
      <c r="B576"/>
      <c r="C576"/>
      <c r="D576"/>
      <c r="E576"/>
      <c r="F576"/>
      <c r="G576"/>
      <c r="H576"/>
      <c r="I576"/>
      <c r="J576"/>
    </row>
    <row r="577" spans="2:10" s="27" customFormat="1">
      <c r="B577"/>
      <c r="C577"/>
      <c r="D577"/>
      <c r="E577"/>
      <c r="F577"/>
      <c r="G577"/>
      <c r="H577"/>
      <c r="I577"/>
      <c r="J577"/>
    </row>
    <row r="578" spans="2:10" s="27" customFormat="1">
      <c r="B578"/>
      <c r="C578"/>
      <c r="D578"/>
      <c r="E578"/>
      <c r="F578"/>
      <c r="G578"/>
      <c r="H578"/>
      <c r="I578"/>
      <c r="J578"/>
    </row>
    <row r="579" spans="2:10" s="27" customFormat="1">
      <c r="B579"/>
      <c r="C579"/>
      <c r="D579"/>
      <c r="E579"/>
      <c r="F579"/>
      <c r="G579"/>
      <c r="H579"/>
      <c r="I579"/>
      <c r="J579"/>
    </row>
    <row r="580" spans="2:10" s="27" customFormat="1">
      <c r="B580"/>
      <c r="C580"/>
      <c r="D580"/>
      <c r="E580"/>
      <c r="F580"/>
      <c r="G580"/>
      <c r="H580"/>
      <c r="I580"/>
      <c r="J580"/>
    </row>
    <row r="581" spans="2:10" s="27" customFormat="1">
      <c r="B581"/>
      <c r="C581"/>
      <c r="D581"/>
      <c r="E581"/>
      <c r="F581"/>
      <c r="G581"/>
      <c r="H581"/>
      <c r="I581"/>
      <c r="J581"/>
    </row>
    <row r="582" spans="2:10" s="27" customFormat="1">
      <c r="B582"/>
      <c r="C582"/>
      <c r="D582"/>
      <c r="E582"/>
      <c r="F582"/>
      <c r="G582"/>
      <c r="H582"/>
      <c r="I582"/>
      <c r="J582"/>
    </row>
    <row r="583" spans="2:10" s="27" customFormat="1">
      <c r="B583"/>
      <c r="C583"/>
      <c r="D583"/>
      <c r="E583"/>
      <c r="F583"/>
      <c r="G583"/>
      <c r="H583"/>
      <c r="I583"/>
      <c r="J583"/>
    </row>
    <row r="584" spans="2:10" s="27" customFormat="1">
      <c r="B584"/>
      <c r="C584"/>
      <c r="D584"/>
      <c r="E584"/>
      <c r="F584"/>
      <c r="G584"/>
      <c r="H584"/>
      <c r="I584"/>
      <c r="J584"/>
    </row>
    <row r="585" spans="2:10" s="27" customFormat="1">
      <c r="B585"/>
      <c r="C585"/>
      <c r="D585"/>
      <c r="E585"/>
      <c r="F585"/>
      <c r="G585"/>
      <c r="H585"/>
      <c r="I585"/>
      <c r="J585"/>
    </row>
    <row r="586" spans="2:10" s="27" customFormat="1">
      <c r="B586"/>
      <c r="C586"/>
      <c r="D586"/>
      <c r="E586"/>
      <c r="F586"/>
      <c r="G586"/>
      <c r="H586"/>
      <c r="I586"/>
      <c r="J586"/>
    </row>
    <row r="587" spans="2:10" s="27" customFormat="1">
      <c r="B587"/>
      <c r="C587"/>
      <c r="D587"/>
      <c r="E587"/>
      <c r="F587"/>
      <c r="G587"/>
      <c r="H587"/>
      <c r="I587"/>
      <c r="J587"/>
    </row>
    <row r="588" spans="2:10" s="27" customFormat="1">
      <c r="B588"/>
      <c r="C588"/>
      <c r="D588"/>
      <c r="E588"/>
      <c r="F588"/>
      <c r="G588"/>
      <c r="H588"/>
      <c r="I588"/>
      <c r="J588"/>
    </row>
    <row r="589" spans="2:10" s="27" customFormat="1">
      <c r="B589"/>
      <c r="C589"/>
      <c r="D589"/>
      <c r="E589"/>
      <c r="F589"/>
      <c r="G589"/>
      <c r="H589"/>
      <c r="I589"/>
      <c r="J589"/>
    </row>
    <row r="590" spans="2:10" s="27" customFormat="1">
      <c r="B590"/>
      <c r="C590"/>
      <c r="D590"/>
      <c r="E590"/>
      <c r="F590"/>
      <c r="G590"/>
      <c r="H590"/>
      <c r="I590"/>
      <c r="J590"/>
    </row>
    <row r="591" spans="2:10" s="27" customFormat="1">
      <c r="B591"/>
      <c r="C591"/>
      <c r="D591"/>
      <c r="E591"/>
      <c r="F591"/>
      <c r="G591"/>
      <c r="H591"/>
      <c r="I591"/>
      <c r="J591"/>
    </row>
    <row r="592" spans="2:10" s="27" customFormat="1">
      <c r="B592"/>
      <c r="C592"/>
      <c r="D592"/>
      <c r="E592"/>
      <c r="F592"/>
      <c r="G592"/>
      <c r="H592"/>
      <c r="I592"/>
      <c r="J592"/>
    </row>
    <row r="593" spans="2:10" s="27" customFormat="1">
      <c r="B593"/>
      <c r="C593"/>
      <c r="D593"/>
      <c r="E593"/>
      <c r="F593"/>
      <c r="G593"/>
      <c r="H593"/>
      <c r="I593"/>
      <c r="J593"/>
    </row>
    <row r="594" spans="2:10" s="27" customFormat="1">
      <c r="B594"/>
      <c r="C594"/>
      <c r="D594"/>
      <c r="E594"/>
      <c r="F594"/>
      <c r="G594"/>
      <c r="H594"/>
      <c r="I594"/>
      <c r="J594"/>
    </row>
    <row r="595" spans="2:10" s="27" customFormat="1">
      <c r="B595"/>
      <c r="C595"/>
      <c r="D595"/>
      <c r="E595"/>
      <c r="F595"/>
      <c r="G595"/>
      <c r="H595"/>
      <c r="I595"/>
      <c r="J595"/>
    </row>
    <row r="596" spans="2:10" s="27" customFormat="1">
      <c r="B596"/>
      <c r="C596"/>
      <c r="D596"/>
      <c r="E596"/>
      <c r="F596"/>
      <c r="G596"/>
      <c r="H596"/>
      <c r="I596"/>
      <c r="J596"/>
    </row>
    <row r="597" spans="2:10" s="27" customFormat="1">
      <c r="B597"/>
      <c r="C597"/>
      <c r="D597"/>
      <c r="E597"/>
      <c r="F597"/>
      <c r="G597"/>
      <c r="H597"/>
      <c r="I597"/>
      <c r="J597"/>
    </row>
    <row r="598" spans="2:10" s="27" customFormat="1">
      <c r="B598"/>
      <c r="C598"/>
      <c r="D598"/>
      <c r="E598"/>
      <c r="F598"/>
      <c r="G598"/>
      <c r="H598"/>
      <c r="I598"/>
      <c r="J598"/>
    </row>
    <row r="599" spans="2:10" s="27" customFormat="1">
      <c r="B599"/>
      <c r="C599"/>
      <c r="D599"/>
      <c r="E599"/>
      <c r="F599"/>
      <c r="G599"/>
      <c r="H599"/>
      <c r="I599"/>
      <c r="J599"/>
    </row>
    <row r="600" spans="2:10" s="27" customFormat="1">
      <c r="B600"/>
      <c r="C600"/>
      <c r="D600"/>
      <c r="E600"/>
      <c r="F600"/>
      <c r="G600"/>
      <c r="H600"/>
      <c r="I600"/>
      <c r="J600"/>
    </row>
    <row r="601" spans="2:10" s="27" customFormat="1">
      <c r="B601"/>
      <c r="C601"/>
      <c r="D601"/>
      <c r="E601"/>
      <c r="F601"/>
      <c r="G601"/>
      <c r="H601"/>
      <c r="I601"/>
      <c r="J601"/>
    </row>
    <row r="602" spans="2:10" s="27" customFormat="1">
      <c r="B602"/>
      <c r="C602"/>
      <c r="D602"/>
      <c r="E602"/>
      <c r="F602"/>
      <c r="G602"/>
      <c r="H602"/>
      <c r="I602"/>
      <c r="J602"/>
    </row>
    <row r="603" spans="2:10" s="27" customFormat="1">
      <c r="B603"/>
      <c r="C603"/>
      <c r="D603"/>
      <c r="E603"/>
      <c r="F603"/>
      <c r="G603"/>
      <c r="H603"/>
      <c r="I603"/>
      <c r="J603"/>
    </row>
    <row r="604" spans="2:10" s="27" customFormat="1">
      <c r="B604"/>
      <c r="C604"/>
      <c r="D604"/>
      <c r="E604"/>
      <c r="F604"/>
      <c r="G604"/>
      <c r="H604"/>
      <c r="I604"/>
      <c r="J604"/>
    </row>
    <row r="605" spans="2:10" s="27" customFormat="1">
      <c r="B605"/>
      <c r="C605"/>
      <c r="D605"/>
      <c r="E605"/>
      <c r="F605"/>
      <c r="G605"/>
      <c r="H605"/>
      <c r="I605"/>
      <c r="J605"/>
    </row>
    <row r="606" spans="2:10" s="27" customFormat="1">
      <c r="B606"/>
      <c r="C606"/>
      <c r="D606"/>
      <c r="E606"/>
      <c r="F606"/>
      <c r="G606"/>
      <c r="H606"/>
      <c r="I606"/>
      <c r="J606"/>
    </row>
    <row r="607" spans="2:10" s="27" customFormat="1">
      <c r="B607"/>
      <c r="C607"/>
      <c r="D607"/>
      <c r="E607"/>
      <c r="F607"/>
      <c r="G607"/>
      <c r="H607"/>
      <c r="I607"/>
      <c r="J607"/>
    </row>
    <row r="608" spans="2:10" s="27" customFormat="1">
      <c r="B608"/>
      <c r="C608"/>
      <c r="D608"/>
      <c r="E608"/>
      <c r="F608"/>
      <c r="G608"/>
      <c r="H608"/>
      <c r="I608"/>
      <c r="J608"/>
    </row>
    <row r="609" spans="2:10" s="27" customFormat="1">
      <c r="B609"/>
      <c r="C609"/>
      <c r="D609"/>
      <c r="E609"/>
      <c r="F609"/>
      <c r="G609"/>
      <c r="H609"/>
      <c r="I609"/>
      <c r="J609"/>
    </row>
    <row r="610" spans="2:10" s="27" customFormat="1">
      <c r="B610"/>
      <c r="C610"/>
      <c r="D610"/>
      <c r="E610"/>
      <c r="F610"/>
      <c r="G610"/>
      <c r="H610"/>
      <c r="I610"/>
      <c r="J610"/>
    </row>
    <row r="611" spans="2:10" s="27" customFormat="1">
      <c r="B611"/>
      <c r="C611"/>
      <c r="D611"/>
      <c r="E611"/>
      <c r="F611"/>
      <c r="G611"/>
      <c r="H611"/>
      <c r="I611"/>
      <c r="J611"/>
    </row>
    <row r="612" spans="2:10" s="27" customFormat="1">
      <c r="B612"/>
      <c r="C612"/>
      <c r="D612"/>
      <c r="E612"/>
      <c r="F612"/>
      <c r="G612"/>
      <c r="H612"/>
      <c r="I612"/>
      <c r="J612"/>
    </row>
    <row r="613" spans="2:10" s="27" customFormat="1">
      <c r="B613"/>
      <c r="C613"/>
      <c r="D613"/>
      <c r="E613"/>
      <c r="F613"/>
      <c r="G613"/>
      <c r="H613"/>
      <c r="I613"/>
      <c r="J613"/>
    </row>
    <row r="614" spans="2:10" s="27" customFormat="1">
      <c r="B614"/>
      <c r="C614"/>
      <c r="D614"/>
      <c r="E614"/>
      <c r="F614"/>
      <c r="G614"/>
      <c r="H614"/>
      <c r="I614"/>
      <c r="J614"/>
    </row>
    <row r="615" spans="2:10" s="27" customFormat="1">
      <c r="B615"/>
      <c r="C615"/>
      <c r="D615"/>
      <c r="E615"/>
      <c r="F615"/>
      <c r="G615"/>
      <c r="H615"/>
      <c r="I615"/>
      <c r="J615"/>
    </row>
    <row r="616" spans="2:10" s="27" customFormat="1">
      <c r="B616"/>
      <c r="C616"/>
      <c r="D616"/>
      <c r="E616"/>
      <c r="F616"/>
      <c r="G616"/>
      <c r="H616"/>
      <c r="I616"/>
      <c r="J616"/>
    </row>
    <row r="617" spans="2:10" s="27" customFormat="1">
      <c r="B617"/>
      <c r="C617"/>
      <c r="D617"/>
      <c r="E617"/>
      <c r="F617"/>
      <c r="G617"/>
      <c r="H617"/>
      <c r="I617"/>
      <c r="J617"/>
    </row>
    <row r="618" spans="2:10" s="27" customFormat="1">
      <c r="B618"/>
      <c r="C618"/>
      <c r="D618"/>
      <c r="E618"/>
      <c r="F618"/>
      <c r="G618"/>
      <c r="H618"/>
      <c r="I618"/>
      <c r="J618"/>
    </row>
    <row r="619" spans="2:10" s="27" customFormat="1">
      <c r="B619"/>
      <c r="C619"/>
      <c r="D619"/>
      <c r="E619"/>
      <c r="F619"/>
      <c r="G619"/>
      <c r="H619"/>
      <c r="I619"/>
      <c r="J619"/>
    </row>
    <row r="620" spans="2:10" s="27" customFormat="1">
      <c r="B620"/>
      <c r="C620"/>
      <c r="D620"/>
      <c r="E620"/>
      <c r="F620"/>
      <c r="G620"/>
      <c r="H620"/>
      <c r="I620"/>
      <c r="J620"/>
    </row>
    <row r="621" spans="2:10" s="27" customFormat="1">
      <c r="B621"/>
      <c r="C621"/>
      <c r="D621"/>
      <c r="E621"/>
      <c r="F621"/>
      <c r="G621"/>
      <c r="H621"/>
      <c r="I621"/>
      <c r="J621"/>
    </row>
    <row r="622" spans="2:10" s="27" customFormat="1">
      <c r="B622"/>
      <c r="C622"/>
      <c r="D622"/>
      <c r="E622"/>
      <c r="F622"/>
      <c r="G622"/>
      <c r="H622"/>
      <c r="I622"/>
      <c r="J622"/>
    </row>
    <row r="623" spans="2:10" s="27" customFormat="1">
      <c r="B623"/>
      <c r="C623"/>
      <c r="D623"/>
      <c r="E623"/>
      <c r="F623"/>
      <c r="G623"/>
      <c r="H623"/>
      <c r="I623"/>
      <c r="J623"/>
    </row>
    <row r="624" spans="2:10" s="27" customFormat="1">
      <c r="B624"/>
      <c r="C624"/>
      <c r="D624"/>
      <c r="E624"/>
      <c r="F624"/>
      <c r="G624"/>
      <c r="H624"/>
      <c r="I624"/>
      <c r="J624"/>
    </row>
    <row r="625" spans="2:10" s="27" customFormat="1">
      <c r="B625"/>
      <c r="C625"/>
      <c r="D625"/>
      <c r="E625"/>
      <c r="F625"/>
      <c r="G625"/>
      <c r="H625"/>
      <c r="I625"/>
      <c r="J625"/>
    </row>
    <row r="626" spans="2:10" s="27" customFormat="1">
      <c r="B626"/>
      <c r="C626"/>
      <c r="D626"/>
      <c r="E626"/>
      <c r="F626"/>
      <c r="G626"/>
      <c r="H626"/>
      <c r="I626"/>
      <c r="J626"/>
    </row>
    <row r="627" spans="2:10" s="27" customFormat="1">
      <c r="B627"/>
      <c r="C627"/>
      <c r="D627"/>
      <c r="E627"/>
      <c r="F627"/>
      <c r="G627"/>
      <c r="H627"/>
      <c r="I627"/>
      <c r="J627"/>
    </row>
    <row r="628" spans="2:10" s="27" customFormat="1">
      <c r="B628"/>
      <c r="C628"/>
      <c r="D628"/>
      <c r="E628"/>
      <c r="F628"/>
      <c r="G628"/>
      <c r="H628"/>
      <c r="I628"/>
      <c r="J628"/>
    </row>
    <row r="629" spans="2:10" s="27" customFormat="1">
      <c r="B629"/>
      <c r="C629"/>
      <c r="D629"/>
      <c r="E629"/>
      <c r="F629"/>
      <c r="G629"/>
      <c r="H629"/>
      <c r="I629"/>
      <c r="J629"/>
    </row>
    <row r="630" spans="2:10" s="27" customFormat="1">
      <c r="B630"/>
      <c r="C630"/>
      <c r="D630"/>
      <c r="E630"/>
      <c r="F630"/>
      <c r="G630"/>
      <c r="H630"/>
      <c r="I630"/>
      <c r="J630"/>
    </row>
    <row r="631" spans="2:10" s="27" customFormat="1">
      <c r="B631"/>
      <c r="C631"/>
      <c r="D631"/>
      <c r="E631"/>
      <c r="F631"/>
      <c r="G631"/>
      <c r="H631"/>
      <c r="I631"/>
      <c r="J631"/>
    </row>
    <row r="632" spans="2:10" s="27" customFormat="1">
      <c r="B632"/>
      <c r="C632"/>
      <c r="D632"/>
      <c r="E632"/>
      <c r="F632"/>
      <c r="G632"/>
      <c r="H632"/>
      <c r="I632"/>
      <c r="J632"/>
    </row>
    <row r="633" spans="2:10" s="27" customFormat="1">
      <c r="B633"/>
      <c r="C633"/>
      <c r="D633"/>
      <c r="E633"/>
      <c r="F633"/>
      <c r="G633"/>
      <c r="H633"/>
      <c r="I633"/>
      <c r="J633"/>
    </row>
    <row r="634" spans="2:10" s="27" customFormat="1">
      <c r="B634"/>
      <c r="C634"/>
      <c r="D634"/>
      <c r="E634"/>
      <c r="F634"/>
      <c r="G634"/>
      <c r="H634"/>
      <c r="I634"/>
      <c r="J634"/>
    </row>
    <row r="635" spans="2:10" s="27" customFormat="1">
      <c r="B635"/>
      <c r="C635"/>
      <c r="D635"/>
      <c r="E635"/>
      <c r="F635"/>
      <c r="G635"/>
      <c r="H635"/>
      <c r="I635"/>
      <c r="J635"/>
    </row>
    <row r="636" spans="2:10" s="27" customFormat="1">
      <c r="B636"/>
      <c r="C636"/>
      <c r="D636"/>
      <c r="E636"/>
      <c r="F636"/>
      <c r="G636"/>
      <c r="H636"/>
      <c r="I636"/>
      <c r="J636"/>
    </row>
    <row r="637" spans="2:10" s="27" customFormat="1">
      <c r="B637"/>
      <c r="C637"/>
      <c r="D637"/>
      <c r="E637"/>
      <c r="F637"/>
      <c r="G637"/>
      <c r="H637"/>
      <c r="I637"/>
      <c r="J637"/>
    </row>
    <row r="638" spans="2:10" s="27" customFormat="1">
      <c r="B638"/>
      <c r="C638"/>
      <c r="D638"/>
      <c r="E638"/>
      <c r="F638"/>
      <c r="G638"/>
      <c r="H638"/>
      <c r="I638"/>
      <c r="J638"/>
    </row>
    <row r="639" spans="2:10" s="27" customFormat="1">
      <c r="B639"/>
      <c r="C639"/>
      <c r="D639"/>
      <c r="E639"/>
      <c r="F639"/>
      <c r="G639"/>
      <c r="H639"/>
      <c r="I639"/>
      <c r="J639"/>
    </row>
    <row r="640" spans="2:10" s="27" customFormat="1">
      <c r="B640"/>
      <c r="C640"/>
      <c r="D640"/>
      <c r="E640"/>
      <c r="F640"/>
      <c r="G640"/>
      <c r="H640"/>
      <c r="I640"/>
      <c r="J640"/>
    </row>
    <row r="641" spans="2:10" s="27" customFormat="1">
      <c r="B641"/>
      <c r="C641"/>
      <c r="D641"/>
      <c r="E641"/>
      <c r="F641"/>
      <c r="G641"/>
      <c r="H641"/>
      <c r="I641"/>
      <c r="J641"/>
    </row>
    <row r="642" spans="2:10" s="27" customFormat="1">
      <c r="B642"/>
      <c r="C642"/>
      <c r="D642"/>
      <c r="E642"/>
      <c r="F642"/>
      <c r="G642"/>
      <c r="H642"/>
      <c r="I642"/>
      <c r="J642"/>
    </row>
    <row r="643" spans="2:10" s="27" customFormat="1">
      <c r="B643"/>
      <c r="C643"/>
      <c r="D643"/>
      <c r="E643"/>
      <c r="F643"/>
      <c r="G643"/>
      <c r="H643"/>
      <c r="I643"/>
      <c r="J643"/>
    </row>
    <row r="644" spans="2:10" s="27" customFormat="1">
      <c r="B644"/>
      <c r="C644"/>
      <c r="D644"/>
      <c r="E644"/>
      <c r="F644"/>
      <c r="G644"/>
      <c r="H644"/>
      <c r="I644"/>
      <c r="J644"/>
    </row>
    <row r="645" spans="2:10" s="27" customFormat="1">
      <c r="B645"/>
      <c r="C645"/>
      <c r="D645"/>
      <c r="E645"/>
      <c r="F645"/>
      <c r="G645"/>
      <c r="H645"/>
      <c r="I645"/>
      <c r="J645"/>
    </row>
    <row r="646" spans="2:10" s="27" customFormat="1">
      <c r="B646"/>
      <c r="C646"/>
      <c r="D646"/>
      <c r="E646"/>
      <c r="F646"/>
      <c r="G646"/>
      <c r="H646"/>
      <c r="I646"/>
      <c r="J646"/>
    </row>
    <row r="647" spans="2:10" s="27" customFormat="1">
      <c r="B647"/>
      <c r="C647"/>
      <c r="D647"/>
      <c r="E647"/>
      <c r="F647"/>
      <c r="G647"/>
      <c r="H647"/>
      <c r="I647"/>
      <c r="J647"/>
    </row>
    <row r="648" spans="2:10" s="27" customFormat="1">
      <c r="B648"/>
      <c r="C648"/>
      <c r="D648"/>
      <c r="E648"/>
      <c r="F648"/>
      <c r="G648"/>
      <c r="H648"/>
      <c r="I648"/>
      <c r="J648"/>
    </row>
    <row r="649" spans="2:10" s="27" customFormat="1">
      <c r="B649"/>
      <c r="C649"/>
      <c r="D649"/>
      <c r="E649"/>
      <c r="F649"/>
      <c r="G649"/>
      <c r="H649"/>
      <c r="I649"/>
      <c r="J649"/>
    </row>
    <row r="650" spans="2:10" s="27" customFormat="1">
      <c r="B650"/>
      <c r="C650"/>
      <c r="D650"/>
      <c r="E650"/>
      <c r="F650"/>
      <c r="G650"/>
      <c r="H650"/>
      <c r="I650"/>
      <c r="J650"/>
    </row>
    <row r="651" spans="2:10" s="27" customFormat="1">
      <c r="B651"/>
      <c r="C651"/>
      <c r="D651"/>
      <c r="E651"/>
      <c r="F651"/>
      <c r="G651"/>
      <c r="H651"/>
      <c r="I651"/>
      <c r="J651"/>
    </row>
    <row r="652" spans="2:10" s="27" customFormat="1">
      <c r="B652"/>
      <c r="C652"/>
      <c r="D652"/>
      <c r="E652"/>
      <c r="F652"/>
      <c r="G652"/>
      <c r="H652"/>
      <c r="I652"/>
      <c r="J652"/>
    </row>
    <row r="653" spans="2:10" s="27" customFormat="1">
      <c r="B653"/>
      <c r="C653"/>
      <c r="D653"/>
      <c r="E653"/>
      <c r="F653"/>
      <c r="G653"/>
      <c r="H653"/>
      <c r="I653"/>
      <c r="J653"/>
    </row>
    <row r="654" spans="2:10" s="27" customFormat="1">
      <c r="B654"/>
      <c r="C654"/>
      <c r="D654"/>
      <c r="E654"/>
      <c r="F654"/>
      <c r="G654"/>
      <c r="H654"/>
      <c r="I654"/>
      <c r="J654"/>
    </row>
    <row r="655" spans="2:10" s="27" customFormat="1">
      <c r="B655"/>
      <c r="C655"/>
      <c r="D655"/>
      <c r="E655"/>
      <c r="F655"/>
      <c r="G655"/>
      <c r="H655"/>
      <c r="I655"/>
      <c r="J655"/>
    </row>
    <row r="656" spans="2:10" s="27" customFormat="1">
      <c r="B656"/>
      <c r="C656"/>
      <c r="D656"/>
      <c r="E656"/>
      <c r="F656"/>
      <c r="G656"/>
      <c r="H656"/>
      <c r="I656"/>
      <c r="J656"/>
    </row>
    <row r="657" spans="2:10" s="27" customFormat="1">
      <c r="B657"/>
      <c r="C657"/>
      <c r="D657"/>
      <c r="E657"/>
      <c r="F657"/>
      <c r="G657"/>
      <c r="H657"/>
      <c r="I657"/>
      <c r="J657"/>
    </row>
    <row r="658" spans="2:10" s="27" customFormat="1">
      <c r="B658"/>
      <c r="C658"/>
      <c r="D658"/>
      <c r="E658"/>
      <c r="F658"/>
      <c r="G658"/>
      <c r="H658"/>
      <c r="I658"/>
      <c r="J658"/>
    </row>
    <row r="659" spans="2:10" s="27" customFormat="1">
      <c r="B659"/>
      <c r="C659"/>
      <c r="D659"/>
      <c r="E659"/>
      <c r="F659"/>
      <c r="G659"/>
      <c r="H659"/>
      <c r="I659"/>
      <c r="J659"/>
    </row>
    <row r="660" spans="2:10" s="27" customFormat="1">
      <c r="B660"/>
      <c r="C660"/>
      <c r="D660"/>
      <c r="E660"/>
      <c r="F660"/>
      <c r="G660"/>
      <c r="H660"/>
      <c r="I660"/>
      <c r="J660"/>
    </row>
    <row r="661" spans="2:10" s="27" customFormat="1">
      <c r="B661"/>
      <c r="C661"/>
      <c r="D661"/>
      <c r="E661"/>
      <c r="F661"/>
      <c r="G661"/>
      <c r="H661"/>
      <c r="I661"/>
      <c r="J661"/>
    </row>
    <row r="662" spans="2:10" s="27" customFormat="1">
      <c r="B662"/>
      <c r="C662"/>
      <c r="D662"/>
      <c r="E662"/>
      <c r="F662"/>
      <c r="G662"/>
      <c r="H662"/>
      <c r="I662"/>
      <c r="J662"/>
    </row>
    <row r="663" spans="2:10" s="27" customFormat="1">
      <c r="B663"/>
      <c r="C663"/>
      <c r="D663"/>
      <c r="E663"/>
      <c r="F663"/>
      <c r="G663"/>
      <c r="H663"/>
      <c r="I663"/>
      <c r="J663"/>
    </row>
    <row r="664" spans="2:10" s="27" customFormat="1">
      <c r="B664"/>
      <c r="C664"/>
      <c r="D664"/>
      <c r="E664"/>
      <c r="F664"/>
      <c r="G664"/>
      <c r="H664"/>
      <c r="I664"/>
      <c r="J664"/>
    </row>
    <row r="665" spans="2:10" s="27" customFormat="1">
      <c r="B665"/>
      <c r="C665"/>
      <c r="D665"/>
      <c r="E665"/>
      <c r="F665"/>
      <c r="G665"/>
      <c r="H665"/>
      <c r="I665"/>
      <c r="J665"/>
    </row>
    <row r="666" spans="2:10" s="27" customFormat="1">
      <c r="B666"/>
      <c r="C666"/>
      <c r="D666"/>
      <c r="E666"/>
      <c r="F666"/>
      <c r="G666"/>
      <c r="H666"/>
      <c r="I666"/>
      <c r="J666"/>
    </row>
    <row r="667" spans="2:10" s="27" customFormat="1">
      <c r="B667"/>
      <c r="C667"/>
      <c r="D667"/>
      <c r="E667"/>
      <c r="F667"/>
      <c r="G667"/>
      <c r="H667"/>
      <c r="I667"/>
      <c r="J667"/>
    </row>
    <row r="668" spans="2:10" s="27" customFormat="1">
      <c r="B668"/>
      <c r="C668"/>
      <c r="D668"/>
      <c r="E668"/>
      <c r="F668"/>
      <c r="G668"/>
      <c r="H668"/>
      <c r="I668"/>
      <c r="J668"/>
    </row>
    <row r="669" spans="2:10" s="27" customFormat="1">
      <c r="B669"/>
      <c r="C669"/>
      <c r="D669"/>
      <c r="E669"/>
      <c r="F669"/>
      <c r="G669"/>
      <c r="H669"/>
      <c r="I669"/>
      <c r="J669"/>
    </row>
    <row r="670" spans="2:10" s="27" customFormat="1">
      <c r="B670"/>
      <c r="C670"/>
      <c r="D670"/>
      <c r="E670"/>
      <c r="F670"/>
      <c r="G670"/>
      <c r="H670"/>
      <c r="I670"/>
      <c r="J670"/>
    </row>
    <row r="671" spans="2:10" s="27" customFormat="1">
      <c r="B671"/>
      <c r="C671"/>
      <c r="D671"/>
      <c r="E671"/>
      <c r="F671"/>
      <c r="G671"/>
      <c r="H671"/>
      <c r="I671"/>
      <c r="J671"/>
    </row>
    <row r="672" spans="2:10" s="27" customFormat="1">
      <c r="B672"/>
      <c r="C672"/>
      <c r="D672"/>
      <c r="E672"/>
      <c r="F672"/>
      <c r="G672"/>
      <c r="H672"/>
      <c r="I672"/>
      <c r="J672"/>
    </row>
    <row r="673" spans="2:10" s="27" customFormat="1">
      <c r="B673"/>
      <c r="C673"/>
      <c r="D673"/>
      <c r="E673"/>
      <c r="F673"/>
      <c r="G673"/>
      <c r="H673"/>
      <c r="I673"/>
      <c r="J673"/>
    </row>
    <row r="674" spans="2:10" s="27" customFormat="1">
      <c r="B674"/>
      <c r="C674"/>
      <c r="D674"/>
      <c r="E674"/>
      <c r="F674"/>
      <c r="G674"/>
      <c r="H674"/>
      <c r="I674"/>
      <c r="J674"/>
    </row>
    <row r="675" spans="2:10" s="27" customFormat="1">
      <c r="B675"/>
      <c r="C675"/>
      <c r="D675"/>
      <c r="E675"/>
      <c r="F675"/>
      <c r="G675"/>
      <c r="H675"/>
      <c r="I675"/>
      <c r="J675"/>
    </row>
    <row r="676" spans="2:10" s="27" customFormat="1">
      <c r="B676"/>
      <c r="C676"/>
      <c r="D676"/>
      <c r="E676"/>
      <c r="F676"/>
      <c r="G676"/>
      <c r="H676"/>
      <c r="I676"/>
      <c r="J676"/>
    </row>
    <row r="677" spans="2:10" s="27" customFormat="1">
      <c r="B677"/>
      <c r="C677"/>
      <c r="D677"/>
      <c r="E677"/>
      <c r="F677"/>
      <c r="G677"/>
      <c r="H677"/>
      <c r="I677"/>
      <c r="J677"/>
    </row>
    <row r="678" spans="2:10" s="27" customFormat="1">
      <c r="B678"/>
      <c r="C678"/>
      <c r="D678"/>
      <c r="E678"/>
      <c r="F678"/>
      <c r="G678"/>
      <c r="H678"/>
      <c r="I678"/>
      <c r="J678"/>
    </row>
    <row r="679" spans="2:10" s="27" customFormat="1">
      <c r="B679"/>
      <c r="C679"/>
      <c r="D679"/>
      <c r="E679"/>
      <c r="F679"/>
      <c r="G679"/>
      <c r="H679"/>
      <c r="I679"/>
      <c r="J679"/>
    </row>
    <row r="680" spans="2:10" s="27" customFormat="1">
      <c r="B680"/>
      <c r="C680"/>
      <c r="D680"/>
      <c r="E680"/>
      <c r="F680"/>
      <c r="G680"/>
      <c r="H680"/>
      <c r="I680"/>
      <c r="J680"/>
    </row>
    <row r="681" spans="2:10" s="27" customFormat="1">
      <c r="B681"/>
      <c r="C681"/>
      <c r="D681"/>
      <c r="E681"/>
      <c r="F681"/>
      <c r="G681"/>
      <c r="H681"/>
      <c r="I681"/>
      <c r="J681"/>
    </row>
    <row r="682" spans="2:10" s="27" customFormat="1">
      <c r="B682"/>
      <c r="C682"/>
      <c r="D682"/>
      <c r="E682"/>
      <c r="F682"/>
      <c r="G682"/>
      <c r="H682"/>
      <c r="I682"/>
      <c r="J682"/>
    </row>
    <row r="683" spans="2:10" s="27" customFormat="1">
      <c r="B683"/>
      <c r="C683"/>
      <c r="D683"/>
      <c r="E683"/>
      <c r="F683"/>
      <c r="G683"/>
      <c r="H683"/>
      <c r="I683"/>
      <c r="J683"/>
    </row>
    <row r="684" spans="2:10" s="27" customFormat="1">
      <c r="B684"/>
      <c r="C684"/>
      <c r="D684"/>
      <c r="E684"/>
      <c r="F684"/>
      <c r="G684"/>
      <c r="H684"/>
      <c r="I684"/>
      <c r="J684"/>
    </row>
    <row r="685" spans="2:10" s="27" customFormat="1">
      <c r="B685"/>
      <c r="C685"/>
      <c r="D685"/>
      <c r="E685"/>
      <c r="F685"/>
      <c r="G685"/>
      <c r="H685"/>
      <c r="I685"/>
      <c r="J685"/>
    </row>
    <row r="686" spans="2:10" s="27" customFormat="1">
      <c r="B686"/>
      <c r="C686"/>
      <c r="D686"/>
      <c r="E686"/>
      <c r="F686"/>
      <c r="G686"/>
      <c r="H686"/>
      <c r="I686"/>
      <c r="J686"/>
    </row>
    <row r="687" spans="2:10" s="27" customFormat="1">
      <c r="B687"/>
      <c r="C687"/>
      <c r="D687"/>
      <c r="E687"/>
      <c r="F687"/>
      <c r="G687"/>
      <c r="H687"/>
      <c r="I687"/>
      <c r="J687"/>
    </row>
    <row r="688" spans="2:10" s="27" customFormat="1">
      <c r="B688"/>
      <c r="C688"/>
      <c r="D688"/>
      <c r="E688"/>
      <c r="F688"/>
      <c r="G688"/>
      <c r="H688"/>
      <c r="I688"/>
      <c r="J688"/>
    </row>
    <row r="689" spans="2:10" s="27" customFormat="1">
      <c r="B689"/>
      <c r="C689"/>
      <c r="D689"/>
      <c r="E689"/>
      <c r="F689"/>
      <c r="G689"/>
      <c r="H689"/>
      <c r="I689"/>
      <c r="J689"/>
    </row>
    <row r="690" spans="2:10" s="27" customFormat="1">
      <c r="B690"/>
      <c r="C690"/>
      <c r="D690"/>
      <c r="E690"/>
      <c r="F690"/>
      <c r="G690"/>
      <c r="H690"/>
      <c r="I690"/>
      <c r="J690"/>
    </row>
    <row r="691" spans="2:10" s="27" customFormat="1">
      <c r="B691"/>
      <c r="C691"/>
      <c r="D691"/>
      <c r="E691"/>
      <c r="F691"/>
      <c r="G691"/>
      <c r="H691"/>
      <c r="I691"/>
      <c r="J691"/>
    </row>
    <row r="692" spans="2:10" s="27" customFormat="1">
      <c r="B692"/>
      <c r="C692"/>
      <c r="D692"/>
      <c r="E692"/>
      <c r="F692"/>
      <c r="G692"/>
      <c r="H692"/>
      <c r="I692"/>
      <c r="J692"/>
    </row>
    <row r="693" spans="2:10" s="27" customFormat="1">
      <c r="B693"/>
      <c r="C693"/>
      <c r="D693"/>
      <c r="E693"/>
      <c r="F693"/>
      <c r="G693"/>
      <c r="H693"/>
      <c r="I693"/>
      <c r="J693"/>
    </row>
    <row r="694" spans="2:10" s="27" customFormat="1">
      <c r="B694"/>
      <c r="C694"/>
      <c r="D694"/>
      <c r="E694"/>
      <c r="F694"/>
      <c r="G694"/>
      <c r="H694"/>
      <c r="I694"/>
      <c r="J694"/>
    </row>
    <row r="695" spans="2:10" s="27" customFormat="1">
      <c r="B695"/>
      <c r="C695"/>
      <c r="D695"/>
      <c r="E695"/>
      <c r="F695"/>
      <c r="G695"/>
      <c r="H695"/>
      <c r="I695"/>
      <c r="J695"/>
    </row>
    <row r="696" spans="2:10" s="27" customFormat="1">
      <c r="B696"/>
      <c r="C696"/>
      <c r="D696"/>
      <c r="E696"/>
      <c r="F696"/>
      <c r="G696"/>
      <c r="H696"/>
      <c r="I696"/>
      <c r="J696"/>
    </row>
    <row r="697" spans="2:10" s="27" customFormat="1">
      <c r="B697"/>
      <c r="C697"/>
      <c r="D697"/>
      <c r="E697"/>
      <c r="F697"/>
      <c r="G697"/>
      <c r="H697"/>
      <c r="I697"/>
      <c r="J697"/>
    </row>
    <row r="698" spans="2:10" s="27" customFormat="1">
      <c r="B698"/>
      <c r="C698"/>
      <c r="D698"/>
      <c r="E698"/>
      <c r="F698"/>
      <c r="G698"/>
      <c r="H698"/>
      <c r="I698"/>
      <c r="J698"/>
    </row>
    <row r="699" spans="2:10" s="27" customFormat="1">
      <c r="B699"/>
      <c r="C699"/>
      <c r="D699"/>
      <c r="E699"/>
      <c r="F699"/>
      <c r="G699"/>
      <c r="H699"/>
      <c r="I699"/>
      <c r="J699"/>
    </row>
    <row r="700" spans="2:10" s="27" customFormat="1">
      <c r="B700"/>
      <c r="C700"/>
      <c r="D700"/>
      <c r="E700"/>
      <c r="F700"/>
      <c r="G700"/>
      <c r="H700"/>
      <c r="I700"/>
      <c r="J700"/>
    </row>
    <row r="701" spans="2:10" s="27" customFormat="1">
      <c r="B701"/>
      <c r="C701"/>
      <c r="D701"/>
      <c r="E701"/>
      <c r="F701"/>
      <c r="G701"/>
      <c r="H701"/>
      <c r="I701"/>
      <c r="J701"/>
    </row>
    <row r="702" spans="2:10" s="27" customFormat="1">
      <c r="B702"/>
      <c r="C702"/>
      <c r="D702"/>
      <c r="E702"/>
      <c r="F702"/>
      <c r="G702"/>
      <c r="H702"/>
      <c r="I702"/>
      <c r="J702"/>
    </row>
    <row r="703" spans="2:10" s="27" customFormat="1">
      <c r="B703"/>
      <c r="C703"/>
      <c r="D703"/>
      <c r="E703"/>
      <c r="F703"/>
      <c r="G703"/>
      <c r="H703"/>
      <c r="I703"/>
      <c r="J703"/>
    </row>
    <row r="704" spans="2:10" s="27" customFormat="1">
      <c r="B704"/>
      <c r="C704"/>
      <c r="D704"/>
      <c r="E704"/>
      <c r="F704"/>
      <c r="G704"/>
      <c r="H704"/>
      <c r="I704"/>
      <c r="J704"/>
    </row>
    <row r="705" spans="2:10" s="27" customFormat="1">
      <c r="B705"/>
      <c r="C705"/>
      <c r="D705"/>
      <c r="E705"/>
      <c r="F705"/>
      <c r="G705"/>
      <c r="H705"/>
      <c r="I705"/>
      <c r="J705"/>
    </row>
    <row r="706" spans="2:10" s="27" customFormat="1">
      <c r="B706"/>
      <c r="C706"/>
      <c r="D706"/>
      <c r="E706"/>
      <c r="F706"/>
      <c r="G706"/>
      <c r="H706"/>
      <c r="I706"/>
      <c r="J706"/>
    </row>
    <row r="707" spans="2:10" s="27" customFormat="1">
      <c r="B707"/>
      <c r="C707"/>
      <c r="D707"/>
      <c r="E707"/>
      <c r="F707"/>
      <c r="G707"/>
      <c r="H707"/>
      <c r="I707"/>
      <c r="J707"/>
    </row>
    <row r="708" spans="2:10" s="27" customFormat="1">
      <c r="B708"/>
      <c r="C708"/>
      <c r="D708"/>
      <c r="E708"/>
      <c r="F708"/>
      <c r="G708"/>
      <c r="H708"/>
      <c r="I708"/>
      <c r="J708"/>
    </row>
    <row r="709" spans="2:10" s="27" customFormat="1">
      <c r="B709"/>
      <c r="C709"/>
      <c r="D709"/>
      <c r="E709"/>
      <c r="F709"/>
      <c r="G709"/>
      <c r="H709"/>
      <c r="I709"/>
      <c r="J709"/>
    </row>
    <row r="710" spans="2:10" s="27" customFormat="1">
      <c r="B710"/>
      <c r="C710"/>
      <c r="D710"/>
      <c r="E710"/>
      <c r="F710"/>
      <c r="G710"/>
      <c r="H710"/>
      <c r="I710"/>
      <c r="J710"/>
    </row>
    <row r="711" spans="2:10" s="27" customFormat="1">
      <c r="B711"/>
      <c r="C711"/>
      <c r="D711"/>
      <c r="E711"/>
      <c r="F711"/>
      <c r="G711"/>
      <c r="H711"/>
      <c r="I711"/>
      <c r="J711"/>
    </row>
    <row r="712" spans="2:10" s="27" customFormat="1">
      <c r="B712"/>
      <c r="C712"/>
      <c r="D712"/>
      <c r="E712"/>
      <c r="F712"/>
      <c r="G712"/>
      <c r="H712"/>
      <c r="I712"/>
      <c r="J712"/>
    </row>
    <row r="713" spans="2:10" s="27" customFormat="1">
      <c r="B713"/>
      <c r="C713"/>
      <c r="D713"/>
      <c r="E713"/>
      <c r="F713"/>
      <c r="G713"/>
      <c r="H713"/>
      <c r="I713"/>
      <c r="J713"/>
    </row>
    <row r="714" spans="2:10" s="27" customFormat="1">
      <c r="B714"/>
      <c r="C714"/>
      <c r="D714"/>
      <c r="E714"/>
      <c r="F714"/>
      <c r="G714"/>
      <c r="H714"/>
      <c r="I714"/>
      <c r="J714"/>
    </row>
    <row r="715" spans="2:10" s="27" customFormat="1">
      <c r="B715"/>
      <c r="C715"/>
      <c r="D715"/>
      <c r="E715"/>
      <c r="F715"/>
      <c r="G715"/>
      <c r="H715"/>
      <c r="I715"/>
      <c r="J715"/>
    </row>
    <row r="716" spans="2:10" s="27" customFormat="1">
      <c r="B716"/>
      <c r="C716"/>
      <c r="D716"/>
      <c r="E716"/>
      <c r="F716"/>
      <c r="G716"/>
      <c r="H716"/>
      <c r="I716"/>
      <c r="J716"/>
    </row>
    <row r="717" spans="2:10" s="27" customFormat="1">
      <c r="B717"/>
      <c r="C717"/>
      <c r="D717"/>
      <c r="E717"/>
      <c r="F717"/>
      <c r="G717"/>
      <c r="H717"/>
      <c r="I717"/>
      <c r="J717"/>
    </row>
    <row r="718" spans="2:10" s="27" customFormat="1">
      <c r="B718"/>
      <c r="C718"/>
      <c r="D718"/>
      <c r="E718"/>
      <c r="F718"/>
      <c r="G718"/>
      <c r="H718"/>
      <c r="I718"/>
      <c r="J718"/>
    </row>
    <row r="719" spans="2:10" s="27" customFormat="1">
      <c r="B719"/>
      <c r="C719"/>
      <c r="D719"/>
      <c r="E719"/>
      <c r="F719"/>
      <c r="G719"/>
      <c r="H719"/>
      <c r="I719"/>
      <c r="J719"/>
    </row>
    <row r="720" spans="2:10" s="27" customFormat="1">
      <c r="B720"/>
      <c r="C720"/>
      <c r="D720"/>
      <c r="E720"/>
      <c r="F720"/>
      <c r="G720"/>
      <c r="H720"/>
      <c r="I720"/>
      <c r="J720"/>
    </row>
    <row r="721" spans="2:10" s="27" customFormat="1">
      <c r="B721"/>
      <c r="C721"/>
      <c r="D721"/>
      <c r="E721"/>
      <c r="F721"/>
      <c r="G721"/>
      <c r="H721"/>
      <c r="I721"/>
      <c r="J721"/>
    </row>
    <row r="722" spans="2:10" s="27" customFormat="1">
      <c r="B722"/>
      <c r="C722"/>
      <c r="D722"/>
      <c r="E722"/>
      <c r="F722"/>
      <c r="G722"/>
      <c r="H722"/>
      <c r="I722"/>
      <c r="J722"/>
    </row>
    <row r="723" spans="2:10" s="27" customFormat="1">
      <c r="B723"/>
      <c r="C723"/>
      <c r="D723"/>
      <c r="E723"/>
      <c r="F723"/>
      <c r="G723"/>
      <c r="H723"/>
      <c r="I723"/>
      <c r="J723"/>
    </row>
    <row r="724" spans="2:10" s="27" customFormat="1">
      <c r="B724"/>
      <c r="C724"/>
      <c r="D724"/>
      <c r="E724"/>
      <c r="F724"/>
      <c r="G724"/>
      <c r="H724"/>
      <c r="I724"/>
      <c r="J724"/>
    </row>
    <row r="725" spans="2:10" s="27" customFormat="1">
      <c r="B725"/>
      <c r="C725"/>
      <c r="D725"/>
      <c r="E725"/>
      <c r="F725"/>
      <c r="G725"/>
      <c r="H725"/>
      <c r="I725"/>
      <c r="J725"/>
    </row>
    <row r="726" spans="2:10" s="27" customFormat="1">
      <c r="B726"/>
      <c r="C726"/>
      <c r="D726"/>
      <c r="E726"/>
      <c r="F726"/>
      <c r="G726"/>
      <c r="H726"/>
      <c r="I726"/>
      <c r="J726"/>
    </row>
    <row r="727" spans="2:10" s="27" customFormat="1">
      <c r="B727"/>
      <c r="C727"/>
      <c r="D727"/>
      <c r="E727"/>
      <c r="F727"/>
      <c r="G727"/>
      <c r="H727"/>
      <c r="I727"/>
      <c r="J727"/>
    </row>
    <row r="728" spans="2:10" s="27" customFormat="1">
      <c r="B728"/>
      <c r="C728"/>
      <c r="D728"/>
      <c r="E728"/>
      <c r="F728"/>
      <c r="G728"/>
      <c r="H728"/>
      <c r="I728"/>
      <c r="J728"/>
    </row>
    <row r="729" spans="2:10" s="27" customFormat="1">
      <c r="B729"/>
      <c r="C729"/>
      <c r="D729"/>
      <c r="E729"/>
      <c r="F729"/>
      <c r="G729"/>
      <c r="H729"/>
      <c r="I729"/>
      <c r="J729"/>
    </row>
    <row r="730" spans="2:10" s="27" customFormat="1">
      <c r="B730"/>
      <c r="C730"/>
      <c r="D730"/>
      <c r="E730"/>
      <c r="F730"/>
      <c r="G730"/>
      <c r="H730"/>
      <c r="I730"/>
      <c r="J730"/>
    </row>
    <row r="731" spans="2:10" s="27" customFormat="1">
      <c r="B731"/>
      <c r="C731"/>
      <c r="D731"/>
      <c r="E731"/>
      <c r="F731"/>
      <c r="G731"/>
      <c r="H731"/>
      <c r="I731"/>
      <c r="J731"/>
    </row>
    <row r="732" spans="2:10" s="27" customFormat="1">
      <c r="B732"/>
      <c r="C732"/>
      <c r="D732"/>
      <c r="E732"/>
      <c r="F732"/>
      <c r="G732"/>
      <c r="H732"/>
      <c r="I732"/>
      <c r="J732"/>
    </row>
    <row r="733" spans="2:10" s="27" customFormat="1">
      <c r="B733"/>
      <c r="C733"/>
      <c r="D733"/>
      <c r="E733"/>
      <c r="F733"/>
      <c r="G733"/>
      <c r="H733"/>
      <c r="I733"/>
      <c r="J733"/>
    </row>
    <row r="734" spans="2:10" s="27" customFormat="1">
      <c r="B734"/>
      <c r="C734"/>
      <c r="D734"/>
      <c r="E734"/>
      <c r="F734"/>
      <c r="G734"/>
      <c r="H734"/>
      <c r="I734"/>
      <c r="J734"/>
    </row>
    <row r="735" spans="2:10" s="27" customFormat="1">
      <c r="B735"/>
      <c r="C735"/>
      <c r="D735"/>
      <c r="E735"/>
      <c r="F735"/>
      <c r="G735"/>
      <c r="H735"/>
      <c r="I735"/>
      <c r="J735"/>
    </row>
    <row r="736" spans="2:10" s="27" customFormat="1">
      <c r="B736"/>
      <c r="C736"/>
      <c r="D736"/>
      <c r="E736"/>
      <c r="F736"/>
      <c r="G736"/>
      <c r="H736"/>
      <c r="I736"/>
      <c r="J736"/>
    </row>
    <row r="737" spans="2:10" s="27" customFormat="1">
      <c r="B737"/>
      <c r="C737"/>
      <c r="D737"/>
      <c r="E737"/>
      <c r="F737"/>
      <c r="G737"/>
      <c r="H737"/>
      <c r="I737"/>
      <c r="J737"/>
    </row>
    <row r="738" spans="2:10" s="27" customFormat="1">
      <c r="B738"/>
      <c r="C738"/>
      <c r="D738"/>
      <c r="E738"/>
      <c r="F738"/>
      <c r="G738"/>
      <c r="H738"/>
      <c r="I738"/>
      <c r="J738"/>
    </row>
    <row r="739" spans="2:10" s="27" customFormat="1">
      <c r="B739"/>
      <c r="C739"/>
      <c r="D739"/>
      <c r="E739"/>
      <c r="F739"/>
      <c r="G739"/>
      <c r="H739"/>
      <c r="I739"/>
      <c r="J739"/>
    </row>
    <row r="740" spans="2:10" s="27" customFormat="1">
      <c r="B740"/>
      <c r="C740"/>
      <c r="D740"/>
      <c r="E740"/>
      <c r="F740"/>
      <c r="G740"/>
      <c r="H740"/>
      <c r="I740"/>
      <c r="J740"/>
    </row>
    <row r="741" spans="2:10" s="27" customFormat="1">
      <c r="B741"/>
      <c r="C741"/>
      <c r="D741"/>
      <c r="E741"/>
      <c r="F741"/>
      <c r="G741"/>
      <c r="H741"/>
      <c r="I741"/>
      <c r="J741"/>
    </row>
    <row r="742" spans="2:10" s="27" customFormat="1">
      <c r="B742"/>
      <c r="C742"/>
      <c r="D742"/>
      <c r="E742"/>
      <c r="F742"/>
      <c r="G742"/>
      <c r="H742"/>
      <c r="I742"/>
      <c r="J742"/>
    </row>
    <row r="743" spans="2:10" s="27" customFormat="1">
      <c r="B743"/>
      <c r="C743"/>
      <c r="D743"/>
      <c r="E743"/>
      <c r="F743"/>
      <c r="G743"/>
      <c r="H743"/>
      <c r="I743"/>
      <c r="J743"/>
    </row>
    <row r="744" spans="2:10" s="27" customFormat="1">
      <c r="B744"/>
      <c r="C744"/>
      <c r="D744"/>
      <c r="E744"/>
      <c r="F744"/>
      <c r="G744"/>
      <c r="H744"/>
      <c r="I744"/>
      <c r="J744"/>
    </row>
    <row r="745" spans="2:10" s="27" customFormat="1">
      <c r="B745"/>
      <c r="C745"/>
      <c r="D745"/>
      <c r="E745"/>
      <c r="F745"/>
      <c r="G745"/>
      <c r="H745"/>
      <c r="I745"/>
      <c r="J745"/>
    </row>
    <row r="746" spans="2:10" s="27" customFormat="1">
      <c r="B746"/>
      <c r="C746"/>
      <c r="D746"/>
      <c r="E746"/>
      <c r="F746"/>
      <c r="G746"/>
      <c r="H746"/>
      <c r="I746"/>
      <c r="J746"/>
    </row>
    <row r="747" spans="2:10" s="27" customFormat="1">
      <c r="B747"/>
      <c r="C747"/>
      <c r="D747"/>
      <c r="E747"/>
      <c r="F747"/>
      <c r="G747"/>
      <c r="H747"/>
      <c r="I747"/>
      <c r="J747"/>
    </row>
    <row r="748" spans="2:10" s="27" customFormat="1">
      <c r="B748"/>
      <c r="C748"/>
      <c r="D748"/>
      <c r="E748"/>
      <c r="F748"/>
      <c r="G748"/>
      <c r="H748"/>
      <c r="I748"/>
      <c r="J748"/>
    </row>
    <row r="749" spans="2:10" s="27" customFormat="1">
      <c r="B749"/>
      <c r="C749"/>
      <c r="D749"/>
      <c r="E749"/>
      <c r="F749"/>
      <c r="G749"/>
      <c r="H749"/>
      <c r="I749"/>
      <c r="J749"/>
    </row>
    <row r="750" spans="2:10" s="27" customFormat="1">
      <c r="B750"/>
      <c r="C750"/>
      <c r="D750"/>
      <c r="E750"/>
      <c r="F750"/>
      <c r="G750"/>
      <c r="H750"/>
      <c r="I750"/>
      <c r="J750"/>
    </row>
    <row r="751" spans="2:10" s="27" customFormat="1">
      <c r="B751"/>
      <c r="C751"/>
      <c r="D751"/>
      <c r="E751"/>
      <c r="F751"/>
      <c r="G751"/>
      <c r="H751"/>
      <c r="I751"/>
      <c r="J751"/>
    </row>
    <row r="752" spans="2:10" s="27" customFormat="1">
      <c r="B752"/>
      <c r="C752"/>
      <c r="D752"/>
      <c r="E752"/>
      <c r="F752"/>
      <c r="G752"/>
      <c r="H752"/>
      <c r="I752"/>
      <c r="J752"/>
    </row>
    <row r="753" spans="2:10" s="27" customFormat="1">
      <c r="B753"/>
      <c r="C753"/>
      <c r="D753"/>
      <c r="E753"/>
      <c r="F753"/>
      <c r="G753"/>
      <c r="H753"/>
      <c r="I753"/>
      <c r="J753"/>
    </row>
    <row r="754" spans="2:10" s="27" customFormat="1">
      <c r="B754"/>
      <c r="C754"/>
      <c r="D754"/>
      <c r="E754"/>
      <c r="F754"/>
      <c r="G754"/>
      <c r="H754"/>
      <c r="I754"/>
      <c r="J754"/>
    </row>
    <row r="755" spans="2:10" s="27" customFormat="1">
      <c r="B755"/>
      <c r="C755"/>
      <c r="D755"/>
      <c r="E755"/>
      <c r="F755"/>
      <c r="G755"/>
      <c r="H755"/>
      <c r="I755"/>
      <c r="J755"/>
    </row>
    <row r="756" spans="2:10" s="27" customFormat="1">
      <c r="B756"/>
      <c r="C756"/>
      <c r="D756"/>
      <c r="E756"/>
      <c r="F756"/>
      <c r="G756"/>
      <c r="H756"/>
      <c r="I756"/>
      <c r="J756"/>
    </row>
    <row r="757" spans="2:10" s="27" customFormat="1">
      <c r="B757"/>
      <c r="C757"/>
      <c r="D757"/>
      <c r="E757"/>
      <c r="F757"/>
      <c r="G757"/>
      <c r="H757"/>
      <c r="I757"/>
      <c r="J757"/>
    </row>
    <row r="758" spans="2:10" s="27" customFormat="1">
      <c r="B758"/>
      <c r="C758"/>
      <c r="D758"/>
      <c r="E758"/>
      <c r="F758"/>
      <c r="G758"/>
      <c r="H758"/>
      <c r="I758"/>
      <c r="J758"/>
    </row>
    <row r="759" spans="2:10" s="27" customFormat="1">
      <c r="B759"/>
      <c r="C759"/>
      <c r="D759"/>
      <c r="E759"/>
      <c r="F759"/>
      <c r="G759"/>
      <c r="H759"/>
      <c r="I759"/>
      <c r="J759"/>
    </row>
    <row r="760" spans="2:10" s="27" customFormat="1">
      <c r="B760"/>
      <c r="C760"/>
      <c r="D760"/>
      <c r="E760"/>
      <c r="F760"/>
      <c r="G760"/>
      <c r="H760"/>
      <c r="I760"/>
      <c r="J760"/>
    </row>
    <row r="761" spans="2:10" s="27" customFormat="1">
      <c r="B761"/>
      <c r="C761"/>
      <c r="D761"/>
      <c r="E761"/>
      <c r="F761"/>
      <c r="G761"/>
      <c r="H761"/>
      <c r="I761"/>
      <c r="J761"/>
    </row>
    <row r="762" spans="2:10" s="27" customFormat="1">
      <c r="B762"/>
      <c r="C762"/>
      <c r="D762"/>
      <c r="E762"/>
      <c r="F762"/>
      <c r="G762"/>
      <c r="H762"/>
      <c r="I762"/>
      <c r="J762"/>
    </row>
    <row r="763" spans="2:10" s="27" customFormat="1">
      <c r="B763"/>
      <c r="C763"/>
      <c r="D763"/>
      <c r="E763"/>
      <c r="F763"/>
      <c r="G763"/>
      <c r="H763"/>
      <c r="I763"/>
      <c r="J763"/>
    </row>
    <row r="764" spans="2:10" s="27" customFormat="1">
      <c r="B764"/>
      <c r="C764"/>
      <c r="D764"/>
      <c r="E764"/>
      <c r="F764"/>
      <c r="G764"/>
      <c r="H764"/>
      <c r="I764"/>
      <c r="J764"/>
    </row>
    <row r="765" spans="2:10" s="27" customFormat="1">
      <c r="B765"/>
      <c r="C765"/>
      <c r="D765"/>
      <c r="E765"/>
      <c r="F765"/>
      <c r="G765"/>
      <c r="H765"/>
      <c r="I765"/>
      <c r="J765"/>
    </row>
    <row r="766" spans="2:10" s="27" customFormat="1">
      <c r="B766"/>
      <c r="C766"/>
      <c r="D766"/>
      <c r="E766"/>
      <c r="F766"/>
      <c r="G766"/>
      <c r="H766"/>
      <c r="I766"/>
      <c r="J766"/>
    </row>
    <row r="767" spans="2:10" s="27" customFormat="1">
      <c r="B767"/>
      <c r="C767"/>
      <c r="D767"/>
      <c r="E767"/>
      <c r="F767"/>
      <c r="G767"/>
      <c r="H767"/>
      <c r="I767"/>
      <c r="J767"/>
    </row>
    <row r="768" spans="2:10" s="27" customFormat="1">
      <c r="B768"/>
      <c r="C768"/>
      <c r="D768"/>
      <c r="E768"/>
      <c r="F768"/>
      <c r="G768"/>
      <c r="H768"/>
      <c r="I768"/>
      <c r="J768"/>
    </row>
    <row r="769" spans="2:10" s="27" customFormat="1">
      <c r="B769"/>
      <c r="C769"/>
      <c r="D769"/>
      <c r="E769"/>
      <c r="F769"/>
      <c r="G769"/>
      <c r="H769"/>
      <c r="I769"/>
      <c r="J769"/>
    </row>
    <row r="770" spans="2:10" s="27" customFormat="1">
      <c r="B770"/>
      <c r="C770"/>
      <c r="D770"/>
      <c r="E770"/>
      <c r="F770"/>
      <c r="G770"/>
      <c r="H770"/>
      <c r="I770"/>
      <c r="J770"/>
    </row>
    <row r="771" spans="2:10" s="27" customFormat="1">
      <c r="B771"/>
      <c r="C771"/>
      <c r="D771"/>
      <c r="E771"/>
      <c r="F771"/>
      <c r="G771"/>
      <c r="H771"/>
      <c r="I771"/>
      <c r="J771"/>
    </row>
    <row r="772" spans="2:10" s="27" customFormat="1">
      <c r="B772"/>
      <c r="C772"/>
      <c r="D772"/>
      <c r="E772"/>
      <c r="F772"/>
      <c r="G772"/>
      <c r="H772"/>
      <c r="I772"/>
      <c r="J772"/>
    </row>
    <row r="773" spans="2:10" s="27" customFormat="1">
      <c r="B773"/>
      <c r="C773"/>
      <c r="D773"/>
      <c r="E773"/>
      <c r="F773"/>
      <c r="G773"/>
      <c r="H773"/>
      <c r="I773"/>
      <c r="J773"/>
    </row>
    <row r="774" spans="2:10" s="27" customFormat="1">
      <c r="B774"/>
      <c r="C774"/>
      <c r="D774"/>
      <c r="E774"/>
      <c r="F774"/>
      <c r="G774"/>
      <c r="H774"/>
      <c r="I774"/>
      <c r="J774"/>
    </row>
    <row r="775" spans="2:10" s="27" customFormat="1">
      <c r="B775"/>
      <c r="C775"/>
      <c r="D775"/>
      <c r="E775"/>
      <c r="F775"/>
      <c r="G775"/>
      <c r="H775"/>
      <c r="I775"/>
      <c r="J775"/>
    </row>
    <row r="776" spans="2:10" s="27" customFormat="1">
      <c r="B776"/>
      <c r="C776"/>
      <c r="D776"/>
      <c r="E776"/>
      <c r="F776"/>
      <c r="G776"/>
      <c r="H776"/>
      <c r="I776"/>
      <c r="J776"/>
    </row>
    <row r="777" spans="2:10" s="27" customFormat="1">
      <c r="B777"/>
      <c r="C777"/>
      <c r="D777"/>
      <c r="E777"/>
      <c r="F777"/>
      <c r="G777"/>
      <c r="H777"/>
      <c r="I777"/>
      <c r="J777"/>
    </row>
    <row r="778" spans="2:10" s="27" customFormat="1">
      <c r="B778"/>
      <c r="C778"/>
      <c r="D778"/>
      <c r="E778"/>
      <c r="F778"/>
      <c r="G778"/>
      <c r="H778"/>
      <c r="I778"/>
      <c r="J778"/>
    </row>
    <row r="779" spans="2:10" s="27" customFormat="1">
      <c r="B779"/>
      <c r="C779"/>
      <c r="D779"/>
      <c r="E779"/>
      <c r="F779"/>
      <c r="G779"/>
      <c r="H779"/>
      <c r="I779"/>
      <c r="J779"/>
    </row>
    <row r="780" spans="2:10" s="27" customFormat="1">
      <c r="B780"/>
      <c r="C780"/>
      <c r="D780"/>
      <c r="E780"/>
      <c r="F780"/>
      <c r="G780"/>
      <c r="H780"/>
      <c r="I780"/>
      <c r="J780"/>
    </row>
    <row r="781" spans="2:10" s="27" customFormat="1">
      <c r="B781"/>
      <c r="C781"/>
      <c r="D781"/>
      <c r="E781"/>
      <c r="F781"/>
      <c r="G781"/>
      <c r="H781"/>
      <c r="I781"/>
      <c r="J781"/>
    </row>
    <row r="782" spans="2:10" s="27" customFormat="1">
      <c r="B782"/>
      <c r="C782"/>
      <c r="D782"/>
      <c r="E782"/>
      <c r="F782"/>
      <c r="G782"/>
      <c r="H782"/>
      <c r="I782"/>
      <c r="J782"/>
    </row>
    <row r="783" spans="2:10" s="27" customFormat="1">
      <c r="B783"/>
      <c r="C783"/>
      <c r="D783"/>
      <c r="E783"/>
      <c r="F783"/>
      <c r="G783"/>
      <c r="H783"/>
      <c r="I783"/>
      <c r="J783"/>
    </row>
    <row r="784" spans="2:10" s="27" customFormat="1">
      <c r="B784"/>
      <c r="C784"/>
      <c r="D784"/>
      <c r="E784"/>
      <c r="F784"/>
      <c r="G784"/>
      <c r="H784"/>
      <c r="I784"/>
      <c r="J784"/>
    </row>
    <row r="785" spans="2:10" s="27" customFormat="1">
      <c r="B785"/>
      <c r="C785"/>
      <c r="D785"/>
      <c r="E785"/>
      <c r="F785"/>
      <c r="G785"/>
      <c r="H785"/>
      <c r="I785"/>
      <c r="J785"/>
    </row>
    <row r="786" spans="2:10" s="27" customFormat="1">
      <c r="B786"/>
      <c r="C786"/>
      <c r="D786"/>
      <c r="E786"/>
      <c r="F786"/>
      <c r="G786"/>
      <c r="H786"/>
      <c r="I786"/>
      <c r="J786"/>
    </row>
    <row r="787" spans="2:10" s="27" customFormat="1">
      <c r="B787"/>
      <c r="C787"/>
      <c r="D787"/>
      <c r="E787"/>
      <c r="F787"/>
      <c r="G787"/>
      <c r="H787"/>
      <c r="I787"/>
      <c r="J787"/>
    </row>
    <row r="788" spans="2:10" s="27" customFormat="1">
      <c r="B788"/>
      <c r="C788"/>
      <c r="D788"/>
      <c r="E788"/>
      <c r="F788"/>
      <c r="G788"/>
      <c r="H788"/>
      <c r="I788"/>
      <c r="J788"/>
    </row>
    <row r="789" spans="2:10" s="27" customFormat="1">
      <c r="B789"/>
      <c r="C789"/>
      <c r="D789"/>
      <c r="E789"/>
      <c r="F789"/>
      <c r="G789"/>
      <c r="H789"/>
      <c r="I789"/>
      <c r="J789"/>
    </row>
    <row r="790" spans="2:10" s="27" customFormat="1">
      <c r="B790"/>
      <c r="C790"/>
      <c r="D790"/>
      <c r="E790"/>
      <c r="F790"/>
      <c r="G790"/>
      <c r="H790"/>
      <c r="I790"/>
      <c r="J790"/>
    </row>
    <row r="791" spans="2:10" s="27" customFormat="1">
      <c r="B791"/>
      <c r="C791"/>
      <c r="D791"/>
      <c r="E791"/>
      <c r="F791"/>
      <c r="G791"/>
      <c r="H791"/>
      <c r="I791"/>
      <c r="J791"/>
    </row>
    <row r="792" spans="2:10" s="27" customFormat="1">
      <c r="B792"/>
      <c r="C792"/>
      <c r="D792"/>
      <c r="E792"/>
      <c r="F792"/>
      <c r="G792"/>
      <c r="H792"/>
      <c r="I792"/>
      <c r="J792"/>
    </row>
    <row r="793" spans="2:10" s="27" customFormat="1">
      <c r="B793"/>
      <c r="C793"/>
      <c r="D793"/>
      <c r="E793"/>
      <c r="F793"/>
      <c r="G793"/>
      <c r="H793"/>
      <c r="I793"/>
      <c r="J793"/>
    </row>
    <row r="794" spans="2:10" s="27" customFormat="1">
      <c r="B794"/>
      <c r="C794"/>
      <c r="D794"/>
      <c r="E794"/>
      <c r="F794"/>
      <c r="G794"/>
      <c r="H794"/>
      <c r="I794"/>
      <c r="J794"/>
    </row>
    <row r="795" spans="2:10" s="27" customFormat="1">
      <c r="B795"/>
      <c r="C795"/>
      <c r="D795"/>
      <c r="E795"/>
      <c r="F795"/>
      <c r="G795"/>
      <c r="H795"/>
      <c r="I795"/>
      <c r="J795"/>
    </row>
    <row r="796" spans="2:10" s="27" customFormat="1">
      <c r="B796"/>
      <c r="C796"/>
      <c r="D796"/>
      <c r="E796"/>
      <c r="F796"/>
      <c r="G796"/>
      <c r="H796"/>
      <c r="I796"/>
      <c r="J796"/>
    </row>
    <row r="797" spans="2:10" s="27" customFormat="1">
      <c r="B797"/>
      <c r="C797"/>
      <c r="D797"/>
      <c r="E797"/>
      <c r="F797"/>
      <c r="G797"/>
      <c r="H797"/>
      <c r="I797"/>
      <c r="J797"/>
    </row>
    <row r="798" spans="2:10" s="27" customFormat="1">
      <c r="B798"/>
      <c r="C798"/>
      <c r="D798"/>
      <c r="E798"/>
      <c r="F798"/>
      <c r="G798"/>
      <c r="H798"/>
      <c r="I798"/>
      <c r="J798"/>
    </row>
    <row r="799" spans="2:10" s="27" customFormat="1">
      <c r="B799"/>
      <c r="C799"/>
      <c r="D799"/>
      <c r="E799"/>
      <c r="F799"/>
      <c r="G799"/>
      <c r="H799"/>
      <c r="I799"/>
      <c r="J799"/>
    </row>
    <row r="800" spans="2:10" s="27" customFormat="1">
      <c r="B800"/>
      <c r="C800"/>
      <c r="D800"/>
      <c r="E800"/>
      <c r="F800"/>
      <c r="G800"/>
      <c r="H800"/>
      <c r="I800"/>
      <c r="J800"/>
    </row>
    <row r="801" spans="2:10" s="27" customFormat="1">
      <c r="B801"/>
      <c r="C801"/>
      <c r="D801"/>
      <c r="E801"/>
      <c r="F801"/>
      <c r="G801"/>
      <c r="H801"/>
      <c r="I801"/>
      <c r="J801"/>
    </row>
    <row r="802" spans="2:10" s="27" customFormat="1">
      <c r="B802"/>
      <c r="C802"/>
      <c r="D802"/>
      <c r="E802"/>
      <c r="F802"/>
      <c r="G802"/>
      <c r="H802"/>
      <c r="I802"/>
      <c r="J802"/>
    </row>
    <row r="803" spans="2:10" s="27" customFormat="1">
      <c r="B803"/>
      <c r="C803"/>
      <c r="D803"/>
      <c r="E803"/>
      <c r="F803"/>
      <c r="G803"/>
      <c r="H803"/>
      <c r="I803"/>
      <c r="J803"/>
    </row>
    <row r="804" spans="2:10" s="27" customFormat="1">
      <c r="B804"/>
      <c r="C804"/>
      <c r="D804"/>
      <c r="E804"/>
      <c r="F804"/>
      <c r="G804"/>
      <c r="H804"/>
      <c r="I804"/>
      <c r="J804"/>
    </row>
    <row r="805" spans="2:10" s="27" customFormat="1">
      <c r="B805"/>
      <c r="C805"/>
      <c r="D805"/>
      <c r="E805"/>
      <c r="F805"/>
      <c r="G805"/>
      <c r="H805"/>
      <c r="I805"/>
      <c r="J805"/>
    </row>
    <row r="806" spans="2:10" s="27" customFormat="1">
      <c r="B806"/>
      <c r="C806"/>
      <c r="D806"/>
      <c r="E806"/>
      <c r="F806"/>
      <c r="G806"/>
      <c r="H806"/>
      <c r="I806"/>
      <c r="J806"/>
    </row>
    <row r="807" spans="2:10" s="27" customFormat="1">
      <c r="B807"/>
      <c r="C807"/>
      <c r="D807"/>
      <c r="E807"/>
      <c r="F807"/>
      <c r="G807"/>
      <c r="H807"/>
      <c r="I807"/>
      <c r="J807"/>
    </row>
    <row r="808" spans="2:10" s="27" customFormat="1">
      <c r="B808"/>
      <c r="C808"/>
      <c r="D808"/>
      <c r="E808"/>
      <c r="F808"/>
      <c r="G808"/>
      <c r="H808"/>
      <c r="I808"/>
      <c r="J808"/>
    </row>
    <row r="809" spans="2:10" s="27" customFormat="1">
      <c r="B809"/>
      <c r="C809"/>
      <c r="D809"/>
      <c r="E809"/>
      <c r="F809"/>
      <c r="G809"/>
      <c r="H809"/>
      <c r="I809"/>
      <c r="J809"/>
    </row>
    <row r="810" spans="2:10" s="27" customFormat="1">
      <c r="B810"/>
      <c r="C810"/>
      <c r="D810"/>
      <c r="E810"/>
      <c r="F810"/>
      <c r="G810"/>
      <c r="H810"/>
      <c r="I810"/>
      <c r="J810"/>
    </row>
    <row r="811" spans="2:10" s="27" customFormat="1">
      <c r="B811"/>
      <c r="C811"/>
      <c r="D811"/>
      <c r="E811"/>
      <c r="F811"/>
      <c r="G811"/>
      <c r="H811"/>
      <c r="I811"/>
      <c r="J811"/>
    </row>
    <row r="812" spans="2:10" s="27" customFormat="1">
      <c r="B812"/>
      <c r="C812"/>
      <c r="D812"/>
      <c r="E812"/>
      <c r="F812"/>
      <c r="G812"/>
      <c r="H812"/>
      <c r="I812"/>
      <c r="J812"/>
    </row>
    <row r="813" spans="2:10" s="27" customFormat="1">
      <c r="B813"/>
      <c r="C813"/>
      <c r="D813"/>
      <c r="E813"/>
      <c r="F813"/>
      <c r="G813"/>
      <c r="H813"/>
      <c r="I813"/>
      <c r="J813"/>
    </row>
    <row r="814" spans="2:10" s="27" customFormat="1">
      <c r="B814"/>
      <c r="C814"/>
      <c r="D814"/>
      <c r="E814"/>
      <c r="F814"/>
      <c r="G814"/>
      <c r="H814"/>
      <c r="I814"/>
      <c r="J814"/>
    </row>
    <row r="815" spans="2:10" s="27" customFormat="1">
      <c r="B815"/>
      <c r="C815"/>
      <c r="D815"/>
      <c r="E815"/>
      <c r="F815"/>
      <c r="G815"/>
      <c r="H815"/>
      <c r="I815"/>
      <c r="J815"/>
    </row>
    <row r="816" spans="2:10" s="27" customFormat="1">
      <c r="B816"/>
      <c r="C816"/>
      <c r="D816"/>
      <c r="E816"/>
      <c r="F816"/>
      <c r="G816"/>
      <c r="H816"/>
      <c r="I816"/>
      <c r="J816"/>
    </row>
    <row r="817" spans="2:10" s="27" customFormat="1">
      <c r="B817"/>
      <c r="C817"/>
      <c r="D817"/>
      <c r="E817"/>
      <c r="F817"/>
      <c r="G817"/>
      <c r="H817"/>
      <c r="I817"/>
      <c r="J817"/>
    </row>
    <row r="818" spans="2:10" s="27" customFormat="1">
      <c r="B818"/>
      <c r="C818"/>
      <c r="D818"/>
      <c r="E818"/>
      <c r="F818"/>
      <c r="G818"/>
      <c r="H818"/>
      <c r="I818"/>
      <c r="J818"/>
    </row>
    <row r="819" spans="2:10" s="27" customFormat="1">
      <c r="B819"/>
      <c r="C819"/>
      <c r="D819"/>
      <c r="E819"/>
      <c r="F819"/>
      <c r="G819"/>
      <c r="H819"/>
      <c r="I819"/>
      <c r="J819"/>
    </row>
    <row r="820" spans="2:10" s="27" customFormat="1">
      <c r="B820"/>
      <c r="C820"/>
      <c r="D820"/>
      <c r="E820"/>
      <c r="F820"/>
      <c r="G820"/>
      <c r="H820"/>
      <c r="I820"/>
      <c r="J820"/>
    </row>
    <row r="821" spans="2:10" s="27" customFormat="1">
      <c r="B821"/>
      <c r="C821"/>
      <c r="D821"/>
      <c r="E821"/>
      <c r="F821"/>
      <c r="G821"/>
      <c r="H821"/>
      <c r="I821"/>
      <c r="J821"/>
    </row>
    <row r="822" spans="2:10" s="27" customFormat="1">
      <c r="B822"/>
      <c r="C822"/>
      <c r="D822"/>
      <c r="E822"/>
      <c r="F822"/>
      <c r="G822"/>
      <c r="H822"/>
      <c r="I822"/>
      <c r="J822"/>
    </row>
    <row r="823" spans="2:10" s="27" customFormat="1">
      <c r="B823"/>
      <c r="C823"/>
      <c r="D823"/>
      <c r="E823"/>
      <c r="F823"/>
      <c r="G823"/>
      <c r="H823"/>
      <c r="I823"/>
      <c r="J823"/>
    </row>
    <row r="824" spans="2:10" s="27" customFormat="1">
      <c r="B824"/>
      <c r="C824"/>
      <c r="D824"/>
      <c r="E824"/>
      <c r="F824"/>
      <c r="G824"/>
      <c r="H824"/>
      <c r="I824"/>
      <c r="J824"/>
    </row>
    <row r="825" spans="2:10" s="27" customFormat="1">
      <c r="B825"/>
      <c r="C825"/>
      <c r="D825"/>
      <c r="E825"/>
      <c r="F825"/>
      <c r="G825"/>
      <c r="H825"/>
      <c r="I825"/>
      <c r="J825"/>
    </row>
    <row r="826" spans="2:10" s="27" customFormat="1">
      <c r="B826"/>
      <c r="C826"/>
      <c r="D826"/>
      <c r="E826"/>
      <c r="F826"/>
      <c r="G826"/>
      <c r="H826"/>
      <c r="I826"/>
      <c r="J826"/>
    </row>
    <row r="827" spans="2:10" s="27" customFormat="1">
      <c r="B827"/>
      <c r="C827"/>
      <c r="D827"/>
      <c r="E827"/>
      <c r="F827"/>
      <c r="G827"/>
      <c r="H827"/>
      <c r="I827"/>
      <c r="J827"/>
    </row>
    <row r="828" spans="2:10" s="27" customFormat="1">
      <c r="B828"/>
      <c r="C828"/>
      <c r="D828"/>
      <c r="E828"/>
      <c r="F828"/>
      <c r="G828"/>
      <c r="H828"/>
      <c r="I828"/>
      <c r="J828"/>
    </row>
    <row r="829" spans="2:10" s="27" customFormat="1">
      <c r="B829"/>
      <c r="C829"/>
      <c r="D829"/>
      <c r="E829"/>
      <c r="F829"/>
      <c r="G829"/>
      <c r="H829"/>
      <c r="I829"/>
      <c r="J829"/>
    </row>
    <row r="830" spans="2:10" s="27" customFormat="1">
      <c r="B830"/>
      <c r="C830"/>
      <c r="D830"/>
      <c r="E830"/>
      <c r="F830"/>
      <c r="G830"/>
      <c r="H830"/>
      <c r="I830"/>
      <c r="J830"/>
    </row>
    <row r="831" spans="2:10" s="27" customFormat="1">
      <c r="B831"/>
      <c r="C831"/>
      <c r="D831"/>
      <c r="E831"/>
      <c r="F831"/>
      <c r="G831"/>
      <c r="H831"/>
      <c r="I831"/>
      <c r="J831"/>
    </row>
    <row r="832" spans="2:10" s="27" customFormat="1">
      <c r="B832"/>
      <c r="C832"/>
      <c r="D832"/>
      <c r="E832"/>
      <c r="F832"/>
      <c r="G832"/>
      <c r="H832"/>
      <c r="I832"/>
      <c r="J832"/>
    </row>
    <row r="833" spans="2:10" s="27" customFormat="1">
      <c r="B833"/>
      <c r="C833"/>
      <c r="D833"/>
      <c r="E833"/>
      <c r="F833"/>
      <c r="G833"/>
      <c r="H833"/>
      <c r="I833"/>
      <c r="J833"/>
    </row>
    <row r="834" spans="2:10" s="27" customFormat="1">
      <c r="B834"/>
      <c r="C834"/>
      <c r="D834"/>
      <c r="E834"/>
      <c r="F834"/>
      <c r="G834"/>
      <c r="H834"/>
      <c r="I834"/>
      <c r="J834"/>
    </row>
    <row r="835" spans="2:10" s="27" customFormat="1">
      <c r="B835"/>
      <c r="C835"/>
      <c r="D835"/>
      <c r="E835"/>
      <c r="F835"/>
      <c r="G835"/>
      <c r="H835"/>
      <c r="I835"/>
      <c r="J835"/>
    </row>
    <row r="836" spans="2:10" s="27" customFormat="1">
      <c r="B836"/>
      <c r="C836"/>
      <c r="D836"/>
      <c r="E836"/>
      <c r="F836"/>
      <c r="G836"/>
      <c r="H836"/>
      <c r="I836"/>
      <c r="J836"/>
    </row>
    <row r="837" spans="2:10" s="27" customFormat="1">
      <c r="B837"/>
      <c r="C837"/>
      <c r="D837"/>
      <c r="E837"/>
      <c r="F837"/>
      <c r="G837"/>
      <c r="H837"/>
      <c r="I837"/>
      <c r="J837"/>
    </row>
    <row r="838" spans="2:10" s="27" customFormat="1">
      <c r="B838"/>
      <c r="C838"/>
      <c r="D838"/>
      <c r="E838"/>
      <c r="F838"/>
      <c r="G838"/>
      <c r="H838"/>
      <c r="I838"/>
      <c r="J838"/>
    </row>
    <row r="839" spans="2:10" s="27" customFormat="1">
      <c r="B839"/>
      <c r="C839"/>
      <c r="D839"/>
      <c r="E839"/>
      <c r="F839"/>
      <c r="G839"/>
      <c r="H839"/>
      <c r="I839"/>
      <c r="J839"/>
    </row>
    <row r="840" spans="2:10" s="27" customFormat="1">
      <c r="B840"/>
      <c r="C840"/>
      <c r="D840"/>
      <c r="E840"/>
      <c r="F840"/>
      <c r="G840"/>
      <c r="H840"/>
      <c r="I840"/>
      <c r="J840"/>
    </row>
    <row r="841" spans="2:10" s="27" customFormat="1">
      <c r="B841"/>
      <c r="C841"/>
      <c r="D841"/>
      <c r="E841"/>
      <c r="F841"/>
      <c r="G841"/>
      <c r="H841"/>
      <c r="I841"/>
      <c r="J841"/>
    </row>
    <row r="842" spans="2:10" s="27" customFormat="1">
      <c r="B842"/>
      <c r="C842"/>
      <c r="D842"/>
      <c r="E842"/>
      <c r="F842"/>
      <c r="G842"/>
      <c r="H842"/>
      <c r="I842"/>
      <c r="J842"/>
    </row>
    <row r="843" spans="2:10" s="27" customFormat="1">
      <c r="B843"/>
      <c r="C843"/>
      <c r="D843"/>
      <c r="E843"/>
      <c r="F843"/>
      <c r="G843"/>
      <c r="H843"/>
      <c r="I843"/>
      <c r="J843"/>
    </row>
    <row r="844" spans="2:10" s="27" customFormat="1">
      <c r="B844"/>
      <c r="C844"/>
      <c r="D844"/>
      <c r="E844"/>
      <c r="F844"/>
      <c r="G844"/>
      <c r="H844"/>
      <c r="I844"/>
      <c r="J844"/>
    </row>
    <row r="845" spans="2:10" s="27" customFormat="1">
      <c r="B845"/>
      <c r="C845"/>
      <c r="D845"/>
      <c r="E845"/>
      <c r="F845"/>
      <c r="G845"/>
      <c r="H845"/>
      <c r="I845"/>
      <c r="J845"/>
    </row>
    <row r="846" spans="2:10" s="27" customFormat="1">
      <c r="B846"/>
      <c r="C846"/>
      <c r="D846"/>
      <c r="E846"/>
      <c r="F846"/>
      <c r="G846"/>
      <c r="H846"/>
      <c r="I846"/>
      <c r="J846"/>
    </row>
    <row r="847" spans="2:10" s="27" customFormat="1">
      <c r="B847"/>
      <c r="C847"/>
      <c r="D847"/>
      <c r="E847"/>
      <c r="F847"/>
      <c r="G847"/>
      <c r="H847"/>
      <c r="I847"/>
      <c r="J847"/>
    </row>
    <row r="848" spans="2:10" s="27" customFormat="1">
      <c r="B848"/>
      <c r="C848"/>
      <c r="D848"/>
      <c r="E848"/>
      <c r="F848"/>
      <c r="G848"/>
      <c r="H848"/>
      <c r="I848"/>
      <c r="J848"/>
    </row>
    <row r="849" spans="2:10" s="27" customFormat="1">
      <c r="B849"/>
      <c r="C849"/>
      <c r="D849"/>
      <c r="E849"/>
      <c r="F849"/>
      <c r="G849"/>
      <c r="H849"/>
      <c r="I849"/>
      <c r="J849"/>
    </row>
    <row r="850" spans="2:10" s="27" customFormat="1">
      <c r="B850"/>
      <c r="C850"/>
      <c r="D850"/>
      <c r="E850"/>
      <c r="F850"/>
      <c r="G850"/>
      <c r="H850"/>
      <c r="I850"/>
      <c r="J850"/>
    </row>
    <row r="851" spans="2:10" s="27" customFormat="1">
      <c r="B851"/>
      <c r="C851"/>
      <c r="D851"/>
      <c r="E851"/>
      <c r="F851"/>
      <c r="G851"/>
      <c r="H851"/>
      <c r="I851"/>
      <c r="J851"/>
    </row>
    <row r="852" spans="2:10" s="27" customFormat="1">
      <c r="B852"/>
      <c r="C852"/>
      <c r="D852"/>
      <c r="E852"/>
      <c r="F852"/>
      <c r="G852"/>
      <c r="H852"/>
      <c r="I852"/>
      <c r="J852"/>
    </row>
    <row r="853" spans="2:10" s="27" customFormat="1">
      <c r="B853"/>
      <c r="C853"/>
      <c r="D853"/>
      <c r="E853"/>
      <c r="F853"/>
      <c r="G853"/>
      <c r="H853"/>
      <c r="I853"/>
      <c r="J853"/>
    </row>
    <row r="854" spans="2:10" s="27" customFormat="1">
      <c r="B854"/>
      <c r="C854"/>
      <c r="D854"/>
      <c r="E854"/>
      <c r="F854"/>
      <c r="G854"/>
      <c r="H854"/>
      <c r="I854"/>
      <c r="J854"/>
    </row>
    <row r="855" spans="2:10" s="27" customFormat="1">
      <c r="B855"/>
      <c r="C855"/>
      <c r="D855"/>
      <c r="E855"/>
      <c r="F855"/>
      <c r="G855"/>
      <c r="H855"/>
      <c r="I855"/>
      <c r="J855"/>
    </row>
    <row r="856" spans="2:10" s="27" customFormat="1">
      <c r="B856"/>
      <c r="C856"/>
      <c r="D856"/>
      <c r="E856"/>
      <c r="F856"/>
      <c r="G856"/>
      <c r="H856"/>
      <c r="I856"/>
      <c r="J856"/>
    </row>
    <row r="857" spans="2:10" s="27" customFormat="1">
      <c r="B857"/>
      <c r="C857"/>
      <c r="D857"/>
      <c r="E857"/>
      <c r="F857"/>
      <c r="G857"/>
      <c r="H857"/>
      <c r="I857"/>
      <c r="J857"/>
    </row>
    <row r="858" spans="2:10" s="27" customFormat="1">
      <c r="B858"/>
      <c r="C858"/>
      <c r="D858"/>
      <c r="E858"/>
      <c r="F858"/>
      <c r="G858"/>
      <c r="H858"/>
      <c r="I858"/>
      <c r="J858"/>
    </row>
    <row r="859" spans="2:10" s="27" customFormat="1">
      <c r="B859"/>
      <c r="C859"/>
      <c r="D859"/>
      <c r="E859"/>
      <c r="F859"/>
      <c r="G859"/>
      <c r="H859"/>
      <c r="I859"/>
      <c r="J859"/>
    </row>
    <row r="860" spans="2:10" s="27" customFormat="1">
      <c r="B860"/>
      <c r="C860"/>
      <c r="D860"/>
      <c r="E860"/>
      <c r="F860"/>
      <c r="G860"/>
      <c r="H860"/>
      <c r="I860"/>
      <c r="J860"/>
    </row>
    <row r="861" spans="2:10" s="27" customFormat="1">
      <c r="B861"/>
      <c r="C861"/>
      <c r="D861"/>
      <c r="E861"/>
      <c r="F861"/>
      <c r="G861"/>
      <c r="H861"/>
      <c r="I861"/>
      <c r="J861"/>
    </row>
    <row r="862" spans="2:10" s="27" customFormat="1">
      <c r="B862"/>
      <c r="C862"/>
      <c r="D862"/>
      <c r="E862"/>
      <c r="F862"/>
      <c r="G862"/>
      <c r="H862"/>
      <c r="I862"/>
      <c r="J862"/>
    </row>
    <row r="863" spans="2:10" s="27" customFormat="1">
      <c r="B863"/>
      <c r="C863"/>
      <c r="D863"/>
      <c r="E863"/>
      <c r="F863"/>
      <c r="G863"/>
      <c r="H863"/>
      <c r="I863"/>
      <c r="J863"/>
    </row>
    <row r="864" spans="2:10" s="27" customFormat="1">
      <c r="B864"/>
      <c r="C864"/>
      <c r="D864"/>
      <c r="E864"/>
      <c r="F864"/>
      <c r="G864"/>
      <c r="H864"/>
      <c r="I864"/>
      <c r="J864"/>
    </row>
    <row r="865" spans="2:10" s="27" customFormat="1">
      <c r="B865"/>
      <c r="C865"/>
      <c r="D865"/>
      <c r="E865"/>
      <c r="F865"/>
      <c r="G865"/>
      <c r="H865"/>
      <c r="I865"/>
      <c r="J865"/>
    </row>
    <row r="866" spans="2:10" s="27" customFormat="1">
      <c r="B866"/>
      <c r="C866"/>
      <c r="D866"/>
      <c r="E866"/>
      <c r="F866"/>
      <c r="G866"/>
      <c r="H866"/>
      <c r="I866"/>
      <c r="J866"/>
    </row>
    <row r="867" spans="2:10" s="27" customFormat="1">
      <c r="B867"/>
      <c r="C867"/>
      <c r="D867"/>
      <c r="E867"/>
      <c r="F867"/>
      <c r="G867"/>
      <c r="H867"/>
      <c r="I867"/>
      <c r="J867"/>
    </row>
    <row r="868" spans="2:10" s="27" customFormat="1">
      <c r="B868"/>
      <c r="C868"/>
      <c r="D868"/>
      <c r="E868"/>
      <c r="F868"/>
      <c r="G868"/>
      <c r="H868"/>
      <c r="I868"/>
      <c r="J868"/>
    </row>
    <row r="869" spans="2:10" s="27" customFormat="1">
      <c r="B869"/>
      <c r="C869"/>
      <c r="D869"/>
      <c r="E869"/>
      <c r="F869"/>
      <c r="G869"/>
      <c r="H869"/>
      <c r="I869"/>
      <c r="J869"/>
    </row>
    <row r="870" spans="2:10" s="27" customFormat="1">
      <c r="B870"/>
      <c r="C870"/>
      <c r="D870"/>
      <c r="E870"/>
      <c r="F870"/>
      <c r="G870"/>
      <c r="H870"/>
      <c r="I870"/>
      <c r="J870"/>
    </row>
    <row r="871" spans="2:10" s="27" customFormat="1">
      <c r="B871"/>
      <c r="C871"/>
      <c r="D871"/>
      <c r="E871"/>
      <c r="F871"/>
      <c r="G871"/>
      <c r="H871"/>
      <c r="I871"/>
      <c r="J871"/>
    </row>
    <row r="872" spans="2:10" s="27" customFormat="1">
      <c r="B872"/>
      <c r="C872"/>
      <c r="D872"/>
      <c r="E872"/>
      <c r="F872"/>
      <c r="G872"/>
      <c r="H872"/>
      <c r="I872"/>
      <c r="J872"/>
    </row>
    <row r="873" spans="2:10" s="27" customFormat="1">
      <c r="B873"/>
      <c r="C873"/>
      <c r="D873"/>
      <c r="E873"/>
      <c r="F873"/>
      <c r="G873"/>
      <c r="H873"/>
      <c r="I873"/>
      <c r="J873"/>
    </row>
    <row r="874" spans="2:10" s="27" customFormat="1">
      <c r="B874"/>
      <c r="C874"/>
      <c r="D874"/>
      <c r="E874"/>
      <c r="F874"/>
      <c r="G874"/>
      <c r="H874"/>
      <c r="I874"/>
      <c r="J874"/>
    </row>
    <row r="875" spans="2:10" s="27" customFormat="1">
      <c r="B875"/>
      <c r="C875"/>
      <c r="D875"/>
      <c r="E875"/>
      <c r="F875"/>
      <c r="G875"/>
      <c r="H875"/>
      <c r="I875"/>
      <c r="J875"/>
    </row>
    <row r="876" spans="2:10" s="27" customFormat="1">
      <c r="B876"/>
      <c r="C876"/>
      <c r="D876"/>
      <c r="E876"/>
      <c r="F876"/>
      <c r="G876"/>
      <c r="H876"/>
      <c r="I876"/>
      <c r="J876"/>
    </row>
    <row r="877" spans="2:10" s="27" customFormat="1">
      <c r="B877"/>
      <c r="C877"/>
      <c r="D877"/>
      <c r="E877"/>
      <c r="F877"/>
      <c r="G877"/>
      <c r="H877"/>
      <c r="I877"/>
      <c r="J877"/>
    </row>
    <row r="878" spans="2:10" s="27" customFormat="1">
      <c r="B878"/>
      <c r="C878"/>
      <c r="D878"/>
      <c r="E878"/>
      <c r="F878"/>
      <c r="G878"/>
      <c r="H878"/>
      <c r="I878"/>
      <c r="J878"/>
    </row>
    <row r="879" spans="2:10" s="27" customFormat="1">
      <c r="B879"/>
      <c r="C879"/>
      <c r="D879"/>
      <c r="E879"/>
      <c r="F879"/>
      <c r="G879"/>
      <c r="H879"/>
      <c r="I879"/>
      <c r="J879"/>
    </row>
    <row r="880" spans="2:10" s="27" customFormat="1">
      <c r="B880"/>
      <c r="C880"/>
      <c r="D880"/>
      <c r="E880"/>
      <c r="F880"/>
      <c r="G880"/>
      <c r="H880"/>
      <c r="I880"/>
      <c r="J880"/>
    </row>
    <row r="881" spans="2:10" s="27" customFormat="1">
      <c r="B881"/>
      <c r="C881"/>
      <c r="D881"/>
      <c r="E881"/>
      <c r="F881"/>
      <c r="G881"/>
      <c r="H881"/>
      <c r="I881"/>
      <c r="J881"/>
    </row>
    <row r="882" spans="2:10" s="27" customFormat="1">
      <c r="B882"/>
      <c r="C882"/>
      <c r="D882"/>
      <c r="E882"/>
      <c r="F882"/>
      <c r="G882"/>
      <c r="H882"/>
      <c r="I882"/>
      <c r="J882"/>
    </row>
    <row r="883" spans="2:10" s="27" customFormat="1">
      <c r="B883"/>
      <c r="C883"/>
      <c r="D883"/>
      <c r="E883"/>
      <c r="F883"/>
      <c r="G883"/>
      <c r="H883"/>
      <c r="I883"/>
      <c r="J883"/>
    </row>
    <row r="884" spans="2:10" s="27" customFormat="1">
      <c r="B884"/>
      <c r="C884"/>
      <c r="D884"/>
      <c r="E884"/>
      <c r="F884"/>
      <c r="G884"/>
      <c r="H884"/>
      <c r="I884"/>
      <c r="J884"/>
    </row>
    <row r="885" spans="2:10" s="27" customFormat="1">
      <c r="B885"/>
      <c r="C885"/>
      <c r="D885"/>
      <c r="E885"/>
      <c r="F885"/>
      <c r="G885"/>
      <c r="H885"/>
      <c r="I885"/>
      <c r="J885"/>
    </row>
    <row r="886" spans="2:10" s="27" customFormat="1">
      <c r="B886"/>
      <c r="C886"/>
      <c r="D886"/>
      <c r="E886"/>
      <c r="F886"/>
      <c r="G886"/>
      <c r="H886"/>
      <c r="I886"/>
      <c r="J886"/>
    </row>
    <row r="887" spans="2:10" s="27" customFormat="1">
      <c r="B887"/>
      <c r="C887"/>
      <c r="D887"/>
      <c r="E887"/>
      <c r="F887"/>
      <c r="G887"/>
      <c r="H887"/>
      <c r="I887"/>
      <c r="J887"/>
    </row>
    <row r="888" spans="2:10" s="27" customFormat="1">
      <c r="B888"/>
      <c r="C888"/>
      <c r="D888"/>
      <c r="E888"/>
      <c r="F888"/>
      <c r="G888"/>
      <c r="H888"/>
      <c r="I888"/>
      <c r="J888"/>
    </row>
    <row r="889" spans="2:10" s="27" customFormat="1">
      <c r="B889"/>
      <c r="C889"/>
      <c r="D889"/>
      <c r="E889"/>
      <c r="F889"/>
      <c r="G889"/>
      <c r="H889"/>
      <c r="I889"/>
      <c r="J889"/>
    </row>
    <row r="890" spans="2:10" s="27" customFormat="1">
      <c r="B890"/>
      <c r="C890"/>
      <c r="D890"/>
      <c r="E890"/>
      <c r="F890"/>
      <c r="G890"/>
      <c r="H890"/>
      <c r="I890"/>
      <c r="J890"/>
    </row>
    <row r="891" spans="2:10" s="27" customFormat="1">
      <c r="B891"/>
      <c r="C891"/>
      <c r="D891"/>
      <c r="E891"/>
      <c r="F891"/>
      <c r="G891"/>
      <c r="H891"/>
      <c r="I891"/>
      <c r="J891"/>
    </row>
    <row r="892" spans="2:10" s="27" customFormat="1">
      <c r="B892"/>
      <c r="C892"/>
      <c r="D892"/>
      <c r="E892"/>
      <c r="F892"/>
      <c r="G892"/>
      <c r="H892"/>
      <c r="I892"/>
      <c r="J892"/>
    </row>
    <row r="893" spans="2:10" s="27" customFormat="1">
      <c r="B893"/>
      <c r="C893"/>
      <c r="D893"/>
      <c r="E893"/>
      <c r="F893"/>
      <c r="G893"/>
      <c r="H893"/>
      <c r="I893"/>
      <c r="J893"/>
    </row>
    <row r="894" spans="2:10" s="27" customFormat="1">
      <c r="B894"/>
      <c r="C894"/>
      <c r="D894"/>
      <c r="E894"/>
      <c r="F894"/>
      <c r="G894"/>
      <c r="H894"/>
      <c r="I894"/>
      <c r="J894"/>
    </row>
    <row r="895" spans="2:10" s="27" customFormat="1">
      <c r="B895"/>
      <c r="C895"/>
      <c r="D895"/>
      <c r="E895"/>
      <c r="F895"/>
      <c r="G895"/>
      <c r="H895"/>
      <c r="I895"/>
      <c r="J895"/>
    </row>
    <row r="896" spans="2:10" s="27" customFormat="1">
      <c r="B896"/>
      <c r="C896"/>
      <c r="D896"/>
      <c r="E896"/>
      <c r="F896"/>
      <c r="G896"/>
      <c r="H896"/>
      <c r="I896"/>
      <c r="J896"/>
    </row>
    <row r="897" spans="2:10" s="27" customFormat="1">
      <c r="B897"/>
      <c r="C897"/>
      <c r="D897"/>
      <c r="E897"/>
      <c r="F897"/>
      <c r="G897"/>
      <c r="H897"/>
      <c r="I897"/>
      <c r="J897"/>
    </row>
    <row r="898" spans="2:10" s="27" customFormat="1">
      <c r="B898"/>
      <c r="C898"/>
      <c r="D898"/>
      <c r="E898"/>
      <c r="F898"/>
      <c r="G898"/>
      <c r="H898"/>
      <c r="I898"/>
      <c r="J898"/>
    </row>
    <row r="899" spans="2:10" s="27" customFormat="1">
      <c r="B899"/>
      <c r="C899"/>
      <c r="D899"/>
      <c r="E899"/>
      <c r="F899"/>
      <c r="G899"/>
      <c r="H899"/>
      <c r="I899"/>
      <c r="J899"/>
    </row>
    <row r="900" spans="2:10" s="27" customFormat="1">
      <c r="B900"/>
      <c r="C900"/>
      <c r="D900"/>
      <c r="E900"/>
      <c r="F900"/>
      <c r="G900"/>
      <c r="H900"/>
      <c r="I900"/>
      <c r="J900"/>
    </row>
    <row r="901" spans="2:10" s="27" customFormat="1">
      <c r="B901"/>
      <c r="C901"/>
      <c r="D901"/>
      <c r="E901"/>
      <c r="F901"/>
      <c r="G901"/>
      <c r="H901"/>
      <c r="I901"/>
      <c r="J901"/>
    </row>
    <row r="902" spans="2:10" s="27" customFormat="1">
      <c r="B902"/>
      <c r="C902"/>
      <c r="D902"/>
      <c r="E902"/>
      <c r="F902"/>
      <c r="G902"/>
      <c r="H902"/>
      <c r="I902"/>
      <c r="J902"/>
    </row>
    <row r="903" spans="2:10" s="27" customFormat="1">
      <c r="B903"/>
      <c r="C903"/>
      <c r="D903"/>
      <c r="E903"/>
      <c r="F903"/>
      <c r="G903"/>
      <c r="H903"/>
      <c r="I903"/>
      <c r="J903"/>
    </row>
    <row r="904" spans="2:10" s="27" customFormat="1">
      <c r="B904"/>
      <c r="C904"/>
      <c r="D904"/>
      <c r="E904"/>
      <c r="F904"/>
      <c r="G904"/>
      <c r="H904"/>
      <c r="I904"/>
      <c r="J904"/>
    </row>
    <row r="905" spans="2:10" s="27" customFormat="1">
      <c r="B905"/>
      <c r="C905"/>
      <c r="D905"/>
      <c r="E905"/>
      <c r="F905"/>
      <c r="G905"/>
      <c r="H905"/>
      <c r="I905"/>
      <c r="J905"/>
    </row>
    <row r="906" spans="2:10" s="27" customFormat="1">
      <c r="B906"/>
      <c r="C906"/>
      <c r="D906"/>
      <c r="E906"/>
      <c r="F906"/>
      <c r="G906"/>
      <c r="H906"/>
      <c r="I906"/>
      <c r="J906"/>
    </row>
    <row r="907" spans="2:10" s="27" customFormat="1">
      <c r="B907"/>
      <c r="C907"/>
      <c r="D907"/>
      <c r="E907"/>
      <c r="F907"/>
      <c r="G907"/>
      <c r="H907"/>
      <c r="I907"/>
      <c r="J907"/>
    </row>
    <row r="908" spans="2:10" s="27" customFormat="1">
      <c r="B908"/>
      <c r="C908"/>
      <c r="D908"/>
      <c r="E908"/>
      <c r="F908"/>
      <c r="G908"/>
      <c r="H908"/>
      <c r="I908"/>
      <c r="J908"/>
    </row>
    <row r="909" spans="2:10" s="27" customFormat="1">
      <c r="B909"/>
      <c r="C909"/>
      <c r="D909"/>
      <c r="E909"/>
      <c r="F909"/>
      <c r="G909"/>
      <c r="H909"/>
      <c r="I909"/>
      <c r="J909"/>
    </row>
    <row r="910" spans="2:10" s="27" customFormat="1">
      <c r="B910"/>
      <c r="C910"/>
      <c r="D910"/>
      <c r="E910"/>
      <c r="F910"/>
      <c r="G910"/>
      <c r="H910"/>
      <c r="I910"/>
      <c r="J910"/>
    </row>
    <row r="911" spans="2:10" s="27" customFormat="1">
      <c r="B911"/>
      <c r="C911"/>
      <c r="D911"/>
      <c r="E911"/>
      <c r="F911"/>
      <c r="G911"/>
      <c r="H911"/>
      <c r="I911"/>
      <c r="J911"/>
    </row>
    <row r="912" spans="2:10" s="27" customFormat="1">
      <c r="B912"/>
      <c r="C912"/>
      <c r="D912"/>
      <c r="E912"/>
      <c r="F912"/>
      <c r="G912"/>
      <c r="H912"/>
      <c r="I912"/>
      <c r="J912"/>
    </row>
    <row r="913" spans="2:10" s="27" customFormat="1">
      <c r="B913"/>
      <c r="C913"/>
      <c r="D913"/>
      <c r="E913"/>
      <c r="F913"/>
      <c r="G913"/>
      <c r="H913"/>
      <c r="I913"/>
      <c r="J913"/>
    </row>
    <row r="914" spans="2:10" s="27" customFormat="1">
      <c r="B914"/>
      <c r="C914"/>
      <c r="D914"/>
      <c r="E914"/>
      <c r="F914"/>
      <c r="G914"/>
      <c r="H914"/>
      <c r="I914"/>
      <c r="J914"/>
    </row>
    <row r="915" spans="2:10" s="27" customFormat="1">
      <c r="B915"/>
      <c r="C915"/>
      <c r="D915"/>
      <c r="E915"/>
      <c r="F915"/>
      <c r="G915"/>
      <c r="H915"/>
      <c r="I915"/>
      <c r="J915"/>
    </row>
    <row r="916" spans="2:10" s="27" customFormat="1">
      <c r="B916"/>
      <c r="C916"/>
      <c r="D916"/>
      <c r="E916"/>
      <c r="F916"/>
      <c r="G916"/>
      <c r="H916"/>
      <c r="I916"/>
      <c r="J916"/>
    </row>
    <row r="917" spans="2:10" s="27" customFormat="1">
      <c r="B917"/>
      <c r="C917"/>
      <c r="D917"/>
      <c r="E917"/>
      <c r="F917"/>
      <c r="G917"/>
      <c r="H917"/>
      <c r="I917"/>
      <c r="J917"/>
    </row>
    <row r="918" spans="2:10" s="27" customFormat="1">
      <c r="B918"/>
      <c r="C918"/>
      <c r="D918"/>
      <c r="E918"/>
      <c r="F918"/>
      <c r="G918"/>
      <c r="H918"/>
      <c r="I918"/>
      <c r="J918"/>
    </row>
    <row r="919" spans="2:10" s="27" customFormat="1">
      <c r="B919"/>
      <c r="C919"/>
      <c r="D919"/>
      <c r="E919"/>
      <c r="F919"/>
      <c r="G919"/>
      <c r="H919"/>
      <c r="I919"/>
      <c r="J919"/>
    </row>
    <row r="920" spans="2:10" s="27" customFormat="1">
      <c r="B920"/>
      <c r="C920"/>
      <c r="D920"/>
      <c r="E920"/>
      <c r="F920"/>
      <c r="G920"/>
      <c r="H920"/>
      <c r="I920"/>
      <c r="J920"/>
    </row>
    <row r="921" spans="2:10" s="27" customFormat="1">
      <c r="B921"/>
      <c r="C921"/>
      <c r="D921"/>
      <c r="E921"/>
      <c r="F921"/>
      <c r="G921"/>
      <c r="H921"/>
      <c r="I921"/>
      <c r="J921"/>
    </row>
    <row r="922" spans="2:10" s="27" customFormat="1">
      <c r="B922"/>
      <c r="C922"/>
      <c r="D922"/>
      <c r="E922"/>
      <c r="F922"/>
      <c r="G922"/>
      <c r="H922"/>
      <c r="I922"/>
      <c r="J922"/>
    </row>
    <row r="923" spans="2:10" s="27" customFormat="1">
      <c r="B923"/>
      <c r="C923"/>
      <c r="D923"/>
      <c r="E923"/>
      <c r="F923"/>
      <c r="G923"/>
      <c r="H923"/>
      <c r="I923"/>
      <c r="J923"/>
    </row>
    <row r="924" spans="2:10" s="27" customFormat="1">
      <c r="B924"/>
      <c r="C924"/>
      <c r="D924"/>
      <c r="E924"/>
      <c r="F924"/>
      <c r="G924"/>
      <c r="H924"/>
      <c r="I924"/>
      <c r="J924"/>
    </row>
    <row r="925" spans="2:10" s="27" customFormat="1">
      <c r="B925"/>
      <c r="C925"/>
      <c r="D925"/>
      <c r="E925"/>
      <c r="F925"/>
      <c r="G925"/>
      <c r="H925"/>
      <c r="I925"/>
      <c r="J925"/>
    </row>
    <row r="926" spans="2:10" s="27" customFormat="1">
      <c r="B926"/>
      <c r="C926"/>
      <c r="D926"/>
      <c r="E926"/>
      <c r="F926"/>
      <c r="G926"/>
      <c r="H926"/>
      <c r="I926"/>
      <c r="J926"/>
    </row>
    <row r="927" spans="2:10" s="27" customFormat="1">
      <c r="B927"/>
      <c r="C927"/>
      <c r="D927"/>
      <c r="E927"/>
      <c r="F927"/>
      <c r="G927"/>
      <c r="H927"/>
      <c r="I927"/>
      <c r="J927"/>
    </row>
    <row r="928" spans="2:10" s="27" customFormat="1">
      <c r="B928"/>
      <c r="C928"/>
      <c r="D928"/>
      <c r="E928"/>
      <c r="F928"/>
      <c r="G928"/>
      <c r="H928"/>
      <c r="I928"/>
      <c r="J928"/>
    </row>
    <row r="929" spans="2:10" s="27" customFormat="1">
      <c r="B929"/>
      <c r="C929"/>
      <c r="D929"/>
      <c r="E929"/>
      <c r="F929"/>
      <c r="G929"/>
      <c r="H929"/>
      <c r="I929"/>
      <c r="J929"/>
    </row>
    <row r="930" spans="2:10" s="27" customFormat="1">
      <c r="B930"/>
      <c r="C930"/>
      <c r="D930"/>
      <c r="E930"/>
      <c r="F930"/>
      <c r="G930"/>
      <c r="H930"/>
      <c r="I930"/>
      <c r="J930"/>
    </row>
    <row r="931" spans="2:10" s="27" customFormat="1">
      <c r="B931"/>
      <c r="C931"/>
      <c r="D931"/>
      <c r="E931"/>
      <c r="F931"/>
      <c r="G931"/>
      <c r="H931"/>
      <c r="I931"/>
      <c r="J931"/>
    </row>
    <row r="932" spans="2:10" s="27" customFormat="1">
      <c r="B932"/>
      <c r="C932"/>
      <c r="D932"/>
      <c r="E932"/>
      <c r="F932"/>
      <c r="G932"/>
      <c r="H932"/>
      <c r="I932"/>
      <c r="J932"/>
    </row>
    <row r="933" spans="2:10" s="27" customFormat="1">
      <c r="B933"/>
      <c r="C933"/>
      <c r="D933"/>
      <c r="E933"/>
      <c r="F933"/>
      <c r="G933"/>
      <c r="H933"/>
      <c r="I933"/>
      <c r="J933"/>
    </row>
    <row r="934" spans="2:10" s="27" customFormat="1">
      <c r="B934"/>
      <c r="C934"/>
      <c r="D934"/>
      <c r="E934"/>
      <c r="F934"/>
      <c r="G934"/>
      <c r="H934"/>
      <c r="I934"/>
      <c r="J934"/>
    </row>
    <row r="935" spans="2:10" s="27" customFormat="1">
      <c r="B935"/>
      <c r="C935"/>
      <c r="D935"/>
      <c r="E935"/>
      <c r="F935"/>
      <c r="G935"/>
      <c r="H935"/>
      <c r="I935"/>
      <c r="J935"/>
    </row>
    <row r="936" spans="2:10" s="27" customFormat="1">
      <c r="B936"/>
      <c r="C936"/>
      <c r="D936"/>
      <c r="E936"/>
      <c r="F936"/>
      <c r="G936"/>
      <c r="H936"/>
      <c r="I936"/>
      <c r="J936"/>
    </row>
    <row r="937" spans="2:10" s="27" customFormat="1">
      <c r="B937"/>
      <c r="C937"/>
      <c r="D937"/>
      <c r="E937"/>
      <c r="F937"/>
      <c r="G937"/>
      <c r="H937"/>
      <c r="I937"/>
      <c r="J937"/>
    </row>
    <row r="938" spans="2:10" s="27" customFormat="1">
      <c r="B938"/>
      <c r="C938"/>
      <c r="D938"/>
      <c r="E938"/>
      <c r="F938"/>
      <c r="G938"/>
      <c r="H938"/>
      <c r="I938"/>
      <c r="J938"/>
    </row>
    <row r="939" spans="2:10" s="27" customFormat="1">
      <c r="B939"/>
      <c r="C939"/>
      <c r="D939"/>
      <c r="E939"/>
      <c r="F939"/>
      <c r="G939"/>
      <c r="H939"/>
      <c r="I939"/>
      <c r="J939"/>
    </row>
    <row r="940" spans="2:10" s="27" customFormat="1">
      <c r="B940"/>
      <c r="C940"/>
      <c r="D940"/>
      <c r="E940"/>
      <c r="F940"/>
      <c r="G940"/>
      <c r="H940"/>
      <c r="I940"/>
      <c r="J940"/>
    </row>
    <row r="941" spans="2:10" s="27" customFormat="1">
      <c r="B941"/>
      <c r="C941"/>
      <c r="D941"/>
      <c r="E941"/>
      <c r="F941"/>
      <c r="G941"/>
      <c r="H941"/>
      <c r="I941"/>
      <c r="J941"/>
    </row>
    <row r="942" spans="2:10" s="27" customFormat="1">
      <c r="B942"/>
      <c r="C942"/>
      <c r="D942"/>
      <c r="E942"/>
      <c r="F942"/>
      <c r="G942"/>
      <c r="H942"/>
      <c r="I942"/>
      <c r="J942"/>
    </row>
    <row r="943" spans="2:10" s="27" customFormat="1">
      <c r="B943"/>
      <c r="C943"/>
      <c r="D943"/>
      <c r="E943"/>
      <c r="F943"/>
      <c r="G943"/>
      <c r="H943"/>
      <c r="I943"/>
      <c r="J943"/>
    </row>
    <row r="944" spans="2:10" s="27" customFormat="1">
      <c r="B944"/>
      <c r="C944"/>
      <c r="D944"/>
      <c r="E944"/>
      <c r="F944"/>
      <c r="G944"/>
      <c r="H944"/>
      <c r="I944"/>
      <c r="J944"/>
    </row>
    <row r="945" spans="2:10" s="27" customFormat="1">
      <c r="B945"/>
      <c r="C945"/>
      <c r="D945"/>
      <c r="E945"/>
      <c r="F945"/>
      <c r="G945"/>
      <c r="H945"/>
      <c r="I945"/>
      <c r="J945"/>
    </row>
    <row r="946" spans="2:10" s="27" customFormat="1">
      <c r="B946"/>
      <c r="C946"/>
      <c r="D946"/>
      <c r="E946"/>
      <c r="F946"/>
      <c r="G946"/>
      <c r="H946"/>
      <c r="I946"/>
      <c r="J946"/>
    </row>
    <row r="947" spans="2:10" s="27" customFormat="1">
      <c r="B947"/>
      <c r="C947"/>
      <c r="D947"/>
      <c r="E947"/>
      <c r="F947"/>
      <c r="G947"/>
      <c r="H947"/>
      <c r="I947"/>
      <c r="J947"/>
    </row>
    <row r="948" spans="2:10" s="27" customFormat="1">
      <c r="B948"/>
      <c r="C948"/>
      <c r="D948"/>
      <c r="E948"/>
      <c r="F948"/>
      <c r="G948"/>
      <c r="H948"/>
      <c r="I948"/>
      <c r="J948"/>
    </row>
    <row r="949" spans="2:10" s="27" customFormat="1">
      <c r="B949"/>
      <c r="C949"/>
      <c r="D949"/>
      <c r="E949"/>
      <c r="F949"/>
      <c r="G949"/>
      <c r="H949"/>
      <c r="I949"/>
      <c r="J949"/>
    </row>
    <row r="950" spans="2:10" s="27" customFormat="1">
      <c r="B950"/>
      <c r="C950"/>
      <c r="D950"/>
      <c r="E950"/>
      <c r="F950"/>
      <c r="G950"/>
      <c r="H950"/>
      <c r="I950"/>
      <c r="J950"/>
    </row>
    <row r="951" spans="2:10" s="27" customFormat="1">
      <c r="B951"/>
      <c r="C951"/>
      <c r="D951"/>
      <c r="E951"/>
      <c r="F951"/>
      <c r="G951"/>
      <c r="H951"/>
      <c r="I951"/>
      <c r="J951"/>
    </row>
    <row r="952" spans="2:10" s="27" customFormat="1">
      <c r="B952"/>
      <c r="C952"/>
      <c r="D952"/>
      <c r="E952"/>
      <c r="F952"/>
      <c r="G952"/>
      <c r="H952"/>
      <c r="I952"/>
      <c r="J952"/>
    </row>
    <row r="953" spans="2:10" s="27" customFormat="1">
      <c r="B953"/>
      <c r="C953"/>
      <c r="D953"/>
      <c r="E953"/>
      <c r="F953"/>
      <c r="G953"/>
      <c r="H953"/>
      <c r="I953"/>
      <c r="J953"/>
    </row>
    <row r="954" spans="2:10" s="27" customFormat="1">
      <c r="B954"/>
      <c r="C954"/>
      <c r="D954"/>
      <c r="E954"/>
      <c r="F954"/>
      <c r="G954"/>
      <c r="H954"/>
      <c r="I954"/>
      <c r="J954"/>
    </row>
    <row r="955" spans="2:10" s="27" customFormat="1">
      <c r="B955"/>
      <c r="C955"/>
      <c r="D955"/>
      <c r="E955"/>
      <c r="F955"/>
      <c r="G955"/>
      <c r="H955"/>
      <c r="I955"/>
      <c r="J955"/>
    </row>
    <row r="956" spans="2:10" s="27" customFormat="1">
      <c r="B956"/>
      <c r="C956"/>
      <c r="D956"/>
      <c r="E956"/>
      <c r="F956"/>
      <c r="G956"/>
      <c r="H956"/>
      <c r="I956"/>
      <c r="J956"/>
    </row>
    <row r="957" spans="2:10" s="27" customFormat="1">
      <c r="B957"/>
      <c r="C957"/>
      <c r="D957"/>
      <c r="E957"/>
      <c r="F957"/>
      <c r="G957"/>
      <c r="H957"/>
      <c r="I957"/>
      <c r="J957"/>
    </row>
    <row r="958" spans="2:10" s="27" customFormat="1">
      <c r="B958"/>
      <c r="C958"/>
      <c r="D958"/>
      <c r="E958"/>
      <c r="F958"/>
      <c r="G958"/>
      <c r="H958"/>
      <c r="I958"/>
      <c r="J958"/>
    </row>
    <row r="959" spans="2:10" s="27" customFormat="1">
      <c r="B959"/>
      <c r="C959"/>
      <c r="D959"/>
      <c r="E959"/>
      <c r="F959"/>
      <c r="G959"/>
      <c r="H959"/>
      <c r="I959"/>
      <c r="J959"/>
    </row>
    <row r="960" spans="2:10" s="27" customFormat="1">
      <c r="B960"/>
      <c r="C960"/>
      <c r="D960"/>
      <c r="E960"/>
      <c r="F960"/>
      <c r="G960"/>
      <c r="H960"/>
      <c r="I960"/>
      <c r="J960"/>
    </row>
    <row r="961" spans="2:10" s="27" customFormat="1">
      <c r="B961"/>
      <c r="C961"/>
      <c r="D961"/>
      <c r="E961"/>
      <c r="F961"/>
      <c r="G961"/>
      <c r="H961"/>
      <c r="I961"/>
      <c r="J961"/>
    </row>
    <row r="962" spans="2:10" s="27" customFormat="1">
      <c r="B962"/>
      <c r="C962"/>
      <c r="D962"/>
      <c r="E962"/>
      <c r="F962"/>
      <c r="G962"/>
      <c r="H962"/>
      <c r="I962"/>
      <c r="J962"/>
    </row>
    <row r="963" spans="2:10" s="27" customFormat="1">
      <c r="B963"/>
      <c r="C963"/>
      <c r="D963"/>
      <c r="E963"/>
      <c r="F963"/>
      <c r="G963"/>
      <c r="H963"/>
      <c r="I963"/>
      <c r="J963"/>
    </row>
    <row r="964" spans="2:10" s="27" customFormat="1">
      <c r="B964"/>
      <c r="C964"/>
      <c r="D964"/>
      <c r="E964"/>
      <c r="F964"/>
      <c r="G964"/>
      <c r="H964"/>
      <c r="I964"/>
      <c r="J964"/>
    </row>
    <row r="965" spans="2:10" s="27" customFormat="1">
      <c r="B965"/>
      <c r="C965"/>
      <c r="D965"/>
      <c r="E965"/>
      <c r="F965"/>
      <c r="G965"/>
      <c r="H965"/>
      <c r="I965"/>
      <c r="J965"/>
    </row>
    <row r="966" spans="2:10" s="27" customFormat="1">
      <c r="B966"/>
      <c r="C966"/>
      <c r="D966"/>
      <c r="E966"/>
      <c r="F966"/>
      <c r="G966"/>
      <c r="H966"/>
      <c r="I966"/>
      <c r="J966"/>
    </row>
    <row r="967" spans="2:10" s="27" customFormat="1">
      <c r="B967"/>
      <c r="C967"/>
      <c r="D967"/>
      <c r="E967"/>
      <c r="F967"/>
      <c r="G967"/>
      <c r="H967"/>
      <c r="I967"/>
      <c r="J967"/>
    </row>
    <row r="968" spans="2:10" s="27" customFormat="1">
      <c r="B968"/>
      <c r="C968"/>
      <c r="D968"/>
      <c r="E968"/>
      <c r="F968"/>
      <c r="G968"/>
      <c r="H968"/>
      <c r="I968"/>
      <c r="J968"/>
    </row>
    <row r="969" spans="2:10" s="27" customFormat="1">
      <c r="B969"/>
      <c r="C969"/>
      <c r="D969"/>
      <c r="E969"/>
      <c r="F969"/>
      <c r="G969"/>
      <c r="H969"/>
      <c r="I969"/>
      <c r="J969"/>
    </row>
    <row r="970" spans="2:10" s="27" customFormat="1">
      <c r="B970"/>
      <c r="C970"/>
      <c r="D970"/>
      <c r="E970"/>
      <c r="F970"/>
      <c r="G970"/>
      <c r="H970"/>
      <c r="I970"/>
      <c r="J970"/>
    </row>
    <row r="971" spans="2:10" s="27" customFormat="1">
      <c r="B971"/>
      <c r="C971"/>
      <c r="D971"/>
      <c r="E971"/>
      <c r="F971"/>
      <c r="G971"/>
      <c r="H971"/>
      <c r="I971"/>
      <c r="J971"/>
    </row>
    <row r="972" spans="2:10" s="27" customFormat="1">
      <c r="B972"/>
      <c r="C972"/>
      <c r="D972"/>
      <c r="E972"/>
      <c r="F972"/>
      <c r="G972"/>
      <c r="H972"/>
      <c r="I972"/>
      <c r="J972"/>
    </row>
    <row r="973" spans="2:10" s="27" customFormat="1">
      <c r="B973"/>
      <c r="C973"/>
      <c r="D973"/>
      <c r="E973"/>
      <c r="F973"/>
      <c r="G973"/>
      <c r="H973"/>
      <c r="I973"/>
      <c r="J973"/>
    </row>
    <row r="974" spans="2:10" s="27" customFormat="1">
      <c r="B974"/>
      <c r="C974"/>
      <c r="D974"/>
      <c r="E974"/>
      <c r="F974"/>
      <c r="G974"/>
      <c r="H974"/>
      <c r="I974"/>
      <c r="J974"/>
    </row>
    <row r="975" spans="2:10" s="27" customFormat="1">
      <c r="B975"/>
      <c r="C975"/>
      <c r="D975"/>
      <c r="E975"/>
      <c r="F975"/>
      <c r="G975"/>
      <c r="H975"/>
      <c r="I975"/>
      <c r="J975"/>
    </row>
    <row r="976" spans="2:10" s="27" customFormat="1">
      <c r="B976"/>
      <c r="C976"/>
      <c r="D976"/>
      <c r="E976"/>
      <c r="F976"/>
      <c r="G976"/>
      <c r="H976"/>
      <c r="I976"/>
      <c r="J976"/>
    </row>
    <row r="977" spans="2:10" s="27" customFormat="1">
      <c r="B977"/>
      <c r="C977"/>
      <c r="D977"/>
      <c r="E977"/>
      <c r="F977"/>
      <c r="G977"/>
      <c r="H977"/>
      <c r="I977"/>
      <c r="J977"/>
    </row>
    <row r="978" spans="2:10" s="27" customFormat="1">
      <c r="B978"/>
      <c r="C978"/>
      <c r="D978"/>
      <c r="E978"/>
      <c r="F978"/>
      <c r="G978"/>
      <c r="H978"/>
      <c r="I978"/>
      <c r="J978"/>
    </row>
    <row r="979" spans="2:10" s="27" customFormat="1">
      <c r="B979"/>
      <c r="C979"/>
      <c r="D979"/>
      <c r="E979"/>
      <c r="F979"/>
      <c r="G979"/>
      <c r="H979"/>
      <c r="I979"/>
      <c r="J979"/>
    </row>
    <row r="980" spans="2:10" s="27" customFormat="1">
      <c r="B980"/>
      <c r="C980"/>
      <c r="D980"/>
      <c r="E980"/>
      <c r="F980"/>
      <c r="G980"/>
      <c r="H980"/>
      <c r="I980"/>
      <c r="J980"/>
    </row>
    <row r="981" spans="2:10" s="27" customFormat="1">
      <c r="B981"/>
      <c r="C981"/>
      <c r="D981"/>
      <c r="E981"/>
      <c r="F981"/>
      <c r="G981"/>
      <c r="H981"/>
      <c r="I981"/>
      <c r="J981"/>
    </row>
    <row r="982" spans="2:10" s="27" customFormat="1">
      <c r="B982"/>
      <c r="C982"/>
      <c r="D982"/>
      <c r="E982"/>
      <c r="F982"/>
      <c r="G982"/>
      <c r="H982"/>
      <c r="I982"/>
      <c r="J982"/>
    </row>
    <row r="983" spans="2:10" s="27" customFormat="1">
      <c r="B983"/>
      <c r="C983"/>
      <c r="D983"/>
      <c r="E983"/>
      <c r="F983"/>
      <c r="G983"/>
      <c r="H983"/>
      <c r="I983"/>
      <c r="J983"/>
    </row>
    <row r="984" spans="2:10" s="27" customFormat="1">
      <c r="B984"/>
      <c r="C984"/>
      <c r="D984"/>
      <c r="E984"/>
      <c r="F984"/>
      <c r="G984"/>
      <c r="H984"/>
      <c r="I984"/>
      <c r="J984"/>
    </row>
    <row r="985" spans="2:10" s="27" customFormat="1">
      <c r="B985"/>
      <c r="C985"/>
      <c r="D985"/>
      <c r="E985"/>
      <c r="F985"/>
      <c r="G985"/>
      <c r="H985"/>
      <c r="I985"/>
      <c r="J985"/>
    </row>
    <row r="986" spans="2:10" s="27" customFormat="1">
      <c r="B986"/>
      <c r="C986"/>
      <c r="D986"/>
      <c r="E986"/>
      <c r="F986"/>
      <c r="G986"/>
      <c r="H986"/>
      <c r="I986"/>
      <c r="J986"/>
    </row>
    <row r="987" spans="2:10" s="27" customFormat="1">
      <c r="B987"/>
      <c r="C987"/>
      <c r="D987"/>
      <c r="E987"/>
      <c r="F987"/>
      <c r="G987"/>
      <c r="H987"/>
      <c r="I987"/>
      <c r="J987"/>
    </row>
    <row r="988" spans="2:10" s="27" customFormat="1">
      <c r="B988"/>
      <c r="C988"/>
      <c r="D988"/>
      <c r="E988"/>
      <c r="F988"/>
      <c r="G988"/>
      <c r="H988"/>
      <c r="I988"/>
      <c r="J988"/>
    </row>
    <row r="989" spans="2:10" s="27" customFormat="1">
      <c r="B989"/>
      <c r="C989"/>
      <c r="D989"/>
      <c r="E989"/>
      <c r="F989"/>
      <c r="G989"/>
      <c r="H989"/>
      <c r="I989"/>
      <c r="J989"/>
    </row>
    <row r="990" spans="2:10" s="27" customFormat="1">
      <c r="B990"/>
      <c r="C990"/>
      <c r="D990"/>
      <c r="E990"/>
      <c r="F990"/>
      <c r="G990"/>
      <c r="H990"/>
      <c r="I990"/>
      <c r="J990"/>
    </row>
    <row r="991" spans="2:10" s="27" customFormat="1">
      <c r="B991"/>
      <c r="C991"/>
      <c r="D991"/>
      <c r="E991"/>
      <c r="F991"/>
      <c r="G991"/>
      <c r="H991"/>
      <c r="I991"/>
      <c r="J991"/>
    </row>
    <row r="992" spans="2:10" s="27" customFormat="1">
      <c r="B992"/>
      <c r="C992"/>
      <c r="D992"/>
      <c r="E992"/>
      <c r="F992"/>
      <c r="G992"/>
      <c r="H992"/>
      <c r="I992"/>
      <c r="J992"/>
    </row>
    <row r="993" spans="2:10" s="27" customFormat="1">
      <c r="B993"/>
      <c r="C993"/>
      <c r="D993"/>
      <c r="E993"/>
      <c r="F993"/>
      <c r="G993"/>
      <c r="H993"/>
      <c r="I993"/>
      <c r="J993"/>
    </row>
    <row r="994" spans="2:10" s="27" customFormat="1">
      <c r="B994"/>
      <c r="C994"/>
      <c r="D994"/>
      <c r="E994"/>
      <c r="F994"/>
      <c r="G994"/>
      <c r="H994"/>
      <c r="I994"/>
      <c r="J994"/>
    </row>
    <row r="995" spans="2:10" s="27" customFormat="1">
      <c r="B995"/>
      <c r="C995"/>
      <c r="D995"/>
      <c r="E995"/>
      <c r="F995"/>
      <c r="G995"/>
      <c r="H995"/>
      <c r="I995"/>
      <c r="J995"/>
    </row>
    <row r="996" spans="2:10" s="27" customFormat="1">
      <c r="B996"/>
      <c r="C996"/>
      <c r="D996"/>
      <c r="E996"/>
      <c r="F996"/>
      <c r="G996"/>
      <c r="H996"/>
      <c r="I996"/>
      <c r="J996"/>
    </row>
    <row r="997" spans="2:10" s="27" customFormat="1">
      <c r="B997"/>
      <c r="C997"/>
      <c r="D997"/>
      <c r="E997"/>
      <c r="F997"/>
      <c r="G997"/>
      <c r="H997"/>
      <c r="I997"/>
      <c r="J997"/>
    </row>
    <row r="998" spans="2:10" s="27" customFormat="1">
      <c r="B998"/>
      <c r="C998"/>
      <c r="D998"/>
      <c r="E998"/>
      <c r="F998"/>
      <c r="G998"/>
      <c r="H998"/>
      <c r="I998"/>
      <c r="J998"/>
    </row>
    <row r="999" spans="2:10" s="27" customFormat="1">
      <c r="B999"/>
      <c r="C999"/>
      <c r="D999"/>
      <c r="E999"/>
      <c r="F999"/>
      <c r="G999"/>
      <c r="H999"/>
      <c r="I999"/>
      <c r="J999"/>
    </row>
    <row r="1000" spans="2:10" s="27" customFormat="1">
      <c r="B1000"/>
      <c r="C1000"/>
      <c r="D1000"/>
      <c r="E1000"/>
      <c r="F1000"/>
      <c r="G1000"/>
      <c r="H1000"/>
      <c r="I1000"/>
      <c r="J1000"/>
    </row>
    <row r="1001" spans="2:10" s="27" customFormat="1">
      <c r="B1001"/>
      <c r="C1001"/>
      <c r="D1001"/>
      <c r="E1001"/>
      <c r="F1001"/>
      <c r="G1001"/>
      <c r="H1001"/>
      <c r="I1001"/>
      <c r="J1001"/>
    </row>
    <row r="1002" spans="2:10" s="27" customFormat="1">
      <c r="B1002"/>
      <c r="C1002"/>
      <c r="D1002"/>
      <c r="E1002"/>
      <c r="F1002"/>
      <c r="G1002"/>
      <c r="H1002"/>
      <c r="I1002"/>
      <c r="J1002"/>
    </row>
    <row r="1003" spans="2:10" s="27" customFormat="1">
      <c r="B1003"/>
      <c r="C1003"/>
      <c r="D1003"/>
      <c r="E1003"/>
      <c r="F1003"/>
      <c r="G1003"/>
      <c r="H1003"/>
      <c r="I1003"/>
      <c r="J1003"/>
    </row>
    <row r="1004" spans="2:10" s="27" customFormat="1">
      <c r="B1004"/>
      <c r="C1004"/>
      <c r="D1004"/>
      <c r="E1004"/>
      <c r="F1004"/>
      <c r="G1004"/>
      <c r="H1004"/>
      <c r="I1004"/>
      <c r="J1004"/>
    </row>
    <row r="1005" spans="2:10" s="27" customFormat="1">
      <c r="B1005"/>
      <c r="C1005"/>
      <c r="D1005"/>
      <c r="E1005"/>
      <c r="F1005"/>
      <c r="G1005"/>
      <c r="H1005"/>
      <c r="I1005"/>
      <c r="J1005"/>
    </row>
    <row r="1006" spans="2:10" s="27" customFormat="1">
      <c r="B1006"/>
      <c r="C1006"/>
      <c r="D1006"/>
      <c r="E1006"/>
      <c r="F1006"/>
      <c r="G1006"/>
      <c r="H1006"/>
      <c r="I1006"/>
      <c r="J1006"/>
    </row>
    <row r="1007" spans="2:10" s="27" customFormat="1">
      <c r="B1007"/>
      <c r="C1007"/>
      <c r="D1007"/>
      <c r="E1007"/>
      <c r="F1007"/>
      <c r="G1007"/>
      <c r="H1007"/>
      <c r="I1007"/>
      <c r="J1007"/>
    </row>
    <row r="1008" spans="2:10" s="27" customFormat="1">
      <c r="B1008"/>
      <c r="C1008"/>
      <c r="D1008"/>
      <c r="E1008"/>
      <c r="F1008"/>
      <c r="G1008"/>
      <c r="H1008"/>
      <c r="I1008"/>
      <c r="J1008"/>
    </row>
    <row r="1009" spans="2:10" s="27" customFormat="1">
      <c r="B1009"/>
      <c r="C1009"/>
      <c r="D1009"/>
      <c r="E1009"/>
      <c r="F1009"/>
      <c r="G1009"/>
      <c r="H1009"/>
      <c r="I1009"/>
      <c r="J1009"/>
    </row>
    <row r="1010" spans="2:10" s="27" customFormat="1">
      <c r="B1010"/>
      <c r="C1010"/>
      <c r="D1010"/>
      <c r="E1010"/>
      <c r="F1010"/>
      <c r="G1010"/>
      <c r="H1010"/>
      <c r="I1010"/>
      <c r="J1010"/>
    </row>
    <row r="1011" spans="2:10" s="27" customFormat="1">
      <c r="B1011"/>
      <c r="C1011"/>
      <c r="D1011"/>
      <c r="E1011"/>
      <c r="F1011"/>
      <c r="G1011"/>
      <c r="H1011"/>
      <c r="I1011"/>
      <c r="J1011"/>
    </row>
    <row r="1012" spans="2:10" s="27" customFormat="1">
      <c r="B1012"/>
      <c r="C1012"/>
      <c r="D1012"/>
      <c r="E1012"/>
      <c r="F1012"/>
      <c r="G1012"/>
      <c r="H1012"/>
      <c r="I1012"/>
      <c r="J1012"/>
    </row>
    <row r="1013" spans="2:10" s="27" customFormat="1">
      <c r="B1013"/>
      <c r="C1013"/>
      <c r="D1013"/>
      <c r="E1013"/>
      <c r="F1013"/>
      <c r="G1013"/>
      <c r="H1013"/>
      <c r="I1013"/>
      <c r="J1013"/>
    </row>
    <row r="1014" spans="2:10" s="27" customFormat="1">
      <c r="B1014"/>
      <c r="C1014"/>
      <c r="D1014"/>
      <c r="E1014"/>
      <c r="F1014"/>
      <c r="G1014"/>
      <c r="H1014"/>
      <c r="I1014"/>
      <c r="J1014"/>
    </row>
    <row r="1015" spans="2:10" s="27" customFormat="1">
      <c r="B1015"/>
      <c r="C1015"/>
      <c r="D1015"/>
      <c r="E1015"/>
      <c r="F1015"/>
      <c r="G1015"/>
      <c r="H1015"/>
      <c r="I1015"/>
      <c r="J1015"/>
    </row>
    <row r="1016" spans="2:10" s="27" customFormat="1">
      <c r="B1016"/>
      <c r="C1016"/>
      <c r="D1016"/>
      <c r="E1016"/>
      <c r="F1016"/>
      <c r="G1016"/>
      <c r="H1016"/>
      <c r="I1016"/>
      <c r="J1016"/>
    </row>
    <row r="1017" spans="2:10" s="27" customFormat="1">
      <c r="B1017"/>
      <c r="C1017"/>
      <c r="D1017"/>
      <c r="E1017"/>
      <c r="F1017"/>
      <c r="G1017"/>
      <c r="H1017"/>
      <c r="I1017"/>
      <c r="J1017"/>
    </row>
    <row r="1018" spans="2:10" s="27" customFormat="1">
      <c r="B1018"/>
      <c r="C1018"/>
      <c r="D1018"/>
      <c r="E1018"/>
      <c r="F1018"/>
      <c r="G1018"/>
      <c r="H1018"/>
      <c r="I1018"/>
      <c r="J1018"/>
    </row>
    <row r="1019" spans="2:10" s="27" customFormat="1">
      <c r="B1019"/>
      <c r="C1019"/>
      <c r="D1019"/>
      <c r="E1019"/>
      <c r="F1019"/>
      <c r="G1019"/>
      <c r="H1019"/>
      <c r="I1019"/>
      <c r="J1019"/>
    </row>
    <row r="1020" spans="2:10" s="27" customFormat="1">
      <c r="B1020"/>
      <c r="C1020"/>
      <c r="D1020"/>
      <c r="E1020"/>
      <c r="F1020"/>
      <c r="G1020"/>
      <c r="H1020"/>
      <c r="I1020"/>
      <c r="J1020"/>
    </row>
    <row r="1021" spans="2:10" s="27" customFormat="1">
      <c r="B1021"/>
      <c r="C1021"/>
      <c r="D1021"/>
      <c r="E1021"/>
      <c r="F1021"/>
      <c r="G1021"/>
      <c r="H1021"/>
      <c r="I1021"/>
      <c r="J1021"/>
    </row>
    <row r="1022" spans="2:10" s="27" customFormat="1">
      <c r="B1022"/>
      <c r="C1022"/>
      <c r="D1022"/>
      <c r="E1022"/>
      <c r="F1022"/>
      <c r="G1022"/>
      <c r="H1022"/>
      <c r="I1022"/>
      <c r="J1022"/>
    </row>
    <row r="1023" spans="2:10" s="27" customFormat="1">
      <c r="B1023"/>
      <c r="C1023"/>
      <c r="D1023"/>
      <c r="E1023"/>
      <c r="F1023"/>
      <c r="G1023"/>
      <c r="H1023"/>
      <c r="I1023"/>
      <c r="J1023"/>
    </row>
    <row r="1024" spans="2:10" s="27" customFormat="1">
      <c r="B1024"/>
      <c r="C1024"/>
      <c r="D1024"/>
      <c r="E1024"/>
      <c r="F1024"/>
      <c r="G1024"/>
      <c r="H1024"/>
      <c r="I1024"/>
      <c r="J1024"/>
    </row>
    <row r="1025" spans="2:10" s="27" customFormat="1">
      <c r="B1025"/>
      <c r="C1025"/>
      <c r="D1025"/>
      <c r="E1025"/>
      <c r="F1025"/>
      <c r="G1025"/>
      <c r="H1025"/>
      <c r="I1025"/>
      <c r="J1025"/>
    </row>
    <row r="1026" spans="2:10" s="27" customFormat="1">
      <c r="B1026"/>
      <c r="C1026"/>
      <c r="D1026"/>
      <c r="E1026"/>
      <c r="F1026"/>
      <c r="G1026"/>
      <c r="H1026"/>
      <c r="I1026"/>
      <c r="J1026"/>
    </row>
    <row r="1027" spans="2:10" s="27" customFormat="1">
      <c r="B1027"/>
      <c r="C1027"/>
      <c r="D1027"/>
      <c r="E1027"/>
      <c r="F1027"/>
      <c r="G1027"/>
      <c r="H1027"/>
      <c r="I1027"/>
      <c r="J1027"/>
    </row>
    <row r="1028" spans="2:10" s="27" customFormat="1">
      <c r="B1028"/>
      <c r="C1028"/>
      <c r="D1028"/>
      <c r="E1028"/>
      <c r="F1028"/>
      <c r="G1028"/>
      <c r="H1028"/>
      <c r="I1028"/>
      <c r="J1028"/>
    </row>
    <row r="1029" spans="2:10" s="27" customFormat="1">
      <c r="B1029"/>
      <c r="C1029"/>
      <c r="D1029"/>
      <c r="E1029"/>
      <c r="F1029"/>
      <c r="G1029"/>
      <c r="H1029"/>
      <c r="I1029"/>
      <c r="J1029"/>
    </row>
    <row r="1030" spans="2:10" s="27" customFormat="1">
      <c r="B1030"/>
      <c r="C1030"/>
      <c r="D1030"/>
      <c r="E1030"/>
      <c r="F1030"/>
      <c r="G1030"/>
      <c r="H1030"/>
      <c r="I1030"/>
      <c r="J1030"/>
    </row>
    <row r="1031" spans="2:10" s="27" customFormat="1">
      <c r="B1031"/>
      <c r="C1031"/>
      <c r="D1031"/>
      <c r="E1031"/>
      <c r="F1031"/>
      <c r="G1031"/>
      <c r="H1031"/>
      <c r="I1031"/>
      <c r="J1031"/>
    </row>
    <row r="1032" spans="2:10" s="27" customFormat="1">
      <c r="B1032"/>
      <c r="C1032"/>
      <c r="D1032"/>
      <c r="E1032"/>
      <c r="F1032"/>
      <c r="G1032"/>
      <c r="H1032"/>
      <c r="I1032"/>
      <c r="J1032"/>
    </row>
    <row r="1033" spans="2:10" s="27" customFormat="1">
      <c r="B1033"/>
      <c r="C1033"/>
      <c r="D1033"/>
      <c r="E1033"/>
      <c r="F1033"/>
      <c r="G1033"/>
      <c r="H1033"/>
      <c r="I1033"/>
      <c r="J1033"/>
    </row>
    <row r="1034" spans="2:10" s="27" customFormat="1">
      <c r="B1034"/>
      <c r="C1034"/>
      <c r="D1034"/>
      <c r="E1034"/>
      <c r="F1034"/>
      <c r="G1034"/>
      <c r="H1034"/>
      <c r="I1034"/>
      <c r="J1034"/>
    </row>
    <row r="1035" spans="2:10" s="27" customFormat="1">
      <c r="B1035"/>
      <c r="C1035"/>
      <c r="D1035"/>
      <c r="E1035"/>
      <c r="F1035"/>
      <c r="G1035"/>
      <c r="H1035"/>
      <c r="I1035"/>
      <c r="J1035"/>
    </row>
    <row r="1036" spans="2:10" s="27" customFormat="1">
      <c r="B1036"/>
      <c r="C1036"/>
      <c r="D1036"/>
      <c r="E1036"/>
      <c r="F1036"/>
      <c r="G1036"/>
      <c r="H1036"/>
      <c r="I1036"/>
      <c r="J1036"/>
    </row>
    <row r="1037" spans="2:10" s="27" customFormat="1">
      <c r="B1037"/>
      <c r="C1037"/>
      <c r="D1037"/>
      <c r="E1037"/>
      <c r="F1037"/>
      <c r="G1037"/>
      <c r="H1037"/>
      <c r="I1037"/>
      <c r="J1037"/>
    </row>
    <row r="1038" spans="2:10" s="27" customFormat="1">
      <c r="B1038"/>
      <c r="C1038"/>
      <c r="D1038"/>
      <c r="E1038"/>
      <c r="F1038"/>
      <c r="G1038"/>
      <c r="H1038"/>
      <c r="I1038"/>
      <c r="J1038"/>
    </row>
    <row r="1039" spans="2:10" s="27" customFormat="1">
      <c r="B1039"/>
      <c r="C1039"/>
      <c r="D1039"/>
      <c r="E1039"/>
      <c r="F1039"/>
      <c r="G1039"/>
      <c r="H1039"/>
      <c r="I1039"/>
      <c r="J1039"/>
    </row>
    <row r="1040" spans="2:10" s="27" customFormat="1">
      <c r="B1040"/>
      <c r="C1040"/>
      <c r="D1040"/>
      <c r="E1040"/>
      <c r="F1040"/>
      <c r="G1040"/>
      <c r="H1040"/>
      <c r="I1040"/>
      <c r="J1040"/>
    </row>
    <row r="1041" spans="2:10" s="27" customFormat="1">
      <c r="B1041"/>
      <c r="C1041"/>
      <c r="D1041"/>
      <c r="E1041"/>
      <c r="F1041"/>
      <c r="G1041"/>
      <c r="H1041"/>
      <c r="I1041"/>
      <c r="J1041"/>
    </row>
    <row r="1042" spans="2:10" s="27" customFormat="1">
      <c r="B1042"/>
      <c r="C1042"/>
      <c r="D1042"/>
      <c r="E1042"/>
      <c r="F1042"/>
      <c r="G1042"/>
      <c r="H1042"/>
      <c r="I1042"/>
      <c r="J1042"/>
    </row>
    <row r="1043" spans="2:10" s="27" customFormat="1">
      <c r="B1043"/>
      <c r="C1043"/>
      <c r="D1043"/>
      <c r="E1043"/>
      <c r="F1043"/>
      <c r="G1043"/>
      <c r="H1043"/>
      <c r="I1043"/>
      <c r="J1043"/>
    </row>
    <row r="1044" spans="2:10" s="27" customFormat="1">
      <c r="B1044"/>
      <c r="C1044"/>
      <c r="D1044"/>
      <c r="E1044"/>
      <c r="F1044"/>
      <c r="G1044"/>
      <c r="H1044"/>
      <c r="I1044"/>
      <c r="J1044"/>
    </row>
    <row r="1045" spans="2:10" s="27" customFormat="1">
      <c r="B1045"/>
      <c r="C1045"/>
      <c r="D1045"/>
      <c r="E1045"/>
      <c r="F1045"/>
      <c r="G1045"/>
      <c r="H1045"/>
      <c r="I1045"/>
      <c r="J1045"/>
    </row>
    <row r="1046" spans="2:10" s="27" customFormat="1">
      <c r="B1046"/>
      <c r="C1046"/>
      <c r="D1046"/>
      <c r="E1046"/>
      <c r="F1046"/>
      <c r="G1046"/>
      <c r="H1046"/>
      <c r="I1046"/>
      <c r="J1046"/>
    </row>
    <row r="1047" spans="2:10" s="27" customFormat="1">
      <c r="B1047"/>
      <c r="C1047"/>
      <c r="D1047"/>
      <c r="E1047"/>
      <c r="F1047"/>
      <c r="G1047"/>
      <c r="H1047"/>
      <c r="I1047"/>
      <c r="J1047"/>
    </row>
    <row r="1048" spans="2:10" s="27" customFormat="1">
      <c r="B1048"/>
      <c r="C1048"/>
      <c r="D1048"/>
      <c r="E1048"/>
      <c r="F1048"/>
      <c r="G1048"/>
      <c r="H1048"/>
      <c r="I1048"/>
      <c r="J1048"/>
    </row>
    <row r="1049" spans="2:10" s="27" customFormat="1">
      <c r="B1049"/>
      <c r="C1049"/>
      <c r="D1049"/>
      <c r="E1049"/>
      <c r="F1049"/>
      <c r="G1049"/>
      <c r="H1049"/>
      <c r="I1049"/>
      <c r="J1049"/>
    </row>
    <row r="1050" spans="2:10" s="27" customFormat="1">
      <c r="B1050"/>
      <c r="C1050"/>
      <c r="D1050"/>
      <c r="E1050"/>
      <c r="F1050"/>
      <c r="G1050"/>
      <c r="H1050"/>
      <c r="I1050"/>
      <c r="J1050"/>
    </row>
    <row r="1051" spans="2:10" s="27" customFormat="1">
      <c r="B1051"/>
      <c r="C1051"/>
      <c r="D1051"/>
      <c r="E1051"/>
      <c r="F1051"/>
      <c r="G1051"/>
      <c r="H1051"/>
      <c r="I1051"/>
      <c r="J1051"/>
    </row>
    <row r="1052" spans="2:10" s="27" customFormat="1">
      <c r="B1052"/>
      <c r="C1052"/>
      <c r="D1052"/>
      <c r="E1052"/>
      <c r="F1052"/>
      <c r="G1052"/>
      <c r="H1052"/>
      <c r="I1052"/>
      <c r="J1052"/>
    </row>
    <row r="1053" spans="2:10" s="27" customFormat="1">
      <c r="B1053"/>
      <c r="C1053"/>
      <c r="D1053"/>
      <c r="E1053"/>
      <c r="F1053"/>
      <c r="G1053"/>
      <c r="H1053"/>
      <c r="I1053"/>
      <c r="J1053"/>
    </row>
    <row r="1054" spans="2:10" s="27" customFormat="1">
      <c r="B1054"/>
      <c r="C1054"/>
      <c r="D1054"/>
      <c r="E1054"/>
      <c r="F1054"/>
      <c r="G1054"/>
      <c r="H1054"/>
      <c r="I1054"/>
      <c r="J1054"/>
    </row>
    <row r="1055" spans="2:10" s="27" customFormat="1">
      <c r="B1055"/>
      <c r="C1055"/>
      <c r="D1055"/>
      <c r="E1055"/>
      <c r="F1055"/>
      <c r="G1055"/>
      <c r="H1055"/>
      <c r="I1055"/>
      <c r="J1055"/>
    </row>
    <row r="1056" spans="2:10" s="27" customFormat="1">
      <c r="B1056"/>
      <c r="C1056"/>
      <c r="D1056"/>
      <c r="E1056"/>
      <c r="F1056"/>
      <c r="G1056"/>
      <c r="H1056"/>
      <c r="I1056"/>
      <c r="J1056"/>
    </row>
    <row r="1057" spans="2:10" s="27" customFormat="1">
      <c r="B1057"/>
      <c r="C1057"/>
      <c r="D1057"/>
      <c r="E1057"/>
      <c r="F1057"/>
      <c r="G1057"/>
      <c r="H1057"/>
      <c r="I1057"/>
      <c r="J1057"/>
    </row>
    <row r="1058" spans="2:10" s="27" customFormat="1">
      <c r="B1058"/>
      <c r="C1058"/>
      <c r="D1058"/>
      <c r="E1058"/>
      <c r="F1058"/>
      <c r="G1058"/>
      <c r="H1058"/>
      <c r="I1058"/>
      <c r="J1058"/>
    </row>
    <row r="1059" spans="2:10" s="27" customFormat="1">
      <c r="B1059"/>
      <c r="C1059"/>
      <c r="D1059"/>
      <c r="E1059"/>
      <c r="F1059"/>
      <c r="G1059"/>
      <c r="H1059"/>
      <c r="I1059"/>
      <c r="J1059"/>
    </row>
    <row r="1060" spans="2:10" s="27" customFormat="1">
      <c r="B1060"/>
      <c r="C1060"/>
      <c r="D1060"/>
      <c r="E1060"/>
      <c r="F1060"/>
      <c r="G1060"/>
      <c r="H1060"/>
      <c r="I1060"/>
      <c r="J1060"/>
    </row>
    <row r="1061" spans="2:10" s="27" customFormat="1">
      <c r="B1061"/>
      <c r="C1061"/>
      <c r="D1061"/>
      <c r="E1061"/>
      <c r="F1061"/>
      <c r="G1061"/>
      <c r="H1061"/>
      <c r="I1061"/>
      <c r="J1061"/>
    </row>
    <row r="1062" spans="2:10" s="27" customFormat="1">
      <c r="B1062"/>
      <c r="C1062"/>
      <c r="D1062"/>
      <c r="E1062"/>
      <c r="F1062"/>
      <c r="G1062"/>
      <c r="H1062"/>
      <c r="I1062"/>
      <c r="J1062"/>
    </row>
    <row r="1063" spans="2:10" s="27" customFormat="1">
      <c r="B1063"/>
      <c r="C1063"/>
      <c r="D1063"/>
      <c r="E1063"/>
      <c r="F1063"/>
      <c r="G1063"/>
      <c r="H1063"/>
      <c r="I1063"/>
      <c r="J1063"/>
    </row>
    <row r="1064" spans="2:10" s="27" customFormat="1">
      <c r="B1064"/>
      <c r="C1064"/>
      <c r="D1064"/>
      <c r="E1064"/>
      <c r="F1064"/>
      <c r="G1064"/>
      <c r="H1064"/>
      <c r="I1064"/>
      <c r="J1064"/>
    </row>
    <row r="1065" spans="2:10" s="27" customFormat="1">
      <c r="B1065"/>
      <c r="C1065"/>
      <c r="D1065"/>
      <c r="E1065"/>
      <c r="F1065"/>
      <c r="G1065"/>
      <c r="H1065"/>
      <c r="I1065"/>
      <c r="J1065"/>
    </row>
    <row r="1066" spans="2:10" s="27" customFormat="1">
      <c r="B1066"/>
      <c r="C1066"/>
      <c r="D1066"/>
      <c r="E1066"/>
      <c r="F1066"/>
      <c r="G1066"/>
      <c r="H1066"/>
      <c r="I1066"/>
      <c r="J1066"/>
    </row>
    <row r="1067" spans="2:10" s="27" customFormat="1">
      <c r="B1067"/>
      <c r="C1067"/>
      <c r="D1067"/>
      <c r="E1067"/>
      <c r="F1067"/>
      <c r="G1067"/>
      <c r="H1067"/>
      <c r="I1067"/>
      <c r="J1067"/>
    </row>
    <row r="1068" spans="2:10" s="27" customFormat="1">
      <c r="B1068"/>
      <c r="C1068"/>
      <c r="D1068"/>
      <c r="E1068"/>
      <c r="F1068"/>
      <c r="G1068"/>
      <c r="H1068"/>
      <c r="I1068"/>
      <c r="J1068"/>
    </row>
    <row r="1069" spans="2:10" s="27" customFormat="1">
      <c r="B1069"/>
      <c r="C1069"/>
      <c r="D1069"/>
      <c r="E1069"/>
      <c r="F1069"/>
      <c r="G1069"/>
      <c r="H1069"/>
      <c r="I1069"/>
      <c r="J1069"/>
    </row>
    <row r="1070" spans="2:10" s="27" customFormat="1">
      <c r="B1070"/>
      <c r="C1070"/>
      <c r="D1070"/>
      <c r="E1070"/>
      <c r="F1070"/>
      <c r="G1070"/>
      <c r="H1070"/>
      <c r="I1070"/>
      <c r="J1070"/>
    </row>
    <row r="1071" spans="2:10" s="27" customFormat="1">
      <c r="B1071"/>
      <c r="C1071"/>
      <c r="D1071"/>
      <c r="E1071"/>
      <c r="F1071"/>
      <c r="G1071"/>
      <c r="H1071"/>
      <c r="I1071"/>
      <c r="J1071"/>
    </row>
    <row r="1072" spans="2:10" s="27" customFormat="1">
      <c r="B1072"/>
      <c r="C1072"/>
      <c r="D1072"/>
      <c r="E1072"/>
      <c r="F1072"/>
      <c r="G1072"/>
      <c r="H1072"/>
      <c r="I1072"/>
      <c r="J1072"/>
    </row>
    <row r="1073" spans="2:10" s="27" customFormat="1">
      <c r="B1073"/>
      <c r="C1073"/>
      <c r="D1073"/>
      <c r="E1073"/>
      <c r="F1073"/>
      <c r="G1073"/>
      <c r="H1073"/>
      <c r="I1073"/>
      <c r="J1073"/>
    </row>
    <row r="1074" spans="2:10" s="27" customFormat="1">
      <c r="B1074"/>
      <c r="C1074"/>
      <c r="D1074"/>
      <c r="E1074"/>
      <c r="F1074"/>
      <c r="G1074"/>
      <c r="H1074"/>
      <c r="I1074"/>
      <c r="J1074"/>
    </row>
    <row r="1075" spans="2:10" s="27" customFormat="1">
      <c r="B1075"/>
      <c r="C1075"/>
      <c r="D1075"/>
      <c r="E1075"/>
      <c r="F1075"/>
      <c r="G1075"/>
      <c r="H1075"/>
      <c r="I1075"/>
      <c r="J1075"/>
    </row>
    <row r="1076" spans="2:10" s="27" customFormat="1">
      <c r="B1076"/>
      <c r="C1076"/>
      <c r="D1076"/>
      <c r="E1076"/>
      <c r="F1076"/>
      <c r="G1076"/>
      <c r="H1076"/>
      <c r="I1076"/>
      <c r="J1076"/>
    </row>
    <row r="1077" spans="2:10" s="27" customFormat="1">
      <c r="B1077"/>
      <c r="C1077"/>
      <c r="D1077"/>
      <c r="E1077"/>
      <c r="F1077"/>
      <c r="G1077"/>
      <c r="H1077"/>
      <c r="I1077"/>
      <c r="J1077"/>
    </row>
    <row r="1078" spans="2:10" s="27" customFormat="1">
      <c r="B1078"/>
      <c r="C1078"/>
      <c r="D1078"/>
      <c r="E1078"/>
      <c r="F1078"/>
      <c r="G1078"/>
      <c r="H1078"/>
      <c r="I1078"/>
      <c r="J1078"/>
    </row>
    <row r="1079" spans="2:10" s="27" customFormat="1">
      <c r="B1079"/>
      <c r="C1079"/>
      <c r="D1079"/>
      <c r="E1079"/>
      <c r="F1079"/>
      <c r="G1079"/>
      <c r="H1079"/>
      <c r="I1079"/>
      <c r="J1079"/>
    </row>
    <row r="1080" spans="2:10" s="27" customFormat="1">
      <c r="B1080"/>
      <c r="C1080"/>
      <c r="D1080"/>
      <c r="E1080"/>
      <c r="F1080"/>
      <c r="G1080"/>
      <c r="H1080"/>
      <c r="I1080"/>
      <c r="J1080"/>
    </row>
    <row r="1081" spans="2:10" s="27" customFormat="1">
      <c r="B1081"/>
      <c r="C1081"/>
      <c r="D1081"/>
      <c r="E1081"/>
      <c r="F1081"/>
      <c r="G1081"/>
      <c r="H1081"/>
      <c r="I1081"/>
      <c r="J1081"/>
    </row>
    <row r="1082" spans="2:10" s="27" customFormat="1">
      <c r="B1082"/>
      <c r="C1082"/>
      <c r="D1082"/>
      <c r="E1082"/>
      <c r="F1082"/>
      <c r="G1082"/>
      <c r="H1082"/>
      <c r="I1082"/>
      <c r="J1082"/>
    </row>
    <row r="1083" spans="2:10" s="27" customFormat="1">
      <c r="B1083"/>
      <c r="C1083"/>
      <c r="D1083"/>
      <c r="E1083"/>
      <c r="F1083"/>
      <c r="G1083"/>
      <c r="H1083"/>
      <c r="I1083"/>
      <c r="J1083"/>
    </row>
    <row r="1084" spans="2:10" s="27" customFormat="1">
      <c r="B1084"/>
      <c r="C1084"/>
      <c r="D1084"/>
      <c r="E1084"/>
      <c r="F1084"/>
      <c r="G1084"/>
      <c r="H1084"/>
      <c r="I1084"/>
      <c r="J1084"/>
    </row>
    <row r="1085" spans="2:10" s="27" customFormat="1">
      <c r="B1085"/>
      <c r="C1085"/>
      <c r="D1085"/>
      <c r="E1085"/>
      <c r="F1085"/>
      <c r="G1085"/>
      <c r="H1085"/>
      <c r="I1085"/>
      <c r="J1085"/>
    </row>
    <row r="1086" spans="2:10" s="27" customFormat="1">
      <c r="B1086"/>
      <c r="C1086"/>
      <c r="D1086"/>
      <c r="E1086"/>
      <c r="F1086"/>
      <c r="G1086"/>
      <c r="H1086"/>
      <c r="I1086"/>
      <c r="J1086"/>
    </row>
    <row r="1087" spans="2:10" s="27" customFormat="1">
      <c r="B1087"/>
      <c r="C1087"/>
      <c r="D1087"/>
      <c r="E1087"/>
      <c r="F1087"/>
      <c r="G1087"/>
      <c r="H1087"/>
      <c r="I1087"/>
      <c r="J1087"/>
    </row>
    <row r="1088" spans="2:10" s="27" customFormat="1">
      <c r="B1088"/>
      <c r="C1088"/>
      <c r="D1088"/>
      <c r="E1088"/>
      <c r="F1088"/>
      <c r="G1088"/>
      <c r="H1088"/>
      <c r="I1088"/>
      <c r="J1088"/>
    </row>
    <row r="1089" spans="2:10" s="27" customFormat="1">
      <c r="B1089"/>
      <c r="C1089"/>
      <c r="D1089"/>
      <c r="E1089"/>
      <c r="F1089"/>
      <c r="G1089"/>
      <c r="H1089"/>
      <c r="I1089"/>
      <c r="J1089"/>
    </row>
    <row r="1090" spans="2:10" s="27" customFormat="1">
      <c r="B1090"/>
      <c r="C1090"/>
      <c r="D1090"/>
      <c r="E1090"/>
      <c r="F1090"/>
      <c r="G1090"/>
      <c r="H1090"/>
      <c r="I1090"/>
      <c r="J1090"/>
    </row>
    <row r="1091" spans="2:10" s="27" customFormat="1">
      <c r="B1091"/>
      <c r="C1091"/>
      <c r="D1091"/>
      <c r="E1091"/>
      <c r="F1091"/>
      <c r="G1091"/>
      <c r="H1091"/>
      <c r="I1091"/>
      <c r="J1091"/>
    </row>
    <row r="1092" spans="2:10" s="27" customFormat="1">
      <c r="B1092"/>
      <c r="C1092"/>
      <c r="D1092"/>
      <c r="E1092"/>
      <c r="F1092"/>
      <c r="G1092"/>
      <c r="H1092"/>
      <c r="I1092"/>
      <c r="J1092"/>
    </row>
    <row r="1093" spans="2:10" s="27" customFormat="1">
      <c r="B1093"/>
      <c r="C1093"/>
      <c r="D1093"/>
      <c r="E1093"/>
      <c r="F1093"/>
      <c r="G1093"/>
      <c r="H1093"/>
      <c r="I1093"/>
      <c r="J1093"/>
    </row>
    <row r="1094" spans="2:10" s="27" customFormat="1">
      <c r="B1094"/>
      <c r="C1094"/>
      <c r="D1094"/>
      <c r="E1094"/>
      <c r="F1094"/>
      <c r="G1094"/>
      <c r="H1094"/>
      <c r="I1094"/>
      <c r="J1094"/>
    </row>
    <row r="1095" spans="2:10" s="27" customFormat="1">
      <c r="B1095"/>
      <c r="C1095"/>
      <c r="D1095"/>
      <c r="E1095"/>
      <c r="F1095"/>
      <c r="G1095"/>
      <c r="H1095"/>
      <c r="I1095"/>
      <c r="J1095"/>
    </row>
    <row r="1096" spans="2:10" s="27" customFormat="1">
      <c r="B1096"/>
      <c r="C1096"/>
      <c r="D1096"/>
      <c r="E1096"/>
      <c r="F1096"/>
      <c r="G1096"/>
      <c r="H1096"/>
      <c r="I1096"/>
      <c r="J1096"/>
    </row>
    <row r="1097" spans="2:10" s="27" customFormat="1">
      <c r="B1097"/>
      <c r="C1097"/>
      <c r="D1097"/>
      <c r="E1097"/>
      <c r="F1097"/>
      <c r="G1097"/>
      <c r="H1097"/>
      <c r="I1097"/>
      <c r="J1097"/>
    </row>
    <row r="1098" spans="2:10" s="27" customFormat="1">
      <c r="B1098"/>
      <c r="C1098"/>
      <c r="D1098"/>
      <c r="E1098"/>
      <c r="F1098"/>
      <c r="G1098"/>
      <c r="H1098"/>
      <c r="I1098"/>
      <c r="J1098"/>
    </row>
    <row r="1099" spans="2:10" s="27" customFormat="1">
      <c r="B1099"/>
      <c r="C1099"/>
      <c r="D1099"/>
      <c r="E1099"/>
      <c r="F1099"/>
      <c r="G1099"/>
      <c r="H1099"/>
      <c r="I1099"/>
      <c r="J1099"/>
    </row>
    <row r="1100" spans="2:10" s="27" customFormat="1">
      <c r="B1100"/>
      <c r="C1100"/>
      <c r="D1100"/>
      <c r="E1100"/>
      <c r="F1100"/>
      <c r="G1100"/>
      <c r="H1100"/>
      <c r="I1100"/>
      <c r="J1100"/>
    </row>
    <row r="1101" spans="2:10" s="27" customFormat="1">
      <c r="B1101"/>
      <c r="C1101"/>
      <c r="D1101"/>
      <c r="E1101"/>
      <c r="F1101"/>
      <c r="G1101"/>
      <c r="H1101"/>
      <c r="I1101"/>
      <c r="J1101"/>
    </row>
    <row r="1102" spans="2:10" s="27" customFormat="1">
      <c r="B1102"/>
      <c r="C1102"/>
      <c r="D1102"/>
      <c r="E1102"/>
      <c r="F1102"/>
      <c r="G1102"/>
      <c r="H1102"/>
      <c r="I1102"/>
      <c r="J1102"/>
    </row>
    <row r="1103" spans="2:10" s="27" customFormat="1">
      <c r="B1103"/>
      <c r="C1103"/>
      <c r="D1103"/>
      <c r="E1103"/>
      <c r="F1103"/>
      <c r="G1103"/>
      <c r="H1103"/>
      <c r="I1103"/>
      <c r="J1103"/>
    </row>
    <row r="1104" spans="2:10" s="27" customFormat="1">
      <c r="B1104"/>
      <c r="C1104"/>
      <c r="D1104"/>
      <c r="E1104"/>
      <c r="F1104"/>
      <c r="G1104"/>
      <c r="H1104"/>
      <c r="I1104"/>
      <c r="J1104"/>
    </row>
    <row r="1105" spans="2:10" s="27" customFormat="1">
      <c r="B1105"/>
      <c r="C1105"/>
      <c r="D1105"/>
      <c r="E1105"/>
      <c r="F1105"/>
      <c r="G1105"/>
      <c r="H1105"/>
      <c r="I1105"/>
      <c r="J1105"/>
    </row>
    <row r="1106" spans="2:10" s="27" customFormat="1">
      <c r="B1106"/>
      <c r="C1106"/>
      <c r="D1106"/>
      <c r="E1106"/>
      <c r="F1106"/>
      <c r="G1106"/>
      <c r="H1106"/>
      <c r="I1106"/>
      <c r="J1106"/>
    </row>
    <row r="1107" spans="2:10" s="27" customFormat="1">
      <c r="B1107"/>
      <c r="C1107"/>
      <c r="D1107"/>
      <c r="E1107"/>
      <c r="F1107"/>
      <c r="G1107"/>
      <c r="H1107"/>
      <c r="I1107"/>
      <c r="J1107"/>
    </row>
    <row r="1108" spans="2:10" s="27" customFormat="1">
      <c r="B1108"/>
      <c r="C1108"/>
      <c r="D1108"/>
      <c r="E1108"/>
      <c r="F1108"/>
      <c r="G1108"/>
      <c r="H1108"/>
      <c r="I1108"/>
      <c r="J1108"/>
    </row>
    <row r="1109" spans="2:10" s="27" customFormat="1">
      <c r="B1109"/>
      <c r="C1109"/>
      <c r="D1109"/>
      <c r="E1109"/>
      <c r="F1109"/>
      <c r="G1109"/>
      <c r="H1109"/>
      <c r="I1109"/>
      <c r="J1109"/>
    </row>
    <row r="1110" spans="2:10" s="27" customFormat="1">
      <c r="B1110"/>
      <c r="C1110"/>
      <c r="D1110"/>
      <c r="E1110"/>
      <c r="F1110"/>
      <c r="G1110"/>
      <c r="H1110"/>
      <c r="I1110"/>
      <c r="J1110"/>
    </row>
    <row r="1111" spans="2:10" s="27" customFormat="1">
      <c r="B1111"/>
      <c r="C1111"/>
      <c r="D1111"/>
      <c r="E1111"/>
      <c r="F1111"/>
      <c r="G1111"/>
      <c r="H1111"/>
      <c r="I1111"/>
      <c r="J1111"/>
    </row>
    <row r="1112" spans="2:10" s="27" customFormat="1">
      <c r="B1112"/>
      <c r="C1112"/>
      <c r="D1112"/>
      <c r="E1112"/>
      <c r="F1112"/>
      <c r="G1112"/>
      <c r="H1112"/>
      <c r="I1112"/>
      <c r="J1112"/>
    </row>
    <row r="1113" spans="2:10" s="27" customFormat="1">
      <c r="B1113"/>
      <c r="C1113"/>
      <c r="D1113"/>
      <c r="E1113"/>
      <c r="F1113"/>
      <c r="G1113"/>
      <c r="H1113"/>
      <c r="I1113"/>
      <c r="J1113"/>
    </row>
    <row r="1114" spans="2:10" s="27" customFormat="1">
      <c r="B1114"/>
      <c r="C1114"/>
      <c r="D1114"/>
      <c r="E1114"/>
      <c r="F1114"/>
      <c r="G1114"/>
      <c r="H1114"/>
      <c r="I1114"/>
      <c r="J1114"/>
    </row>
    <row r="1115" spans="2:10" s="27" customFormat="1">
      <c r="B1115"/>
      <c r="C1115"/>
      <c r="D1115"/>
      <c r="E1115"/>
      <c r="F1115"/>
      <c r="G1115"/>
      <c r="H1115"/>
      <c r="I1115"/>
      <c r="J1115"/>
    </row>
    <row r="1116" spans="2:10" s="27" customFormat="1">
      <c r="B1116"/>
      <c r="C1116"/>
      <c r="D1116"/>
      <c r="E1116"/>
      <c r="F1116"/>
      <c r="G1116"/>
      <c r="H1116"/>
      <c r="I1116"/>
      <c r="J1116"/>
    </row>
    <row r="1117" spans="2:10" s="27" customFormat="1">
      <c r="B1117"/>
      <c r="C1117"/>
      <c r="D1117"/>
      <c r="E1117"/>
      <c r="F1117"/>
      <c r="G1117"/>
      <c r="H1117"/>
      <c r="I1117"/>
      <c r="J1117"/>
    </row>
    <row r="1118" spans="2:10" s="27" customFormat="1">
      <c r="B1118"/>
      <c r="C1118"/>
      <c r="D1118"/>
      <c r="E1118"/>
      <c r="F1118"/>
      <c r="G1118"/>
      <c r="H1118"/>
      <c r="I1118"/>
      <c r="J1118"/>
    </row>
    <row r="1119" spans="2:10" s="27" customFormat="1">
      <c r="B1119"/>
      <c r="C1119"/>
      <c r="D1119"/>
      <c r="E1119"/>
      <c r="F1119"/>
      <c r="G1119"/>
      <c r="H1119"/>
      <c r="I1119"/>
      <c r="J1119"/>
    </row>
    <row r="1120" spans="2:10" s="27" customFormat="1">
      <c r="B1120"/>
      <c r="C1120"/>
      <c r="D1120"/>
      <c r="E1120"/>
      <c r="F1120"/>
      <c r="G1120"/>
      <c r="H1120"/>
      <c r="I1120"/>
      <c r="J1120"/>
    </row>
    <row r="1121" spans="2:10" s="27" customFormat="1">
      <c r="B1121"/>
      <c r="C1121"/>
      <c r="D1121"/>
      <c r="E1121"/>
      <c r="F1121"/>
      <c r="G1121"/>
      <c r="H1121"/>
      <c r="I1121"/>
      <c r="J1121"/>
    </row>
    <row r="1122" spans="2:10" s="27" customFormat="1">
      <c r="B1122"/>
      <c r="C1122"/>
      <c r="D1122"/>
      <c r="E1122"/>
      <c r="F1122"/>
      <c r="G1122"/>
      <c r="H1122"/>
      <c r="I1122"/>
      <c r="J1122"/>
    </row>
    <row r="1123" spans="2:10" s="27" customFormat="1">
      <c r="B1123"/>
      <c r="C1123"/>
      <c r="D1123"/>
      <c r="E1123"/>
      <c r="F1123"/>
      <c r="G1123"/>
      <c r="H1123"/>
      <c r="I1123"/>
      <c r="J1123"/>
    </row>
    <row r="1124" spans="2:10" s="27" customFormat="1">
      <c r="B1124"/>
      <c r="C1124"/>
      <c r="D1124"/>
      <c r="E1124"/>
      <c r="F1124"/>
      <c r="G1124"/>
      <c r="H1124"/>
      <c r="I1124"/>
      <c r="J1124"/>
    </row>
    <row r="1125" spans="2:10" s="27" customFormat="1">
      <c r="B1125"/>
      <c r="C1125"/>
      <c r="D1125"/>
      <c r="E1125"/>
      <c r="F1125"/>
      <c r="G1125"/>
      <c r="H1125"/>
      <c r="I1125"/>
      <c r="J1125"/>
    </row>
    <row r="1126" spans="2:10" s="27" customFormat="1">
      <c r="B1126"/>
      <c r="C1126"/>
      <c r="D1126"/>
      <c r="E1126"/>
      <c r="F1126"/>
      <c r="G1126"/>
      <c r="H1126"/>
      <c r="I1126"/>
      <c r="J1126"/>
    </row>
    <row r="1127" spans="2:10" s="27" customFormat="1">
      <c r="B1127"/>
      <c r="C1127"/>
      <c r="D1127"/>
      <c r="E1127"/>
      <c r="F1127"/>
      <c r="G1127"/>
      <c r="H1127"/>
      <c r="I1127"/>
      <c r="J1127"/>
    </row>
    <row r="1128" spans="2:10" s="27" customFormat="1">
      <c r="B1128"/>
      <c r="C1128"/>
      <c r="D1128"/>
      <c r="E1128"/>
      <c r="F1128"/>
      <c r="G1128"/>
      <c r="H1128"/>
      <c r="I1128"/>
      <c r="J1128"/>
    </row>
    <row r="1129" spans="2:10" s="27" customFormat="1">
      <c r="B1129"/>
      <c r="C1129"/>
      <c r="D1129"/>
      <c r="E1129"/>
      <c r="F1129"/>
      <c r="G1129"/>
      <c r="H1129"/>
      <c r="I1129"/>
      <c r="J1129"/>
    </row>
    <row r="1130" spans="2:10" s="27" customFormat="1">
      <c r="B1130"/>
      <c r="C1130"/>
      <c r="D1130"/>
      <c r="E1130"/>
      <c r="F1130"/>
      <c r="G1130"/>
      <c r="H1130"/>
      <c r="I1130"/>
      <c r="J1130"/>
    </row>
    <row r="1131" spans="2:10" s="27" customFormat="1">
      <c r="B1131"/>
      <c r="C1131"/>
      <c r="D1131"/>
      <c r="E1131"/>
      <c r="F1131"/>
      <c r="G1131"/>
      <c r="H1131"/>
      <c r="I1131"/>
      <c r="J1131"/>
    </row>
    <row r="1132" spans="2:10" s="27" customFormat="1">
      <c r="B1132"/>
      <c r="C1132"/>
      <c r="D1132"/>
      <c r="E1132"/>
      <c r="F1132"/>
      <c r="G1132"/>
      <c r="H1132"/>
      <c r="I1132"/>
      <c r="J1132"/>
    </row>
    <row r="1133" spans="2:10" s="27" customFormat="1">
      <c r="B1133"/>
      <c r="C1133"/>
      <c r="D1133"/>
      <c r="E1133"/>
      <c r="F1133"/>
      <c r="G1133"/>
      <c r="H1133"/>
      <c r="I1133"/>
      <c r="J1133"/>
    </row>
    <row r="1134" spans="2:10" s="27" customFormat="1">
      <c r="B1134"/>
      <c r="C1134"/>
      <c r="D1134"/>
      <c r="E1134"/>
      <c r="F1134"/>
      <c r="G1134"/>
      <c r="H1134"/>
      <c r="I1134"/>
      <c r="J1134"/>
    </row>
    <row r="1135" spans="2:10" s="27" customFormat="1">
      <c r="B1135"/>
      <c r="C1135"/>
      <c r="D1135"/>
      <c r="E1135"/>
      <c r="F1135"/>
      <c r="G1135"/>
      <c r="H1135"/>
      <c r="I1135"/>
      <c r="J1135"/>
    </row>
    <row r="1136" spans="2:10" s="27" customFormat="1">
      <c r="B1136"/>
      <c r="C1136"/>
      <c r="D1136"/>
      <c r="E1136"/>
      <c r="F1136"/>
      <c r="G1136"/>
      <c r="H1136"/>
      <c r="I1136"/>
      <c r="J1136"/>
    </row>
    <row r="1137" spans="2:10" s="27" customFormat="1">
      <c r="B1137"/>
      <c r="C1137"/>
      <c r="D1137"/>
      <c r="E1137"/>
      <c r="F1137"/>
      <c r="G1137"/>
      <c r="H1137"/>
      <c r="I1137"/>
      <c r="J1137"/>
    </row>
    <row r="1138" spans="2:10" s="27" customFormat="1">
      <c r="B1138"/>
      <c r="C1138"/>
      <c r="D1138"/>
      <c r="E1138"/>
      <c r="F1138"/>
      <c r="G1138"/>
      <c r="H1138"/>
      <c r="I1138"/>
      <c r="J1138"/>
    </row>
    <row r="1139" spans="2:10" s="27" customFormat="1">
      <c r="B1139"/>
      <c r="C1139"/>
      <c r="D1139"/>
      <c r="E1139"/>
      <c r="F1139"/>
      <c r="G1139"/>
      <c r="H1139"/>
      <c r="I1139"/>
      <c r="J1139"/>
    </row>
    <row r="1140" spans="2:10" s="27" customFormat="1">
      <c r="B1140"/>
      <c r="C1140"/>
      <c r="D1140"/>
      <c r="E1140"/>
      <c r="F1140"/>
      <c r="G1140"/>
      <c r="H1140"/>
      <c r="I1140"/>
      <c r="J1140"/>
    </row>
    <row r="1141" spans="2:10" s="27" customFormat="1">
      <c r="B1141"/>
      <c r="C1141"/>
      <c r="D1141"/>
      <c r="E1141"/>
      <c r="F1141"/>
      <c r="G1141"/>
      <c r="H1141"/>
      <c r="I1141"/>
      <c r="J1141"/>
    </row>
    <row r="1142" spans="2:10" s="27" customFormat="1">
      <c r="B1142"/>
      <c r="C1142"/>
      <c r="D1142"/>
      <c r="E1142"/>
      <c r="F1142"/>
      <c r="G1142"/>
      <c r="H1142"/>
      <c r="I1142"/>
      <c r="J1142"/>
    </row>
    <row r="1143" spans="2:10" s="27" customFormat="1">
      <c r="B1143"/>
      <c r="C1143"/>
      <c r="D1143"/>
      <c r="E1143"/>
      <c r="F1143"/>
      <c r="G1143"/>
      <c r="H1143"/>
      <c r="I1143"/>
      <c r="J1143"/>
    </row>
    <row r="1144" spans="2:10" s="27" customFormat="1">
      <c r="B1144"/>
      <c r="C1144"/>
      <c r="D1144"/>
      <c r="E1144"/>
      <c r="F1144"/>
      <c r="G1144"/>
      <c r="H1144"/>
      <c r="I1144"/>
      <c r="J1144"/>
    </row>
    <row r="1145" spans="2:10" s="27" customFormat="1">
      <c r="B1145"/>
      <c r="C1145"/>
      <c r="D1145"/>
      <c r="E1145"/>
      <c r="F1145"/>
      <c r="G1145"/>
      <c r="H1145"/>
      <c r="I1145"/>
      <c r="J1145"/>
    </row>
    <row r="1146" spans="2:10" s="27" customFormat="1">
      <c r="B1146"/>
      <c r="C1146"/>
      <c r="D1146"/>
      <c r="E1146"/>
      <c r="F1146"/>
      <c r="G1146"/>
      <c r="H1146"/>
      <c r="I1146"/>
      <c r="J1146"/>
    </row>
    <row r="1147" spans="2:10" s="27" customFormat="1">
      <c r="B1147"/>
      <c r="C1147"/>
      <c r="D1147"/>
      <c r="E1147"/>
      <c r="F1147"/>
      <c r="G1147"/>
      <c r="H1147"/>
      <c r="I1147"/>
      <c r="J1147"/>
    </row>
    <row r="1148" spans="2:10" s="27" customFormat="1">
      <c r="B1148"/>
      <c r="C1148"/>
      <c r="D1148"/>
      <c r="E1148"/>
      <c r="F1148"/>
      <c r="G1148"/>
      <c r="H1148"/>
      <c r="I1148"/>
      <c r="J1148"/>
    </row>
    <row r="1149" spans="2:10" s="27" customFormat="1">
      <c r="B1149"/>
      <c r="C1149"/>
      <c r="D1149"/>
      <c r="E1149"/>
      <c r="F1149"/>
      <c r="G1149"/>
      <c r="H1149"/>
      <c r="I1149"/>
      <c r="J1149"/>
    </row>
    <row r="1150" spans="2:10" s="27" customFormat="1">
      <c r="B1150"/>
      <c r="C1150"/>
      <c r="D1150"/>
      <c r="E1150"/>
      <c r="F1150"/>
      <c r="G1150"/>
      <c r="H1150"/>
      <c r="I1150"/>
      <c r="J1150"/>
    </row>
    <row r="1151" spans="2:10" s="27" customFormat="1">
      <c r="B1151"/>
      <c r="C1151"/>
      <c r="D1151"/>
      <c r="E1151"/>
      <c r="F1151"/>
      <c r="G1151"/>
      <c r="H1151"/>
      <c r="I1151"/>
      <c r="J1151"/>
    </row>
    <row r="1152" spans="2:10" s="27" customFormat="1">
      <c r="B1152"/>
      <c r="C1152"/>
      <c r="D1152"/>
      <c r="E1152"/>
      <c r="F1152"/>
      <c r="G1152"/>
      <c r="H1152"/>
      <c r="I1152"/>
      <c r="J1152"/>
    </row>
    <row r="1153" spans="2:10" s="27" customFormat="1">
      <c r="B1153"/>
      <c r="C1153"/>
      <c r="D1153"/>
      <c r="E1153"/>
      <c r="F1153"/>
      <c r="G1153"/>
      <c r="H1153"/>
      <c r="I1153"/>
      <c r="J1153"/>
    </row>
    <row r="1154" spans="2:10" s="27" customFormat="1">
      <c r="B1154"/>
      <c r="C1154"/>
      <c r="D1154"/>
      <c r="E1154"/>
      <c r="F1154"/>
      <c r="G1154"/>
      <c r="H1154"/>
      <c r="I1154"/>
      <c r="J1154"/>
    </row>
    <row r="1155" spans="2:10" s="27" customFormat="1">
      <c r="B1155"/>
      <c r="C1155"/>
      <c r="D1155"/>
      <c r="E1155"/>
      <c r="F1155"/>
      <c r="G1155"/>
      <c r="H1155"/>
      <c r="I1155"/>
      <c r="J1155"/>
    </row>
    <row r="1156" spans="2:10" s="27" customFormat="1">
      <c r="B1156"/>
      <c r="C1156"/>
      <c r="D1156"/>
      <c r="E1156"/>
      <c r="F1156"/>
      <c r="G1156"/>
      <c r="H1156"/>
      <c r="I1156"/>
      <c r="J1156"/>
    </row>
    <row r="1157" spans="2:10" s="27" customFormat="1">
      <c r="B1157"/>
      <c r="C1157"/>
      <c r="D1157"/>
      <c r="E1157"/>
      <c r="F1157"/>
      <c r="G1157"/>
      <c r="H1157"/>
      <c r="I1157"/>
      <c r="J1157"/>
    </row>
    <row r="1158" spans="2:10" s="27" customFormat="1">
      <c r="B1158"/>
      <c r="C1158"/>
      <c r="D1158"/>
      <c r="E1158"/>
      <c r="F1158"/>
      <c r="G1158"/>
      <c r="H1158"/>
      <c r="I1158"/>
      <c r="J1158"/>
    </row>
    <row r="1159" spans="2:10" s="27" customFormat="1">
      <c r="B1159"/>
      <c r="C1159"/>
      <c r="D1159"/>
      <c r="E1159"/>
      <c r="F1159"/>
      <c r="G1159"/>
      <c r="H1159"/>
      <c r="I1159"/>
      <c r="J1159"/>
    </row>
    <row r="1160" spans="2:10" s="27" customFormat="1">
      <c r="B1160"/>
      <c r="C1160"/>
      <c r="D1160"/>
      <c r="E1160"/>
      <c r="F1160"/>
      <c r="G1160"/>
      <c r="H1160"/>
      <c r="I1160"/>
      <c r="J1160"/>
    </row>
    <row r="1161" spans="2:10" s="27" customFormat="1">
      <c r="B1161"/>
      <c r="C1161"/>
      <c r="D1161"/>
      <c r="E1161"/>
      <c r="F1161"/>
      <c r="G1161"/>
      <c r="H1161"/>
      <c r="I1161"/>
      <c r="J1161"/>
    </row>
    <row r="1162" spans="2:10" s="27" customFormat="1">
      <c r="B1162"/>
      <c r="C1162"/>
      <c r="D1162"/>
      <c r="E1162"/>
      <c r="F1162"/>
      <c r="G1162"/>
      <c r="H1162"/>
      <c r="I1162"/>
      <c r="J1162"/>
    </row>
    <row r="1163" spans="2:10" s="27" customFormat="1">
      <c r="B1163"/>
      <c r="C1163"/>
      <c r="D1163"/>
      <c r="E1163"/>
      <c r="F1163"/>
      <c r="G1163"/>
      <c r="H1163"/>
      <c r="I1163"/>
      <c r="J1163"/>
    </row>
    <row r="1164" spans="2:10" s="27" customFormat="1">
      <c r="B1164"/>
      <c r="C1164"/>
      <c r="D1164"/>
      <c r="E1164"/>
      <c r="F1164"/>
      <c r="G1164"/>
      <c r="H1164"/>
      <c r="I1164"/>
      <c r="J1164"/>
    </row>
    <row r="1165" spans="2:10" s="27" customFormat="1">
      <c r="B1165"/>
      <c r="C1165"/>
      <c r="D1165"/>
      <c r="E1165"/>
      <c r="F1165"/>
      <c r="G1165"/>
      <c r="H1165"/>
      <c r="I1165"/>
      <c r="J1165"/>
    </row>
    <row r="1166" spans="2:10" s="27" customFormat="1">
      <c r="B1166"/>
      <c r="C1166"/>
      <c r="D1166"/>
      <c r="E1166"/>
      <c r="F1166"/>
      <c r="G1166"/>
      <c r="H1166"/>
      <c r="I1166"/>
      <c r="J1166"/>
    </row>
    <row r="1167" spans="2:10" s="27" customFormat="1">
      <c r="B1167"/>
      <c r="C1167"/>
      <c r="D1167"/>
      <c r="E1167"/>
      <c r="F1167"/>
      <c r="G1167"/>
      <c r="H1167"/>
      <c r="I1167"/>
      <c r="J1167"/>
    </row>
    <row r="1168" spans="2:10" s="27" customFormat="1">
      <c r="B1168"/>
      <c r="C1168"/>
      <c r="D1168"/>
      <c r="E1168"/>
      <c r="F1168"/>
      <c r="G1168"/>
      <c r="H1168"/>
      <c r="I1168"/>
      <c r="J1168"/>
    </row>
    <row r="1169" spans="2:10" s="27" customFormat="1">
      <c r="B1169"/>
      <c r="C1169"/>
      <c r="D1169"/>
      <c r="E1169"/>
      <c r="F1169"/>
      <c r="G1169"/>
      <c r="H1169"/>
      <c r="I1169"/>
      <c r="J1169"/>
    </row>
    <row r="1170" spans="2:10" s="27" customFormat="1">
      <c r="B1170"/>
      <c r="C1170"/>
      <c r="D1170"/>
      <c r="E1170"/>
      <c r="F1170"/>
      <c r="G1170"/>
      <c r="H1170"/>
      <c r="I1170"/>
      <c r="J1170"/>
    </row>
    <row r="1171" spans="2:10" s="27" customFormat="1">
      <c r="B1171"/>
      <c r="C1171"/>
      <c r="D1171"/>
      <c r="E1171"/>
      <c r="F1171"/>
      <c r="G1171"/>
      <c r="H1171"/>
      <c r="I1171"/>
      <c r="J1171"/>
    </row>
    <row r="1172" spans="2:10" s="27" customFormat="1">
      <c r="B1172"/>
      <c r="C1172"/>
      <c r="D1172"/>
      <c r="E1172"/>
      <c r="F1172"/>
      <c r="G1172"/>
      <c r="H1172"/>
      <c r="I1172"/>
      <c r="J1172"/>
    </row>
    <row r="1173" spans="2:10" s="27" customFormat="1">
      <c r="B1173"/>
      <c r="C1173"/>
      <c r="D1173"/>
      <c r="E1173"/>
      <c r="F1173"/>
      <c r="G1173"/>
      <c r="H1173"/>
      <c r="I1173"/>
      <c r="J1173"/>
    </row>
    <row r="1174" spans="2:10" s="27" customFormat="1">
      <c r="B1174"/>
      <c r="C1174"/>
      <c r="D1174"/>
      <c r="E1174"/>
      <c r="F1174"/>
      <c r="G1174"/>
      <c r="H1174"/>
      <c r="I1174"/>
      <c r="J1174"/>
    </row>
    <row r="1175" spans="2:10" s="27" customFormat="1">
      <c r="B1175"/>
      <c r="C1175"/>
      <c r="D1175"/>
      <c r="E1175"/>
      <c r="F1175"/>
      <c r="G1175"/>
      <c r="H1175"/>
      <c r="I1175"/>
      <c r="J1175"/>
    </row>
    <row r="1176" spans="2:10" s="27" customFormat="1">
      <c r="B1176"/>
      <c r="C1176"/>
      <c r="D1176"/>
      <c r="E1176"/>
      <c r="F1176"/>
      <c r="G1176"/>
      <c r="H1176"/>
      <c r="I1176"/>
      <c r="J1176"/>
    </row>
    <row r="1177" spans="2:10" s="27" customFormat="1">
      <c r="B1177"/>
      <c r="C1177"/>
      <c r="D1177"/>
      <c r="E1177"/>
      <c r="F1177"/>
      <c r="G1177"/>
      <c r="H1177"/>
      <c r="I1177"/>
      <c r="J1177"/>
    </row>
    <row r="1178" spans="2:10" s="27" customFormat="1">
      <c r="B1178"/>
      <c r="C1178"/>
      <c r="D1178"/>
      <c r="E1178"/>
      <c r="F1178"/>
      <c r="G1178"/>
      <c r="H1178"/>
      <c r="I1178"/>
      <c r="J1178"/>
    </row>
    <row r="1179" spans="2:10" s="27" customFormat="1">
      <c r="B1179"/>
      <c r="C1179"/>
      <c r="D1179"/>
      <c r="E1179"/>
      <c r="F1179"/>
      <c r="G1179"/>
      <c r="H1179"/>
      <c r="I1179"/>
      <c r="J1179"/>
    </row>
    <row r="1180" spans="2:10" s="27" customFormat="1">
      <c r="B1180"/>
      <c r="C1180"/>
      <c r="D1180"/>
      <c r="E1180"/>
      <c r="F1180"/>
      <c r="G1180"/>
      <c r="H1180"/>
      <c r="I1180"/>
      <c r="J1180"/>
    </row>
    <row r="1181" spans="2:10" s="27" customFormat="1">
      <c r="B1181"/>
      <c r="C1181"/>
      <c r="D1181"/>
      <c r="E1181"/>
      <c r="F1181"/>
      <c r="G1181"/>
      <c r="H1181"/>
      <c r="I1181"/>
      <c r="J1181"/>
    </row>
    <row r="1182" spans="2:10" s="27" customFormat="1">
      <c r="B1182"/>
      <c r="C1182"/>
      <c r="D1182"/>
      <c r="E1182"/>
      <c r="F1182"/>
      <c r="G1182"/>
      <c r="H1182"/>
      <c r="I1182"/>
      <c r="J1182"/>
    </row>
    <row r="1183" spans="2:10" s="27" customFormat="1">
      <c r="B1183"/>
      <c r="C1183"/>
      <c r="D1183"/>
      <c r="E1183"/>
      <c r="F1183"/>
      <c r="G1183"/>
      <c r="H1183"/>
      <c r="I1183"/>
      <c r="J1183"/>
    </row>
    <row r="1184" spans="2:10" s="27" customFormat="1">
      <c r="B1184"/>
      <c r="C1184"/>
      <c r="D1184"/>
      <c r="E1184"/>
      <c r="F1184"/>
      <c r="G1184"/>
      <c r="H1184"/>
      <c r="I1184"/>
      <c r="J1184"/>
    </row>
    <row r="1185" spans="2:10" s="27" customFormat="1">
      <c r="B1185"/>
      <c r="C1185"/>
      <c r="D1185"/>
      <c r="E1185"/>
      <c r="F1185"/>
      <c r="G1185"/>
      <c r="H1185"/>
      <c r="I1185"/>
      <c r="J1185"/>
    </row>
    <row r="1186" spans="2:10" s="27" customFormat="1">
      <c r="B1186"/>
      <c r="C1186"/>
      <c r="D1186"/>
      <c r="E1186"/>
      <c r="F1186"/>
      <c r="G1186"/>
      <c r="H1186"/>
      <c r="I1186"/>
      <c r="J1186"/>
    </row>
    <row r="1187" spans="2:10" s="27" customFormat="1">
      <c r="B1187"/>
      <c r="C1187"/>
      <c r="D1187"/>
      <c r="E1187"/>
      <c r="F1187"/>
      <c r="G1187"/>
      <c r="H1187"/>
      <c r="I1187"/>
      <c r="J1187"/>
    </row>
    <row r="1188" spans="2:10" s="27" customFormat="1">
      <c r="B1188"/>
      <c r="C1188"/>
      <c r="D1188"/>
      <c r="E1188"/>
      <c r="F1188"/>
      <c r="G1188"/>
      <c r="H1188"/>
      <c r="I1188"/>
      <c r="J1188"/>
    </row>
    <row r="1189" spans="2:10" s="27" customFormat="1">
      <c r="B1189"/>
      <c r="C1189"/>
      <c r="D1189"/>
      <c r="E1189"/>
      <c r="F1189"/>
      <c r="G1189"/>
      <c r="H1189"/>
      <c r="I1189"/>
      <c r="J1189"/>
    </row>
    <row r="1190" spans="2:10" s="27" customFormat="1">
      <c r="B1190"/>
      <c r="C1190"/>
      <c r="D1190"/>
      <c r="E1190"/>
      <c r="F1190"/>
      <c r="G1190"/>
      <c r="H1190"/>
      <c r="I1190"/>
      <c r="J1190"/>
    </row>
    <row r="1191" spans="2:10" s="27" customFormat="1">
      <c r="B1191"/>
      <c r="C1191"/>
      <c r="D1191"/>
      <c r="E1191"/>
      <c r="F1191"/>
      <c r="G1191"/>
      <c r="H1191"/>
      <c r="I1191"/>
      <c r="J1191"/>
    </row>
    <row r="1192" spans="2:10" s="27" customFormat="1">
      <c r="B1192"/>
      <c r="C1192"/>
      <c r="D1192"/>
      <c r="E1192"/>
      <c r="F1192"/>
      <c r="G1192"/>
      <c r="H1192"/>
      <c r="I1192"/>
      <c r="J1192"/>
    </row>
    <row r="1193" spans="2:10" s="27" customFormat="1">
      <c r="B1193"/>
      <c r="C1193"/>
      <c r="D1193"/>
      <c r="E1193"/>
      <c r="F1193"/>
      <c r="G1193"/>
      <c r="H1193"/>
      <c r="I1193"/>
      <c r="J1193"/>
    </row>
    <row r="1194" spans="2:10" s="27" customFormat="1">
      <c r="B1194"/>
      <c r="C1194"/>
      <c r="D1194"/>
      <c r="E1194"/>
      <c r="F1194"/>
      <c r="G1194"/>
      <c r="H1194"/>
      <c r="I1194"/>
      <c r="J1194"/>
    </row>
    <row r="1195" spans="2:10" s="27" customFormat="1">
      <c r="B1195"/>
      <c r="C1195"/>
      <c r="D1195"/>
      <c r="E1195"/>
      <c r="F1195"/>
      <c r="G1195"/>
      <c r="H1195"/>
      <c r="I1195"/>
      <c r="J1195"/>
    </row>
    <row r="1196" spans="2:10" s="27" customFormat="1">
      <c r="B1196"/>
      <c r="C1196"/>
      <c r="D1196"/>
      <c r="E1196"/>
      <c r="F1196"/>
      <c r="G1196"/>
      <c r="H1196"/>
      <c r="I1196"/>
      <c r="J1196"/>
    </row>
    <row r="1197" spans="2:10" s="27" customFormat="1">
      <c r="B1197"/>
      <c r="C1197"/>
      <c r="D1197"/>
      <c r="E1197"/>
      <c r="F1197"/>
      <c r="G1197"/>
      <c r="H1197"/>
      <c r="I1197"/>
      <c r="J1197"/>
    </row>
    <row r="1198" spans="2:10" s="27" customFormat="1">
      <c r="B1198"/>
      <c r="C1198"/>
      <c r="D1198"/>
      <c r="E1198"/>
      <c r="F1198"/>
      <c r="G1198"/>
      <c r="H1198"/>
      <c r="I1198"/>
      <c r="J1198"/>
    </row>
    <row r="1199" spans="2:10" s="27" customFormat="1">
      <c r="B1199"/>
      <c r="C1199"/>
      <c r="D1199"/>
      <c r="E1199"/>
      <c r="F1199"/>
      <c r="G1199"/>
      <c r="H1199"/>
      <c r="I1199"/>
      <c r="J1199"/>
    </row>
    <row r="1200" spans="2:10" s="27" customFormat="1">
      <c r="B1200"/>
      <c r="C1200"/>
      <c r="D1200"/>
      <c r="E1200"/>
      <c r="F1200"/>
      <c r="G1200"/>
      <c r="H1200"/>
      <c r="I1200"/>
      <c r="J1200"/>
    </row>
    <row r="1201" spans="2:10" s="27" customFormat="1">
      <c r="B1201"/>
      <c r="C1201"/>
      <c r="D1201"/>
      <c r="E1201"/>
      <c r="F1201"/>
      <c r="G1201"/>
      <c r="H1201"/>
      <c r="I1201"/>
      <c r="J1201"/>
    </row>
    <row r="1202" spans="2:10" s="27" customFormat="1">
      <c r="B1202"/>
      <c r="C1202"/>
      <c r="D1202"/>
      <c r="E1202"/>
      <c r="F1202"/>
      <c r="G1202"/>
      <c r="H1202"/>
      <c r="I1202"/>
      <c r="J1202"/>
    </row>
    <row r="1203" spans="2:10" s="27" customFormat="1">
      <c r="B1203"/>
      <c r="C1203"/>
      <c r="D1203"/>
      <c r="E1203"/>
      <c r="F1203"/>
      <c r="G1203"/>
      <c r="H1203"/>
      <c r="I1203"/>
      <c r="J1203"/>
    </row>
    <row r="1204" spans="2:10" s="27" customFormat="1">
      <c r="B1204"/>
      <c r="C1204"/>
      <c r="D1204"/>
      <c r="E1204"/>
      <c r="F1204"/>
      <c r="G1204"/>
      <c r="H1204"/>
      <c r="I1204"/>
      <c r="J1204"/>
    </row>
    <row r="1205" spans="2:10" s="27" customFormat="1">
      <c r="B1205"/>
      <c r="C1205"/>
      <c r="D1205"/>
      <c r="E1205"/>
      <c r="F1205"/>
      <c r="G1205"/>
      <c r="H1205"/>
      <c r="I1205"/>
      <c r="J1205"/>
    </row>
    <row r="1206" spans="2:10" s="27" customFormat="1">
      <c r="B1206"/>
      <c r="C1206"/>
      <c r="D1206"/>
      <c r="E1206"/>
      <c r="F1206"/>
      <c r="G1206"/>
      <c r="H1206"/>
      <c r="I1206"/>
      <c r="J1206"/>
    </row>
    <row r="1207" spans="2:10" s="27" customFormat="1">
      <c r="B1207"/>
      <c r="C1207"/>
      <c r="D1207"/>
      <c r="E1207"/>
      <c r="F1207"/>
      <c r="G1207"/>
      <c r="H1207"/>
      <c r="I1207"/>
      <c r="J1207"/>
    </row>
    <row r="1208" spans="2:10" s="27" customFormat="1">
      <c r="B1208"/>
      <c r="C1208"/>
      <c r="D1208"/>
      <c r="E1208"/>
      <c r="F1208"/>
      <c r="G1208"/>
      <c r="H1208"/>
      <c r="I1208"/>
      <c r="J1208"/>
    </row>
    <row r="1209" spans="2:10" s="27" customFormat="1">
      <c r="B1209"/>
      <c r="C1209"/>
      <c r="D1209"/>
      <c r="E1209"/>
      <c r="F1209"/>
      <c r="G1209"/>
      <c r="H1209"/>
      <c r="I1209"/>
      <c r="J1209"/>
    </row>
    <row r="1210" spans="2:10" s="27" customFormat="1">
      <c r="B1210"/>
      <c r="C1210"/>
      <c r="D1210"/>
      <c r="E1210"/>
      <c r="F1210"/>
      <c r="G1210"/>
      <c r="H1210"/>
      <c r="I1210"/>
      <c r="J1210"/>
    </row>
    <row r="1211" spans="2:10" s="27" customFormat="1">
      <c r="B1211"/>
      <c r="C1211"/>
      <c r="D1211"/>
      <c r="E1211"/>
      <c r="F1211"/>
      <c r="G1211"/>
      <c r="H1211"/>
      <c r="I1211"/>
      <c r="J1211"/>
    </row>
    <row r="1212" spans="2:10" s="27" customFormat="1">
      <c r="B1212"/>
      <c r="C1212"/>
      <c r="D1212"/>
      <c r="E1212"/>
      <c r="F1212"/>
      <c r="G1212"/>
      <c r="H1212"/>
      <c r="I1212"/>
      <c r="J1212"/>
    </row>
    <row r="1213" spans="2:10" s="27" customFormat="1">
      <c r="B1213"/>
      <c r="C1213"/>
      <c r="D1213"/>
      <c r="E1213"/>
      <c r="F1213"/>
      <c r="G1213"/>
      <c r="H1213"/>
      <c r="I1213"/>
      <c r="J1213"/>
    </row>
    <row r="1214" spans="2:10" s="27" customFormat="1">
      <c r="B1214"/>
      <c r="C1214"/>
      <c r="D1214"/>
      <c r="E1214"/>
      <c r="F1214"/>
      <c r="G1214"/>
      <c r="H1214"/>
      <c r="I1214"/>
      <c r="J1214"/>
    </row>
    <row r="1215" spans="2:10" s="27" customFormat="1">
      <c r="B1215"/>
      <c r="C1215"/>
      <c r="D1215"/>
      <c r="E1215"/>
      <c r="F1215"/>
      <c r="G1215"/>
      <c r="H1215"/>
      <c r="I1215"/>
      <c r="J1215"/>
    </row>
    <row r="1216" spans="2:10" s="27" customFormat="1">
      <c r="B1216"/>
      <c r="C1216"/>
      <c r="D1216"/>
      <c r="E1216"/>
      <c r="F1216"/>
      <c r="G1216"/>
      <c r="H1216"/>
      <c r="I1216"/>
      <c r="J1216"/>
    </row>
    <row r="1217" spans="2:10" s="27" customFormat="1">
      <c r="B1217"/>
      <c r="C1217"/>
      <c r="D1217"/>
      <c r="E1217"/>
      <c r="F1217"/>
      <c r="G1217"/>
      <c r="H1217"/>
      <c r="I1217"/>
      <c r="J1217"/>
    </row>
    <row r="1218" spans="2:10" s="27" customFormat="1">
      <c r="B1218"/>
      <c r="C1218"/>
      <c r="D1218"/>
      <c r="E1218"/>
      <c r="F1218"/>
      <c r="G1218"/>
      <c r="H1218"/>
      <c r="I1218"/>
      <c r="J1218"/>
    </row>
    <row r="1219" spans="2:10" s="27" customFormat="1">
      <c r="B1219"/>
      <c r="C1219"/>
      <c r="D1219"/>
      <c r="E1219"/>
      <c r="F1219"/>
      <c r="G1219"/>
      <c r="H1219"/>
      <c r="I1219"/>
      <c r="J1219"/>
    </row>
    <row r="1220" spans="2:10" s="27" customFormat="1">
      <c r="B1220"/>
      <c r="C1220"/>
      <c r="D1220"/>
      <c r="E1220"/>
      <c r="F1220"/>
      <c r="G1220"/>
      <c r="H1220"/>
      <c r="I1220"/>
      <c r="J1220"/>
    </row>
    <row r="1221" spans="2:10" s="27" customFormat="1">
      <c r="B1221"/>
      <c r="C1221"/>
      <c r="D1221"/>
      <c r="E1221"/>
      <c r="F1221"/>
      <c r="G1221"/>
      <c r="H1221"/>
      <c r="I1221"/>
      <c r="J1221"/>
    </row>
    <row r="1222" spans="2:10" s="27" customFormat="1">
      <c r="B1222"/>
      <c r="C1222"/>
      <c r="D1222"/>
      <c r="E1222"/>
      <c r="F1222"/>
      <c r="G1222"/>
      <c r="H1222"/>
      <c r="I1222"/>
      <c r="J1222"/>
    </row>
    <row r="1223" spans="2:10" s="27" customFormat="1">
      <c r="B1223"/>
      <c r="C1223"/>
      <c r="D1223"/>
      <c r="E1223"/>
      <c r="F1223"/>
      <c r="G1223"/>
      <c r="H1223"/>
      <c r="I1223"/>
      <c r="J1223"/>
    </row>
    <row r="1224" spans="2:10" s="27" customFormat="1">
      <c r="B1224"/>
      <c r="C1224"/>
      <c r="D1224"/>
      <c r="E1224"/>
      <c r="F1224"/>
      <c r="G1224"/>
      <c r="H1224"/>
      <c r="I1224"/>
      <c r="J1224"/>
    </row>
    <row r="1225" spans="2:10" s="27" customFormat="1">
      <c r="B1225"/>
      <c r="C1225"/>
      <c r="D1225"/>
      <c r="E1225"/>
      <c r="F1225"/>
      <c r="G1225"/>
      <c r="H1225"/>
      <c r="I1225"/>
      <c r="J1225"/>
    </row>
    <row r="1226" spans="2:10" s="27" customFormat="1">
      <c r="B1226"/>
      <c r="C1226"/>
      <c r="D1226"/>
      <c r="E1226"/>
      <c r="F1226"/>
      <c r="G1226"/>
      <c r="H1226"/>
      <c r="I1226"/>
      <c r="J1226"/>
    </row>
    <row r="1227" spans="2:10" s="27" customFormat="1">
      <c r="B1227"/>
      <c r="C1227"/>
      <c r="D1227"/>
      <c r="E1227"/>
      <c r="F1227"/>
      <c r="G1227"/>
      <c r="H1227"/>
      <c r="I1227"/>
      <c r="J1227"/>
    </row>
    <row r="1228" spans="2:10" s="27" customFormat="1">
      <c r="B1228"/>
      <c r="C1228"/>
      <c r="D1228"/>
      <c r="E1228"/>
      <c r="F1228"/>
      <c r="G1228"/>
      <c r="H1228"/>
      <c r="I1228"/>
      <c r="J1228"/>
    </row>
    <row r="1229" spans="2:10" s="27" customFormat="1">
      <c r="B1229"/>
      <c r="C1229"/>
      <c r="D1229"/>
      <c r="E1229"/>
      <c r="F1229"/>
      <c r="G1229"/>
      <c r="H1229"/>
      <c r="I1229"/>
      <c r="J1229"/>
    </row>
    <row r="1230" spans="2:10" s="27" customFormat="1">
      <c r="B1230"/>
      <c r="C1230"/>
      <c r="D1230"/>
      <c r="E1230"/>
      <c r="F1230"/>
      <c r="G1230"/>
      <c r="H1230"/>
      <c r="I1230"/>
      <c r="J1230"/>
    </row>
    <row r="1231" spans="2:10" s="27" customFormat="1">
      <c r="B1231"/>
      <c r="C1231"/>
      <c r="D1231"/>
      <c r="E1231"/>
      <c r="F1231"/>
      <c r="G1231"/>
      <c r="H1231"/>
      <c r="I1231"/>
      <c r="J1231"/>
    </row>
    <row r="1232" spans="2:10" s="27" customFormat="1">
      <c r="B1232"/>
      <c r="C1232"/>
      <c r="D1232"/>
      <c r="E1232"/>
      <c r="F1232"/>
      <c r="G1232"/>
      <c r="H1232"/>
      <c r="I1232"/>
      <c r="J1232"/>
    </row>
    <row r="1233" spans="2:10" s="27" customFormat="1">
      <c r="B1233"/>
      <c r="C1233"/>
      <c r="D1233"/>
      <c r="E1233"/>
      <c r="F1233"/>
      <c r="G1233"/>
      <c r="H1233"/>
      <c r="I1233"/>
      <c r="J1233"/>
    </row>
    <row r="1234" spans="2:10" s="27" customFormat="1">
      <c r="B1234"/>
      <c r="C1234"/>
      <c r="D1234"/>
      <c r="E1234"/>
      <c r="F1234"/>
      <c r="G1234"/>
      <c r="H1234"/>
      <c r="I1234"/>
      <c r="J1234"/>
    </row>
    <row r="1235" spans="2:10" s="27" customFormat="1">
      <c r="B1235"/>
      <c r="C1235"/>
      <c r="D1235"/>
      <c r="E1235"/>
      <c r="F1235"/>
      <c r="G1235"/>
      <c r="H1235"/>
      <c r="I1235"/>
      <c r="J1235"/>
    </row>
    <row r="1236" spans="2:10" s="27" customFormat="1">
      <c r="B1236"/>
      <c r="C1236"/>
      <c r="D1236"/>
      <c r="E1236"/>
      <c r="F1236"/>
      <c r="G1236"/>
      <c r="H1236"/>
      <c r="I1236"/>
      <c r="J1236"/>
    </row>
    <row r="1237" spans="2:10" s="27" customFormat="1">
      <c r="B1237"/>
      <c r="C1237"/>
      <c r="D1237"/>
      <c r="E1237"/>
      <c r="F1237"/>
      <c r="G1237"/>
      <c r="H1237"/>
      <c r="I1237"/>
      <c r="J1237"/>
    </row>
    <row r="1238" spans="2:10" s="27" customFormat="1">
      <c r="B1238"/>
      <c r="C1238"/>
      <c r="D1238"/>
      <c r="E1238"/>
      <c r="F1238"/>
      <c r="G1238"/>
      <c r="H1238"/>
      <c r="I1238"/>
      <c r="J1238"/>
    </row>
    <row r="1239" spans="2:10" s="27" customFormat="1">
      <c r="B1239"/>
      <c r="C1239"/>
      <c r="D1239"/>
      <c r="E1239"/>
      <c r="F1239"/>
      <c r="G1239"/>
      <c r="H1239"/>
      <c r="I1239"/>
      <c r="J1239"/>
    </row>
    <row r="1240" spans="2:10" s="27" customFormat="1">
      <c r="B1240"/>
      <c r="C1240"/>
      <c r="D1240"/>
      <c r="E1240"/>
      <c r="F1240"/>
      <c r="G1240"/>
      <c r="H1240"/>
      <c r="I1240"/>
      <c r="J1240"/>
    </row>
    <row r="1241" spans="2:10" s="27" customFormat="1">
      <c r="B1241"/>
      <c r="C1241"/>
      <c r="D1241"/>
      <c r="E1241"/>
      <c r="F1241"/>
      <c r="G1241"/>
      <c r="H1241"/>
      <c r="I1241"/>
      <c r="J1241"/>
    </row>
    <row r="1242" spans="2:10" s="27" customFormat="1">
      <c r="B1242"/>
      <c r="C1242"/>
      <c r="D1242"/>
      <c r="E1242"/>
      <c r="F1242"/>
      <c r="G1242"/>
      <c r="H1242"/>
      <c r="I1242"/>
      <c r="J1242"/>
    </row>
    <row r="1243" spans="2:10" s="27" customFormat="1">
      <c r="B1243"/>
      <c r="C1243"/>
      <c r="D1243"/>
      <c r="E1243"/>
      <c r="F1243"/>
      <c r="G1243"/>
      <c r="H1243"/>
      <c r="I1243"/>
      <c r="J1243"/>
    </row>
    <row r="1244" spans="2:10" s="27" customFormat="1">
      <c r="B1244"/>
      <c r="C1244"/>
      <c r="D1244"/>
      <c r="E1244"/>
      <c r="F1244"/>
      <c r="G1244"/>
      <c r="H1244"/>
      <c r="I1244"/>
      <c r="J1244"/>
    </row>
    <row r="1245" spans="2:10" s="27" customFormat="1">
      <c r="B1245"/>
      <c r="C1245"/>
      <c r="D1245"/>
      <c r="E1245"/>
      <c r="F1245"/>
      <c r="G1245"/>
      <c r="H1245"/>
      <c r="I1245"/>
      <c r="J1245"/>
    </row>
    <row r="1246" spans="2:10" s="27" customFormat="1">
      <c r="B1246"/>
      <c r="C1246"/>
      <c r="D1246"/>
      <c r="E1246"/>
      <c r="F1246"/>
      <c r="G1246"/>
      <c r="H1246"/>
      <c r="I1246"/>
      <c r="J1246"/>
    </row>
    <row r="1247" spans="2:10" s="27" customFormat="1">
      <c r="B1247"/>
      <c r="C1247"/>
      <c r="D1247"/>
      <c r="E1247"/>
      <c r="F1247"/>
      <c r="G1247"/>
      <c r="H1247"/>
      <c r="I1247"/>
      <c r="J1247"/>
    </row>
    <row r="1248" spans="2:10" s="27" customFormat="1">
      <c r="B1248"/>
      <c r="C1248"/>
      <c r="D1248"/>
      <c r="E1248"/>
      <c r="F1248"/>
      <c r="G1248"/>
      <c r="H1248"/>
      <c r="I1248"/>
      <c r="J1248"/>
    </row>
    <row r="1249" spans="2:10" s="27" customFormat="1">
      <c r="B1249"/>
      <c r="C1249"/>
      <c r="D1249"/>
      <c r="E1249"/>
      <c r="F1249"/>
      <c r="G1249"/>
      <c r="H1249"/>
      <c r="I1249"/>
      <c r="J1249"/>
    </row>
    <row r="1250" spans="2:10" s="27" customFormat="1">
      <c r="B1250"/>
      <c r="C1250"/>
      <c r="D1250"/>
      <c r="E1250"/>
      <c r="F1250"/>
      <c r="G1250"/>
      <c r="H1250"/>
      <c r="I1250"/>
      <c r="J1250"/>
    </row>
    <row r="1251" spans="2:10" s="27" customFormat="1">
      <c r="B1251"/>
      <c r="C1251"/>
      <c r="D1251"/>
      <c r="E1251"/>
      <c r="F1251"/>
      <c r="G1251"/>
      <c r="H1251"/>
      <c r="I1251"/>
      <c r="J1251"/>
    </row>
    <row r="1252" spans="2:10" s="27" customFormat="1">
      <c r="B1252"/>
      <c r="C1252"/>
      <c r="D1252"/>
      <c r="E1252"/>
      <c r="F1252"/>
      <c r="G1252"/>
      <c r="H1252"/>
      <c r="I1252"/>
      <c r="J1252"/>
    </row>
    <row r="1253" spans="2:10" s="27" customFormat="1">
      <c r="B1253"/>
      <c r="C1253"/>
      <c r="D1253"/>
      <c r="E1253"/>
      <c r="F1253"/>
      <c r="G1253"/>
      <c r="H1253"/>
      <c r="I1253"/>
      <c r="J1253"/>
    </row>
    <row r="1254" spans="2:10" s="27" customFormat="1">
      <c r="B1254"/>
      <c r="C1254"/>
      <c r="D1254"/>
      <c r="E1254"/>
      <c r="F1254"/>
      <c r="G1254"/>
      <c r="H1254"/>
      <c r="I1254"/>
      <c r="J1254"/>
    </row>
    <row r="1255" spans="2:10" s="27" customFormat="1">
      <c r="B1255"/>
      <c r="C1255"/>
      <c r="D1255"/>
      <c r="E1255"/>
      <c r="F1255"/>
      <c r="G1255"/>
      <c r="H1255"/>
      <c r="I1255"/>
      <c r="J1255"/>
    </row>
    <row r="1256" spans="2:10" s="27" customFormat="1">
      <c r="B1256"/>
      <c r="C1256"/>
      <c r="D1256"/>
      <c r="E1256"/>
      <c r="F1256"/>
      <c r="G1256"/>
      <c r="H1256"/>
      <c r="I1256"/>
      <c r="J1256"/>
    </row>
    <row r="1257" spans="2:10" s="27" customFormat="1">
      <c r="B1257"/>
      <c r="C1257"/>
      <c r="D1257"/>
      <c r="E1257"/>
      <c r="F1257"/>
      <c r="G1257"/>
      <c r="H1257"/>
      <c r="I1257"/>
      <c r="J1257"/>
    </row>
    <row r="1258" spans="2:10" s="27" customFormat="1">
      <c r="B1258"/>
      <c r="C1258"/>
      <c r="D1258"/>
      <c r="E1258"/>
      <c r="F1258"/>
      <c r="G1258"/>
      <c r="H1258"/>
      <c r="I1258"/>
      <c r="J1258"/>
    </row>
    <row r="1259" spans="2:10" s="27" customFormat="1">
      <c r="B1259"/>
      <c r="C1259"/>
      <c r="D1259"/>
      <c r="E1259"/>
      <c r="F1259"/>
      <c r="G1259"/>
      <c r="H1259"/>
      <c r="I1259"/>
      <c r="J1259"/>
    </row>
    <row r="1260" spans="2:10" s="27" customFormat="1">
      <c r="B1260"/>
      <c r="C1260"/>
      <c r="D1260"/>
      <c r="E1260"/>
      <c r="F1260"/>
      <c r="G1260"/>
      <c r="H1260"/>
      <c r="I1260"/>
      <c r="J1260"/>
    </row>
    <row r="1261" spans="2:10" s="27" customFormat="1">
      <c r="B1261"/>
      <c r="C1261"/>
      <c r="D1261"/>
      <c r="E1261"/>
      <c r="F1261"/>
      <c r="G1261"/>
      <c r="H1261"/>
      <c r="I1261"/>
      <c r="J1261"/>
    </row>
    <row r="1262" spans="2:10" s="27" customFormat="1">
      <c r="B1262"/>
      <c r="C1262"/>
      <c r="D1262"/>
      <c r="E1262"/>
      <c r="F1262"/>
      <c r="G1262"/>
      <c r="H1262"/>
      <c r="I1262"/>
      <c r="J1262"/>
    </row>
    <row r="1263" spans="2:10" s="27" customFormat="1">
      <c r="B1263"/>
      <c r="C1263"/>
      <c r="D1263"/>
      <c r="E1263"/>
      <c r="F1263"/>
      <c r="G1263"/>
      <c r="H1263"/>
      <c r="I1263"/>
      <c r="J1263"/>
    </row>
    <row r="1264" spans="2:10" s="27" customFormat="1">
      <c r="B1264"/>
      <c r="C1264"/>
      <c r="D1264"/>
      <c r="E1264"/>
      <c r="F1264"/>
      <c r="G1264"/>
      <c r="H1264"/>
      <c r="I1264"/>
      <c r="J1264"/>
    </row>
    <row r="1265" spans="2:10" s="27" customFormat="1">
      <c r="B1265"/>
      <c r="C1265"/>
      <c r="D1265"/>
      <c r="E1265"/>
      <c r="F1265"/>
      <c r="G1265"/>
      <c r="H1265"/>
      <c r="I1265"/>
      <c r="J1265"/>
    </row>
    <row r="1266" spans="2:10" s="27" customFormat="1">
      <c r="B1266"/>
      <c r="C1266"/>
      <c r="D1266"/>
      <c r="E1266"/>
      <c r="F1266"/>
      <c r="G1266"/>
      <c r="H1266"/>
      <c r="I1266"/>
      <c r="J1266"/>
    </row>
    <row r="1267" spans="2:10" s="27" customFormat="1">
      <c r="B1267"/>
      <c r="C1267"/>
      <c r="D1267"/>
      <c r="E1267"/>
      <c r="F1267"/>
      <c r="G1267"/>
      <c r="H1267"/>
      <c r="I1267"/>
      <c r="J1267"/>
    </row>
    <row r="1268" spans="2:10" s="27" customFormat="1">
      <c r="B1268"/>
      <c r="C1268"/>
      <c r="D1268"/>
      <c r="E1268"/>
      <c r="F1268"/>
      <c r="G1268"/>
      <c r="H1268"/>
      <c r="I1268"/>
      <c r="J1268"/>
    </row>
    <row r="1269" spans="2:10" s="27" customFormat="1">
      <c r="B1269"/>
      <c r="C1269"/>
      <c r="D1269"/>
      <c r="E1269"/>
      <c r="F1269"/>
      <c r="G1269"/>
      <c r="H1269"/>
      <c r="I1269"/>
      <c r="J1269"/>
    </row>
    <row r="1270" spans="2:10" s="27" customFormat="1">
      <c r="B1270"/>
      <c r="C1270"/>
      <c r="D1270"/>
      <c r="E1270"/>
      <c r="F1270"/>
      <c r="G1270"/>
      <c r="H1270"/>
      <c r="I1270"/>
      <c r="J1270"/>
    </row>
    <row r="1271" spans="2:10" s="27" customFormat="1">
      <c r="B1271"/>
      <c r="C1271"/>
      <c r="D1271"/>
      <c r="E1271"/>
      <c r="F1271"/>
      <c r="G1271"/>
      <c r="H1271"/>
      <c r="I1271"/>
      <c r="J1271"/>
    </row>
    <row r="1272" spans="2:10" s="27" customFormat="1">
      <c r="B1272"/>
      <c r="C1272"/>
      <c r="D1272"/>
      <c r="E1272"/>
      <c r="F1272"/>
      <c r="G1272"/>
      <c r="H1272"/>
      <c r="I1272"/>
      <c r="J1272"/>
    </row>
    <row r="1273" spans="2:10" s="27" customFormat="1">
      <c r="B1273"/>
      <c r="C1273"/>
      <c r="D1273"/>
      <c r="E1273"/>
      <c r="F1273"/>
      <c r="G1273"/>
      <c r="H1273"/>
      <c r="I1273"/>
      <c r="J1273"/>
    </row>
    <row r="1274" spans="2:10" s="27" customFormat="1">
      <c r="B1274"/>
      <c r="C1274"/>
      <c r="D1274"/>
      <c r="E1274"/>
      <c r="F1274"/>
      <c r="G1274"/>
      <c r="H1274"/>
      <c r="I1274"/>
      <c r="J1274"/>
    </row>
    <row r="1275" spans="2:10" s="27" customFormat="1">
      <c r="B1275"/>
      <c r="C1275"/>
      <c r="D1275"/>
      <c r="E1275"/>
      <c r="F1275"/>
      <c r="G1275"/>
      <c r="H1275"/>
      <c r="I1275"/>
      <c r="J1275"/>
    </row>
    <row r="1276" spans="2:10" s="27" customFormat="1">
      <c r="B1276"/>
      <c r="C1276"/>
      <c r="D1276"/>
      <c r="E1276"/>
      <c r="F1276"/>
      <c r="G1276"/>
      <c r="H1276"/>
      <c r="I1276"/>
      <c r="J1276"/>
    </row>
    <row r="1277" spans="2:10" s="27" customFormat="1">
      <c r="B1277"/>
      <c r="C1277"/>
      <c r="D1277"/>
      <c r="E1277"/>
      <c r="F1277"/>
      <c r="G1277"/>
      <c r="H1277"/>
      <c r="I1277"/>
      <c r="J1277"/>
    </row>
    <row r="1278" spans="2:10" s="27" customFormat="1">
      <c r="B1278"/>
      <c r="C1278"/>
      <c r="D1278"/>
      <c r="E1278"/>
      <c r="F1278"/>
      <c r="G1278"/>
      <c r="H1278"/>
      <c r="I1278"/>
      <c r="J1278"/>
    </row>
    <row r="1279" spans="2:10" s="27" customFormat="1">
      <c r="B1279"/>
      <c r="C1279"/>
      <c r="D1279"/>
      <c r="E1279"/>
      <c r="F1279"/>
      <c r="G1279"/>
      <c r="H1279"/>
      <c r="I1279"/>
      <c r="J1279"/>
    </row>
    <row r="1280" spans="2:10" s="27" customFormat="1">
      <c r="B1280"/>
      <c r="C1280"/>
      <c r="D1280"/>
      <c r="E1280"/>
      <c r="F1280"/>
      <c r="G1280"/>
      <c r="H1280"/>
      <c r="I1280"/>
      <c r="J1280"/>
    </row>
    <row r="1281" spans="2:10" s="27" customFormat="1">
      <c r="B1281"/>
      <c r="C1281"/>
      <c r="D1281"/>
      <c r="E1281"/>
      <c r="F1281"/>
      <c r="G1281"/>
      <c r="H1281"/>
      <c r="I1281"/>
      <c r="J1281"/>
    </row>
    <row r="1282" spans="2:10" s="27" customFormat="1">
      <c r="B1282"/>
      <c r="C1282"/>
      <c r="D1282"/>
      <c r="E1282"/>
      <c r="F1282"/>
      <c r="G1282"/>
      <c r="H1282"/>
      <c r="I1282"/>
      <c r="J1282"/>
    </row>
    <row r="1283" spans="2:10" s="27" customFormat="1">
      <c r="B1283"/>
      <c r="C1283"/>
      <c r="D1283"/>
      <c r="E1283"/>
      <c r="F1283"/>
      <c r="G1283"/>
      <c r="H1283"/>
      <c r="I1283"/>
      <c r="J1283"/>
    </row>
    <row r="1284" spans="2:10" s="27" customFormat="1">
      <c r="B1284"/>
      <c r="C1284"/>
      <c r="D1284"/>
      <c r="E1284"/>
      <c r="F1284"/>
      <c r="G1284"/>
      <c r="H1284"/>
      <c r="I1284"/>
      <c r="J1284"/>
    </row>
    <row r="1285" spans="2:10" s="27" customFormat="1">
      <c r="B1285"/>
      <c r="C1285"/>
      <c r="D1285"/>
      <c r="E1285"/>
      <c r="F1285"/>
      <c r="G1285"/>
      <c r="H1285"/>
      <c r="I1285"/>
      <c r="J1285"/>
    </row>
    <row r="1286" spans="2:10" s="27" customFormat="1">
      <c r="B1286"/>
      <c r="C1286"/>
      <c r="D1286"/>
      <c r="E1286"/>
      <c r="F1286"/>
      <c r="G1286"/>
      <c r="H1286"/>
      <c r="I1286"/>
      <c r="J1286"/>
    </row>
    <row r="1287" spans="2:10" s="27" customFormat="1">
      <c r="B1287"/>
      <c r="C1287"/>
      <c r="D1287"/>
      <c r="E1287"/>
      <c r="F1287"/>
      <c r="G1287"/>
      <c r="H1287"/>
      <c r="I1287"/>
      <c r="J1287"/>
    </row>
    <row r="1288" spans="2:10" s="27" customFormat="1">
      <c r="B1288"/>
      <c r="C1288"/>
      <c r="D1288"/>
      <c r="E1288"/>
      <c r="F1288"/>
      <c r="G1288"/>
      <c r="H1288"/>
      <c r="I1288"/>
      <c r="J1288"/>
    </row>
    <row r="1289" spans="2:10" s="27" customFormat="1">
      <c r="B1289"/>
      <c r="C1289"/>
      <c r="D1289"/>
      <c r="E1289"/>
      <c r="F1289"/>
      <c r="G1289"/>
      <c r="H1289"/>
      <c r="I1289"/>
      <c r="J1289"/>
    </row>
    <row r="1290" spans="2:10" s="27" customFormat="1">
      <c r="B1290"/>
      <c r="C1290"/>
      <c r="D1290"/>
      <c r="E1290"/>
      <c r="F1290"/>
      <c r="G1290"/>
      <c r="H1290"/>
      <c r="I1290"/>
      <c r="J1290"/>
    </row>
    <row r="1291" spans="2:10" s="27" customFormat="1">
      <c r="B1291"/>
      <c r="C1291"/>
      <c r="D1291"/>
      <c r="E1291"/>
      <c r="F1291"/>
      <c r="G1291"/>
      <c r="H1291"/>
      <c r="I1291"/>
      <c r="J1291"/>
    </row>
    <row r="1292" spans="2:10" s="27" customFormat="1">
      <c r="B1292"/>
      <c r="C1292"/>
      <c r="D1292"/>
      <c r="E1292"/>
      <c r="F1292"/>
      <c r="G1292"/>
      <c r="H1292"/>
      <c r="I1292"/>
      <c r="J1292"/>
    </row>
    <row r="1293" spans="2:10" s="27" customFormat="1">
      <c r="B1293"/>
      <c r="C1293"/>
      <c r="D1293"/>
      <c r="E1293"/>
      <c r="F1293"/>
      <c r="G1293"/>
      <c r="H1293"/>
      <c r="I1293"/>
      <c r="J1293"/>
    </row>
    <row r="1294" spans="2:10" s="27" customFormat="1">
      <c r="B1294"/>
      <c r="C1294"/>
      <c r="D1294"/>
      <c r="E1294"/>
      <c r="F1294"/>
      <c r="G1294"/>
      <c r="H1294"/>
      <c r="I1294"/>
      <c r="J1294"/>
    </row>
    <row r="1295" spans="2:10" s="27" customFormat="1">
      <c r="B1295"/>
      <c r="C1295"/>
      <c r="D1295"/>
      <c r="E1295"/>
      <c r="F1295"/>
      <c r="G1295"/>
      <c r="H1295"/>
      <c r="I1295"/>
      <c r="J1295"/>
    </row>
    <row r="1296" spans="2:10" s="27" customFormat="1">
      <c r="B1296"/>
      <c r="C1296"/>
      <c r="D1296"/>
      <c r="E1296"/>
      <c r="F1296"/>
      <c r="G1296"/>
      <c r="H1296"/>
      <c r="I1296"/>
      <c r="J1296"/>
    </row>
    <row r="1297" spans="2:10" s="27" customFormat="1">
      <c r="B1297"/>
      <c r="C1297"/>
      <c r="D1297"/>
      <c r="E1297"/>
      <c r="F1297"/>
      <c r="G1297"/>
      <c r="H1297"/>
      <c r="I1297"/>
      <c r="J1297"/>
    </row>
    <row r="1298" spans="2:10" s="27" customFormat="1">
      <c r="B1298"/>
      <c r="C1298"/>
      <c r="D1298"/>
      <c r="E1298"/>
      <c r="F1298"/>
      <c r="G1298"/>
      <c r="H1298"/>
      <c r="I1298"/>
      <c r="J1298"/>
    </row>
    <row r="1299" spans="2:10" s="27" customFormat="1">
      <c r="B1299"/>
      <c r="C1299"/>
      <c r="D1299"/>
      <c r="E1299"/>
      <c r="F1299"/>
      <c r="G1299"/>
      <c r="H1299"/>
      <c r="I1299"/>
      <c r="J1299"/>
    </row>
    <row r="1300" spans="2:10" s="27" customFormat="1">
      <c r="B1300"/>
      <c r="C1300"/>
      <c r="D1300"/>
      <c r="E1300"/>
      <c r="F1300"/>
      <c r="G1300"/>
      <c r="H1300"/>
      <c r="I1300"/>
      <c r="J1300"/>
    </row>
    <row r="1301" spans="2:10" s="27" customFormat="1">
      <c r="B1301"/>
      <c r="C1301"/>
      <c r="D1301"/>
      <c r="E1301"/>
      <c r="F1301"/>
      <c r="G1301"/>
      <c r="H1301"/>
      <c r="I1301"/>
      <c r="J1301"/>
    </row>
    <row r="1302" spans="2:10" s="27" customFormat="1">
      <c r="B1302"/>
      <c r="C1302"/>
      <c r="D1302"/>
      <c r="E1302"/>
      <c r="F1302"/>
      <c r="G1302"/>
      <c r="H1302"/>
      <c r="I1302"/>
      <c r="J1302"/>
    </row>
    <row r="1303" spans="2:10" s="27" customFormat="1">
      <c r="B1303"/>
      <c r="C1303"/>
      <c r="D1303"/>
      <c r="E1303"/>
      <c r="F1303"/>
      <c r="G1303"/>
      <c r="H1303"/>
      <c r="I1303"/>
      <c r="J1303"/>
    </row>
    <row r="1304" spans="2:10" s="27" customFormat="1">
      <c r="B1304"/>
      <c r="C1304"/>
      <c r="D1304"/>
      <c r="E1304"/>
      <c r="F1304"/>
      <c r="G1304"/>
      <c r="H1304"/>
      <c r="I1304"/>
      <c r="J1304"/>
    </row>
    <row r="1305" spans="2:10" s="27" customFormat="1">
      <c r="B1305"/>
      <c r="C1305"/>
      <c r="D1305"/>
      <c r="E1305"/>
      <c r="F1305"/>
      <c r="G1305"/>
      <c r="H1305"/>
      <c r="I1305"/>
      <c r="J1305"/>
    </row>
    <row r="1306" spans="2:10" s="27" customFormat="1">
      <c r="B1306"/>
      <c r="C1306"/>
      <c r="D1306"/>
      <c r="E1306"/>
      <c r="F1306"/>
      <c r="G1306"/>
      <c r="H1306"/>
      <c r="I1306"/>
      <c r="J1306"/>
    </row>
    <row r="1307" spans="2:10" s="27" customFormat="1">
      <c r="B1307"/>
      <c r="C1307"/>
      <c r="D1307"/>
      <c r="E1307"/>
      <c r="F1307"/>
      <c r="G1307"/>
      <c r="H1307"/>
      <c r="I1307"/>
      <c r="J1307"/>
    </row>
    <row r="1308" spans="2:10" s="27" customFormat="1">
      <c r="B1308"/>
      <c r="C1308"/>
      <c r="D1308"/>
      <c r="E1308"/>
      <c r="F1308"/>
      <c r="G1308"/>
      <c r="H1308"/>
      <c r="I1308"/>
      <c r="J1308"/>
    </row>
    <row r="1309" spans="2:10" s="27" customFormat="1">
      <c r="B1309"/>
      <c r="C1309"/>
      <c r="D1309"/>
      <c r="E1309"/>
      <c r="F1309"/>
      <c r="G1309"/>
      <c r="H1309"/>
      <c r="I1309"/>
      <c r="J1309"/>
    </row>
    <row r="1310" spans="2:10" s="27" customFormat="1">
      <c r="B1310"/>
      <c r="C1310"/>
      <c r="D1310"/>
      <c r="E1310"/>
      <c r="F1310"/>
      <c r="G1310"/>
      <c r="H1310"/>
      <c r="I1310"/>
      <c r="J1310"/>
    </row>
    <row r="1311" spans="2:10" s="27" customFormat="1">
      <c r="B1311"/>
      <c r="C1311"/>
      <c r="D1311"/>
      <c r="E1311"/>
      <c r="F1311"/>
      <c r="G1311"/>
      <c r="H1311"/>
      <c r="I1311"/>
      <c r="J1311"/>
    </row>
    <row r="1312" spans="2:10" s="27" customFormat="1">
      <c r="B1312"/>
      <c r="C1312"/>
      <c r="D1312"/>
      <c r="E1312"/>
      <c r="F1312"/>
      <c r="G1312"/>
      <c r="H1312"/>
      <c r="I1312"/>
      <c r="J1312"/>
    </row>
    <row r="1313" spans="2:10" s="27" customFormat="1">
      <c r="B1313"/>
      <c r="C1313"/>
      <c r="D1313"/>
      <c r="E1313"/>
      <c r="F1313"/>
      <c r="G1313"/>
      <c r="H1313"/>
      <c r="I1313"/>
      <c r="J1313"/>
    </row>
    <row r="1314" spans="2:10" s="27" customFormat="1">
      <c r="B1314"/>
      <c r="C1314"/>
      <c r="D1314"/>
      <c r="E1314"/>
      <c r="F1314"/>
      <c r="G1314"/>
      <c r="H1314"/>
      <c r="I1314"/>
      <c r="J1314"/>
    </row>
    <row r="1315" spans="2:10" s="27" customFormat="1">
      <c r="B1315"/>
      <c r="C1315"/>
      <c r="D1315"/>
      <c r="E1315"/>
      <c r="F1315"/>
      <c r="G1315"/>
      <c r="H1315"/>
      <c r="I1315"/>
      <c r="J1315"/>
    </row>
    <row r="1316" spans="2:10" s="27" customFormat="1">
      <c r="B1316"/>
      <c r="C1316"/>
      <c r="D1316"/>
      <c r="E1316"/>
      <c r="F1316"/>
      <c r="G1316"/>
      <c r="H1316"/>
      <c r="I1316"/>
      <c r="J1316"/>
    </row>
    <row r="1317" spans="2:10" s="27" customFormat="1">
      <c r="B1317"/>
      <c r="C1317"/>
      <c r="D1317"/>
      <c r="E1317"/>
      <c r="F1317"/>
      <c r="G1317"/>
      <c r="H1317"/>
      <c r="I1317"/>
      <c r="J1317"/>
    </row>
    <row r="1318" spans="2:10" s="27" customFormat="1">
      <c r="B1318"/>
      <c r="C1318"/>
      <c r="D1318"/>
      <c r="E1318"/>
      <c r="F1318"/>
      <c r="G1318"/>
      <c r="H1318"/>
      <c r="I1318"/>
      <c r="J1318"/>
    </row>
    <row r="1319" spans="2:10" s="27" customFormat="1">
      <c r="B1319"/>
      <c r="C1319"/>
      <c r="D1319"/>
      <c r="E1319"/>
      <c r="F1319"/>
      <c r="G1319"/>
      <c r="H1319"/>
      <c r="I1319"/>
      <c r="J1319"/>
    </row>
    <row r="1320" spans="2:10" s="27" customFormat="1">
      <c r="B1320"/>
      <c r="C1320"/>
      <c r="D1320"/>
      <c r="E1320"/>
      <c r="F1320"/>
      <c r="G1320"/>
      <c r="H1320"/>
      <c r="I1320"/>
      <c r="J1320"/>
    </row>
    <row r="1321" spans="2:10" s="27" customFormat="1">
      <c r="B1321"/>
      <c r="C1321"/>
      <c r="D1321"/>
      <c r="E1321"/>
      <c r="F1321"/>
      <c r="G1321"/>
      <c r="H1321"/>
      <c r="I1321"/>
      <c r="J1321"/>
    </row>
    <row r="1322" spans="2:10" s="27" customFormat="1">
      <c r="B1322"/>
      <c r="C1322"/>
      <c r="D1322"/>
      <c r="E1322"/>
      <c r="F1322"/>
      <c r="G1322"/>
      <c r="H1322"/>
      <c r="I1322"/>
      <c r="J1322"/>
    </row>
    <row r="1323" spans="2:10" s="27" customFormat="1">
      <c r="B1323"/>
      <c r="C1323"/>
      <c r="D1323"/>
      <c r="E1323"/>
      <c r="F1323"/>
      <c r="G1323"/>
      <c r="H1323"/>
      <c r="I1323"/>
      <c r="J1323"/>
    </row>
    <row r="1324" spans="2:10" s="27" customFormat="1">
      <c r="B1324"/>
      <c r="C1324"/>
      <c r="D1324"/>
      <c r="E1324"/>
      <c r="F1324"/>
      <c r="G1324"/>
      <c r="H1324"/>
      <c r="I1324"/>
      <c r="J1324"/>
    </row>
    <row r="1325" spans="2:10" s="27" customFormat="1">
      <c r="B1325"/>
      <c r="C1325"/>
      <c r="D1325"/>
      <c r="E1325"/>
      <c r="F1325"/>
      <c r="G1325"/>
      <c r="H1325"/>
      <c r="I1325"/>
      <c r="J1325"/>
    </row>
    <row r="1326" spans="2:10" s="27" customFormat="1">
      <c r="B1326"/>
      <c r="C1326"/>
      <c r="D1326"/>
      <c r="E1326"/>
      <c r="F1326"/>
      <c r="G1326"/>
      <c r="H1326"/>
      <c r="I1326"/>
      <c r="J1326"/>
    </row>
    <row r="1327" spans="2:10" s="27" customFormat="1">
      <c r="B1327"/>
      <c r="C1327"/>
      <c r="D1327"/>
      <c r="E1327"/>
      <c r="F1327"/>
      <c r="G1327"/>
      <c r="H1327"/>
      <c r="I1327"/>
      <c r="J1327"/>
    </row>
    <row r="1328" spans="2:10" s="27" customFormat="1">
      <c r="B1328"/>
      <c r="C1328"/>
      <c r="D1328"/>
      <c r="E1328"/>
      <c r="F1328"/>
      <c r="G1328"/>
      <c r="H1328"/>
      <c r="I1328"/>
      <c r="J1328"/>
    </row>
    <row r="1329" spans="2:10" s="27" customFormat="1">
      <c r="B1329"/>
      <c r="C1329"/>
      <c r="D1329"/>
      <c r="E1329"/>
      <c r="F1329"/>
      <c r="G1329"/>
      <c r="H1329"/>
      <c r="I1329"/>
      <c r="J1329"/>
    </row>
    <row r="1330" spans="2:10" s="27" customFormat="1">
      <c r="B1330"/>
      <c r="C1330"/>
      <c r="D1330"/>
      <c r="E1330"/>
      <c r="F1330"/>
      <c r="G1330"/>
      <c r="H1330"/>
      <c r="I1330"/>
      <c r="J1330"/>
    </row>
    <row r="1331" spans="2:10" s="27" customFormat="1">
      <c r="B1331"/>
      <c r="C1331"/>
      <c r="D1331"/>
      <c r="E1331"/>
      <c r="F1331"/>
      <c r="G1331"/>
      <c r="H1331"/>
      <c r="I1331"/>
      <c r="J1331"/>
    </row>
    <row r="1332" spans="2:10" s="27" customFormat="1">
      <c r="B1332"/>
      <c r="C1332"/>
      <c r="D1332"/>
      <c r="E1332"/>
      <c r="F1332"/>
      <c r="G1332"/>
      <c r="H1332"/>
      <c r="I1332"/>
      <c r="J1332"/>
    </row>
    <row r="1333" spans="2:10" s="27" customFormat="1">
      <c r="B1333"/>
      <c r="C1333"/>
      <c r="D1333"/>
      <c r="E1333"/>
      <c r="F1333"/>
      <c r="G1333"/>
      <c r="H1333"/>
      <c r="I1333"/>
      <c r="J1333"/>
    </row>
    <row r="1334" spans="2:10" s="27" customFormat="1">
      <c r="B1334"/>
      <c r="C1334"/>
      <c r="D1334"/>
      <c r="E1334"/>
      <c r="F1334"/>
      <c r="G1334"/>
      <c r="H1334"/>
      <c r="I1334"/>
      <c r="J1334"/>
    </row>
    <row r="1335" spans="2:10" s="27" customFormat="1">
      <c r="B1335"/>
      <c r="C1335"/>
      <c r="D1335"/>
      <c r="E1335"/>
      <c r="F1335"/>
      <c r="G1335"/>
      <c r="H1335"/>
      <c r="I1335"/>
      <c r="J1335"/>
    </row>
    <row r="1336" spans="2:10" s="27" customFormat="1">
      <c r="B1336"/>
      <c r="C1336"/>
      <c r="D1336"/>
      <c r="E1336"/>
      <c r="F1336"/>
      <c r="G1336"/>
      <c r="H1336"/>
      <c r="I1336"/>
      <c r="J1336"/>
    </row>
    <row r="1337" spans="2:10" s="27" customFormat="1">
      <c r="B1337"/>
      <c r="C1337"/>
      <c r="D1337"/>
      <c r="E1337"/>
      <c r="F1337"/>
      <c r="G1337"/>
      <c r="H1337"/>
      <c r="I1337"/>
      <c r="J1337"/>
    </row>
    <row r="1338" spans="2:10" s="27" customFormat="1">
      <c r="B1338"/>
      <c r="C1338"/>
      <c r="D1338"/>
      <c r="E1338"/>
      <c r="F1338"/>
      <c r="G1338"/>
      <c r="H1338"/>
      <c r="I1338"/>
      <c r="J1338"/>
    </row>
    <row r="1339" spans="2:10" s="27" customFormat="1">
      <c r="B1339"/>
      <c r="C1339"/>
      <c r="D1339"/>
      <c r="E1339"/>
      <c r="F1339"/>
      <c r="G1339"/>
      <c r="H1339"/>
      <c r="I1339"/>
      <c r="J1339"/>
    </row>
    <row r="1340" spans="2:10" s="27" customFormat="1">
      <c r="B1340"/>
      <c r="C1340"/>
      <c r="D1340"/>
      <c r="E1340"/>
      <c r="F1340"/>
      <c r="G1340"/>
      <c r="H1340"/>
      <c r="I1340"/>
      <c r="J1340"/>
    </row>
    <row r="1341" spans="2:10" s="27" customFormat="1">
      <c r="B1341"/>
      <c r="C1341"/>
      <c r="D1341"/>
      <c r="E1341"/>
      <c r="F1341"/>
      <c r="G1341"/>
      <c r="H1341"/>
      <c r="I1341"/>
      <c r="J1341"/>
    </row>
    <row r="1342" spans="2:10" s="27" customFormat="1">
      <c r="B1342"/>
      <c r="C1342"/>
      <c r="D1342"/>
      <c r="E1342"/>
      <c r="F1342"/>
      <c r="G1342"/>
      <c r="H1342"/>
      <c r="I1342"/>
      <c r="J1342"/>
    </row>
    <row r="1343" spans="2:10" s="27" customFormat="1">
      <c r="B1343"/>
      <c r="C1343"/>
      <c r="D1343"/>
      <c r="E1343"/>
      <c r="F1343"/>
      <c r="G1343"/>
      <c r="H1343"/>
      <c r="I1343"/>
      <c r="J1343"/>
    </row>
    <row r="1344" spans="2:10" s="27" customFormat="1">
      <c r="B1344"/>
      <c r="C1344"/>
      <c r="D1344"/>
      <c r="E1344"/>
      <c r="F1344"/>
      <c r="G1344"/>
      <c r="H1344"/>
      <c r="I1344"/>
      <c r="J1344"/>
    </row>
    <row r="1345" spans="2:10" s="27" customFormat="1">
      <c r="B1345"/>
      <c r="C1345"/>
      <c r="D1345"/>
      <c r="E1345"/>
      <c r="F1345"/>
      <c r="G1345"/>
      <c r="H1345"/>
      <c r="I1345"/>
      <c r="J1345"/>
    </row>
    <row r="1346" spans="2:10" s="27" customFormat="1">
      <c r="B1346"/>
      <c r="C1346"/>
      <c r="D1346"/>
      <c r="E1346"/>
      <c r="F1346"/>
      <c r="G1346"/>
      <c r="H1346"/>
      <c r="I1346"/>
      <c r="J1346"/>
    </row>
    <row r="1347" spans="2:10" s="27" customFormat="1">
      <c r="B1347"/>
      <c r="C1347"/>
      <c r="D1347"/>
      <c r="E1347"/>
      <c r="F1347"/>
      <c r="G1347"/>
      <c r="H1347"/>
      <c r="I1347"/>
      <c r="J1347"/>
    </row>
    <row r="1348" spans="2:10" s="27" customFormat="1">
      <c r="B1348"/>
      <c r="C1348"/>
      <c r="D1348"/>
      <c r="E1348"/>
      <c r="F1348"/>
      <c r="G1348"/>
      <c r="H1348"/>
      <c r="I1348"/>
      <c r="J1348"/>
    </row>
    <row r="1349" spans="2:10" s="27" customFormat="1">
      <c r="B1349"/>
      <c r="C1349"/>
      <c r="D1349"/>
      <c r="E1349"/>
      <c r="F1349"/>
      <c r="G1349"/>
      <c r="H1349"/>
      <c r="I1349"/>
      <c r="J1349"/>
    </row>
    <row r="1350" spans="2:10" s="27" customFormat="1">
      <c r="B1350"/>
      <c r="C1350"/>
      <c r="D1350"/>
      <c r="E1350"/>
      <c r="F1350"/>
      <c r="G1350"/>
      <c r="H1350"/>
      <c r="I1350"/>
      <c r="J1350"/>
    </row>
    <row r="1351" spans="2:10" s="27" customFormat="1">
      <c r="B1351"/>
      <c r="C1351"/>
      <c r="D1351"/>
      <c r="E1351"/>
      <c r="F1351"/>
      <c r="G1351"/>
      <c r="H1351"/>
      <c r="I1351"/>
      <c r="J1351"/>
    </row>
    <row r="1352" spans="2:10" s="27" customFormat="1">
      <c r="B1352"/>
      <c r="C1352"/>
      <c r="D1352"/>
      <c r="E1352"/>
      <c r="F1352"/>
      <c r="G1352"/>
      <c r="H1352"/>
      <c r="I1352"/>
      <c r="J1352"/>
    </row>
    <row r="1353" spans="2:10" s="27" customFormat="1">
      <c r="B1353"/>
      <c r="C1353"/>
      <c r="D1353"/>
      <c r="E1353"/>
      <c r="F1353"/>
      <c r="G1353"/>
      <c r="H1353"/>
      <c r="I1353"/>
      <c r="J1353"/>
    </row>
    <row r="1354" spans="2:10" s="27" customFormat="1">
      <c r="B1354"/>
      <c r="C1354"/>
      <c r="D1354"/>
      <c r="E1354"/>
      <c r="F1354"/>
      <c r="G1354"/>
      <c r="H1354"/>
      <c r="I1354"/>
      <c r="J1354"/>
    </row>
    <row r="1355" spans="2:10" s="27" customFormat="1">
      <c r="B1355"/>
      <c r="C1355"/>
      <c r="D1355"/>
      <c r="E1355"/>
      <c r="F1355"/>
      <c r="G1355"/>
      <c r="H1355"/>
      <c r="I1355"/>
      <c r="J1355"/>
    </row>
    <row r="1356" spans="2:10" s="27" customFormat="1">
      <c r="B1356"/>
      <c r="C1356"/>
      <c r="D1356"/>
      <c r="E1356"/>
      <c r="F1356"/>
      <c r="G1356"/>
      <c r="H1356"/>
      <c r="I1356"/>
      <c r="J1356"/>
    </row>
    <row r="1357" spans="2:10" s="27" customFormat="1">
      <c r="B1357"/>
      <c r="C1357"/>
      <c r="D1357"/>
      <c r="E1357"/>
      <c r="F1357"/>
      <c r="G1357"/>
      <c r="H1357"/>
      <c r="I1357"/>
      <c r="J1357"/>
    </row>
    <row r="1358" spans="2:10" s="27" customFormat="1">
      <c r="B1358"/>
      <c r="C1358"/>
      <c r="D1358"/>
      <c r="E1358"/>
      <c r="F1358"/>
      <c r="G1358"/>
      <c r="H1358"/>
      <c r="I1358"/>
      <c r="J1358"/>
    </row>
    <row r="1359" spans="2:10" s="27" customFormat="1">
      <c r="B1359"/>
      <c r="C1359"/>
      <c r="D1359"/>
      <c r="E1359"/>
      <c r="F1359"/>
      <c r="G1359"/>
      <c r="H1359"/>
      <c r="I1359"/>
      <c r="J1359"/>
    </row>
    <row r="1360" spans="2:10" s="27" customFormat="1">
      <c r="B1360"/>
      <c r="C1360"/>
      <c r="D1360"/>
      <c r="E1360"/>
      <c r="F1360"/>
      <c r="G1360"/>
      <c r="H1360"/>
      <c r="I1360"/>
      <c r="J1360"/>
    </row>
    <row r="1361" spans="2:10" s="27" customFormat="1">
      <c r="B1361"/>
      <c r="C1361"/>
      <c r="D1361"/>
      <c r="E1361"/>
      <c r="F1361"/>
      <c r="G1361"/>
      <c r="H1361"/>
      <c r="I1361"/>
      <c r="J1361"/>
    </row>
    <row r="1362" spans="2:10" s="27" customFormat="1">
      <c r="B1362"/>
      <c r="C1362"/>
      <c r="D1362"/>
      <c r="E1362"/>
      <c r="F1362"/>
      <c r="G1362"/>
      <c r="H1362"/>
      <c r="I1362"/>
      <c r="J1362"/>
    </row>
    <row r="1363" spans="2:10" s="27" customFormat="1">
      <c r="B1363"/>
      <c r="C1363"/>
      <c r="D1363"/>
      <c r="E1363"/>
      <c r="F1363"/>
      <c r="G1363"/>
      <c r="H1363"/>
      <c r="I1363"/>
      <c r="J1363"/>
    </row>
    <row r="1364" spans="2:10" s="27" customFormat="1">
      <c r="B1364"/>
      <c r="C1364"/>
      <c r="D1364"/>
      <c r="E1364"/>
      <c r="F1364"/>
      <c r="G1364"/>
      <c r="H1364"/>
      <c r="I1364"/>
      <c r="J1364"/>
    </row>
    <row r="1365" spans="2:10" s="27" customFormat="1">
      <c r="B1365"/>
      <c r="C1365"/>
      <c r="D1365"/>
      <c r="E1365"/>
      <c r="F1365"/>
      <c r="G1365"/>
      <c r="H1365"/>
      <c r="I1365"/>
      <c r="J1365"/>
    </row>
    <row r="1366" spans="2:10" s="27" customFormat="1">
      <c r="B1366"/>
      <c r="C1366"/>
      <c r="D1366"/>
      <c r="E1366"/>
      <c r="F1366"/>
      <c r="G1366"/>
      <c r="H1366"/>
      <c r="I1366"/>
      <c r="J1366"/>
    </row>
    <row r="1367" spans="2:10" s="27" customFormat="1">
      <c r="B1367"/>
      <c r="C1367"/>
      <c r="D1367"/>
      <c r="E1367"/>
      <c r="F1367"/>
      <c r="G1367"/>
      <c r="H1367"/>
      <c r="I1367"/>
      <c r="J1367"/>
    </row>
    <row r="1368" spans="2:10" s="27" customFormat="1">
      <c r="B1368"/>
      <c r="C1368"/>
      <c r="D1368"/>
      <c r="E1368"/>
      <c r="F1368"/>
      <c r="G1368"/>
      <c r="H1368"/>
      <c r="I1368"/>
      <c r="J1368"/>
    </row>
    <row r="1369" spans="2:10" s="27" customFormat="1">
      <c r="B1369"/>
      <c r="C1369"/>
      <c r="D1369"/>
      <c r="E1369"/>
      <c r="F1369"/>
      <c r="G1369"/>
      <c r="H1369"/>
      <c r="I1369"/>
      <c r="J1369"/>
    </row>
    <row r="1370" spans="2:10" s="27" customFormat="1">
      <c r="B1370"/>
      <c r="C1370"/>
      <c r="D1370"/>
      <c r="E1370"/>
      <c r="F1370"/>
      <c r="G1370"/>
      <c r="H1370"/>
      <c r="I1370"/>
      <c r="J1370"/>
    </row>
    <row r="1371" spans="2:10" s="27" customFormat="1">
      <c r="B1371"/>
      <c r="C1371"/>
      <c r="D1371"/>
      <c r="E1371"/>
      <c r="F1371"/>
      <c r="G1371"/>
      <c r="H1371"/>
      <c r="I1371"/>
      <c r="J1371"/>
    </row>
    <row r="1372" spans="2:10" s="27" customFormat="1">
      <c r="B1372"/>
      <c r="C1372"/>
      <c r="D1372"/>
      <c r="E1372"/>
      <c r="F1372"/>
      <c r="G1372"/>
      <c r="H1372"/>
      <c r="I1372"/>
      <c r="J1372"/>
    </row>
    <row r="1373" spans="2:10" s="27" customFormat="1">
      <c r="B1373"/>
      <c r="C1373"/>
      <c r="D1373"/>
      <c r="E1373"/>
      <c r="F1373"/>
      <c r="G1373"/>
      <c r="H1373"/>
      <c r="I1373"/>
      <c r="J1373"/>
    </row>
    <row r="1374" spans="2:10" s="27" customFormat="1">
      <c r="B1374"/>
      <c r="C1374"/>
      <c r="D1374"/>
      <c r="E1374"/>
      <c r="F1374"/>
      <c r="G1374"/>
      <c r="H1374"/>
      <c r="I1374"/>
      <c r="J1374"/>
    </row>
    <row r="1375" spans="2:10" s="27" customFormat="1">
      <c r="B1375"/>
      <c r="C1375"/>
      <c r="D1375"/>
      <c r="E1375"/>
      <c r="F1375"/>
      <c r="G1375"/>
      <c r="H1375"/>
      <c r="I1375"/>
      <c r="J1375"/>
    </row>
    <row r="1376" spans="2:10" s="27" customFormat="1">
      <c r="B1376"/>
      <c r="C1376"/>
      <c r="D1376"/>
      <c r="E1376"/>
      <c r="F1376"/>
      <c r="G1376"/>
      <c r="H1376"/>
      <c r="I1376"/>
      <c r="J1376"/>
    </row>
    <row r="1377" spans="2:10" s="27" customFormat="1">
      <c r="B1377"/>
      <c r="C1377"/>
      <c r="D1377"/>
      <c r="E1377"/>
      <c r="F1377"/>
      <c r="G1377"/>
      <c r="H1377"/>
      <c r="I1377"/>
      <c r="J1377"/>
    </row>
    <row r="1378" spans="2:10" s="27" customFormat="1">
      <c r="B1378"/>
      <c r="C1378"/>
      <c r="D1378"/>
      <c r="E1378"/>
      <c r="F1378"/>
      <c r="G1378"/>
      <c r="H1378"/>
      <c r="I1378"/>
      <c r="J1378"/>
    </row>
    <row r="1379" spans="2:10" s="27" customFormat="1">
      <c r="B1379"/>
      <c r="C1379"/>
      <c r="D1379"/>
      <c r="E1379"/>
      <c r="F1379"/>
      <c r="G1379"/>
      <c r="H1379"/>
      <c r="I1379"/>
      <c r="J1379"/>
    </row>
    <row r="1380" spans="2:10" s="27" customFormat="1">
      <c r="B1380"/>
      <c r="C1380"/>
      <c r="D1380"/>
      <c r="E1380"/>
      <c r="F1380"/>
      <c r="G1380"/>
      <c r="H1380"/>
      <c r="I1380"/>
      <c r="J1380"/>
    </row>
    <row r="1381" spans="2:10" s="27" customFormat="1">
      <c r="B1381"/>
      <c r="C1381"/>
      <c r="D1381"/>
      <c r="E1381"/>
      <c r="F1381"/>
      <c r="G1381"/>
      <c r="H1381"/>
      <c r="I1381"/>
      <c r="J1381"/>
    </row>
    <row r="1382" spans="2:10" s="27" customFormat="1">
      <c r="B1382"/>
      <c r="C1382"/>
      <c r="D1382"/>
      <c r="E1382"/>
      <c r="F1382"/>
      <c r="G1382"/>
      <c r="H1382"/>
      <c r="I1382"/>
      <c r="J1382"/>
    </row>
    <row r="1383" spans="2:10" s="27" customFormat="1">
      <c r="B1383"/>
      <c r="C1383"/>
      <c r="D1383"/>
      <c r="E1383"/>
      <c r="F1383"/>
      <c r="G1383"/>
      <c r="H1383"/>
      <c r="I1383"/>
      <c r="J1383"/>
    </row>
    <row r="1384" spans="2:10" s="27" customFormat="1">
      <c r="B1384"/>
      <c r="C1384"/>
      <c r="D1384"/>
      <c r="E1384"/>
      <c r="F1384"/>
      <c r="G1384"/>
      <c r="H1384"/>
      <c r="I1384"/>
      <c r="J1384"/>
    </row>
    <row r="1385" spans="2:10" s="27" customFormat="1">
      <c r="B1385"/>
      <c r="C1385"/>
      <c r="D1385"/>
      <c r="E1385"/>
      <c r="F1385"/>
      <c r="G1385"/>
      <c r="H1385"/>
      <c r="I1385"/>
      <c r="J1385"/>
    </row>
    <row r="1386" spans="2:10" s="27" customFormat="1">
      <c r="B1386"/>
      <c r="C1386"/>
      <c r="D1386"/>
      <c r="E1386"/>
      <c r="F1386"/>
      <c r="G1386"/>
      <c r="H1386"/>
      <c r="I1386"/>
      <c r="J1386"/>
    </row>
    <row r="1387" spans="2:10" s="27" customFormat="1">
      <c r="B1387"/>
      <c r="C1387"/>
      <c r="D1387"/>
      <c r="E1387"/>
      <c r="F1387"/>
      <c r="G1387"/>
      <c r="H1387"/>
      <c r="I1387"/>
      <c r="J1387"/>
    </row>
    <row r="1388" spans="2:10" s="27" customFormat="1">
      <c r="B1388"/>
      <c r="C1388"/>
      <c r="D1388"/>
      <c r="E1388"/>
      <c r="F1388"/>
      <c r="G1388"/>
      <c r="H1388"/>
      <c r="I1388"/>
      <c r="J1388"/>
    </row>
    <row r="1389" spans="2:10" s="27" customFormat="1">
      <c r="B1389"/>
      <c r="C1389"/>
      <c r="D1389"/>
      <c r="E1389"/>
      <c r="F1389"/>
      <c r="G1389"/>
      <c r="H1389"/>
      <c r="I1389"/>
      <c r="J1389"/>
    </row>
    <row r="1390" spans="2:10" s="27" customFormat="1">
      <c r="B1390"/>
      <c r="C1390"/>
      <c r="D1390"/>
      <c r="E1390"/>
      <c r="F1390"/>
      <c r="G1390"/>
      <c r="H1390"/>
      <c r="I1390"/>
      <c r="J1390"/>
    </row>
    <row r="1391" spans="2:10" s="27" customFormat="1">
      <c r="B1391"/>
      <c r="C1391"/>
      <c r="D1391"/>
      <c r="E1391"/>
      <c r="F1391"/>
      <c r="G1391"/>
      <c r="H1391"/>
      <c r="I1391"/>
      <c r="J1391"/>
    </row>
    <row r="1392" spans="2:10" s="27" customFormat="1">
      <c r="B1392"/>
      <c r="C1392"/>
      <c r="D1392"/>
      <c r="E1392"/>
      <c r="F1392"/>
      <c r="G1392"/>
      <c r="H1392"/>
      <c r="I1392"/>
      <c r="J1392"/>
    </row>
    <row r="1393" spans="2:10" s="27" customFormat="1">
      <c r="B1393"/>
      <c r="C1393"/>
      <c r="D1393"/>
      <c r="E1393"/>
      <c r="F1393"/>
      <c r="G1393"/>
      <c r="H1393"/>
      <c r="I1393"/>
      <c r="J1393"/>
    </row>
    <row r="1394" spans="2:10" s="27" customFormat="1">
      <c r="B1394"/>
      <c r="C1394"/>
      <c r="D1394"/>
      <c r="E1394"/>
      <c r="F1394"/>
      <c r="G1394"/>
      <c r="H1394"/>
      <c r="I1394"/>
      <c r="J1394"/>
    </row>
    <row r="1395" spans="2:10" s="27" customFormat="1">
      <c r="B1395"/>
      <c r="C1395"/>
      <c r="D1395"/>
      <c r="E1395"/>
      <c r="F1395"/>
      <c r="G1395"/>
      <c r="H1395"/>
      <c r="I1395"/>
      <c r="J1395"/>
    </row>
    <row r="1396" spans="2:10" s="27" customFormat="1">
      <c r="B1396"/>
      <c r="C1396"/>
      <c r="D1396"/>
      <c r="E1396"/>
      <c r="F1396"/>
      <c r="G1396"/>
      <c r="H1396"/>
      <c r="I1396"/>
      <c r="J1396"/>
    </row>
    <row r="1397" spans="2:10" s="27" customFormat="1">
      <c r="B1397"/>
      <c r="C1397"/>
      <c r="D1397"/>
      <c r="E1397"/>
      <c r="F1397"/>
      <c r="G1397"/>
      <c r="H1397"/>
      <c r="I1397"/>
      <c r="J1397"/>
    </row>
    <row r="1398" spans="2:10" s="27" customFormat="1">
      <c r="B1398"/>
      <c r="C1398"/>
      <c r="D1398"/>
      <c r="E1398"/>
      <c r="F1398"/>
      <c r="G1398"/>
      <c r="H1398"/>
      <c r="I1398"/>
      <c r="J1398"/>
    </row>
    <row r="1399" spans="2:10" s="27" customFormat="1">
      <c r="B1399"/>
      <c r="C1399"/>
      <c r="D1399"/>
      <c r="E1399"/>
      <c r="F1399"/>
      <c r="G1399"/>
      <c r="H1399"/>
      <c r="I1399"/>
      <c r="J1399"/>
    </row>
    <row r="1400" spans="2:10" s="27" customFormat="1">
      <c r="B1400"/>
      <c r="C1400"/>
      <c r="D1400"/>
      <c r="E1400"/>
      <c r="F1400"/>
      <c r="G1400"/>
      <c r="H1400"/>
      <c r="I1400"/>
      <c r="J1400"/>
    </row>
    <row r="1401" spans="2:10" s="27" customFormat="1">
      <c r="B1401"/>
      <c r="C1401"/>
      <c r="D1401"/>
      <c r="E1401"/>
      <c r="F1401"/>
      <c r="G1401"/>
      <c r="H1401"/>
      <c r="I1401"/>
      <c r="J1401"/>
    </row>
    <row r="1402" spans="2:10" s="27" customFormat="1">
      <c r="B1402"/>
      <c r="C1402"/>
      <c r="D1402"/>
      <c r="E1402"/>
      <c r="F1402"/>
      <c r="G1402"/>
      <c r="H1402"/>
      <c r="I1402"/>
      <c r="J1402"/>
    </row>
    <row r="1403" spans="2:10" s="27" customFormat="1">
      <c r="B1403"/>
      <c r="C1403"/>
      <c r="D1403"/>
      <c r="E1403"/>
      <c r="F1403"/>
      <c r="G1403"/>
      <c r="H1403"/>
      <c r="I1403"/>
      <c r="J1403"/>
    </row>
    <row r="1404" spans="2:10" s="27" customFormat="1">
      <c r="B1404"/>
      <c r="C1404"/>
      <c r="D1404"/>
      <c r="E1404"/>
      <c r="F1404"/>
      <c r="G1404"/>
      <c r="H1404"/>
      <c r="I1404"/>
      <c r="J1404"/>
    </row>
    <row r="1405" spans="2:10" s="27" customFormat="1">
      <c r="B1405"/>
      <c r="C1405"/>
      <c r="D1405"/>
      <c r="E1405"/>
      <c r="F1405"/>
      <c r="G1405"/>
      <c r="H1405"/>
      <c r="I1405"/>
      <c r="J1405"/>
    </row>
    <row r="1406" spans="2:10" s="27" customFormat="1">
      <c r="B1406"/>
      <c r="C1406"/>
      <c r="D1406"/>
      <c r="E1406"/>
      <c r="F1406"/>
      <c r="G1406"/>
      <c r="H1406"/>
      <c r="I1406"/>
      <c r="J1406"/>
    </row>
    <row r="1407" spans="2:10" s="27" customFormat="1">
      <c r="B1407"/>
      <c r="C1407"/>
      <c r="D1407"/>
      <c r="E1407"/>
      <c r="F1407"/>
      <c r="G1407"/>
      <c r="H1407"/>
      <c r="I1407"/>
      <c r="J1407"/>
    </row>
    <row r="1408" spans="2:10" s="27" customFormat="1">
      <c r="B1408"/>
      <c r="C1408"/>
      <c r="D1408"/>
      <c r="E1408"/>
      <c r="F1408"/>
      <c r="G1408"/>
      <c r="H1408"/>
      <c r="I1408"/>
      <c r="J1408"/>
    </row>
    <row r="1409" spans="2:10" s="27" customFormat="1">
      <c r="B1409"/>
      <c r="C1409"/>
      <c r="D1409"/>
      <c r="E1409"/>
      <c r="F1409"/>
      <c r="G1409"/>
      <c r="H1409"/>
      <c r="I1409"/>
      <c r="J1409"/>
    </row>
    <row r="1410" spans="2:10" s="27" customFormat="1">
      <c r="B1410"/>
      <c r="C1410"/>
      <c r="D1410"/>
      <c r="E1410"/>
      <c r="F1410"/>
      <c r="G1410"/>
      <c r="H1410"/>
      <c r="I1410"/>
      <c r="J1410"/>
    </row>
    <row r="1411" spans="2:10" s="27" customFormat="1">
      <c r="B1411"/>
      <c r="C1411"/>
      <c r="D1411"/>
      <c r="E1411"/>
      <c r="F1411"/>
      <c r="G1411"/>
      <c r="H1411"/>
      <c r="I1411"/>
      <c r="J1411"/>
    </row>
    <row r="1412" spans="2:10" s="27" customFormat="1">
      <c r="B1412"/>
      <c r="C1412"/>
      <c r="D1412"/>
      <c r="E1412"/>
      <c r="F1412"/>
      <c r="G1412"/>
      <c r="H1412"/>
      <c r="I1412"/>
      <c r="J1412"/>
    </row>
    <row r="1413" spans="2:10" s="27" customFormat="1">
      <c r="B1413"/>
      <c r="C1413"/>
      <c r="D1413"/>
      <c r="E1413"/>
      <c r="F1413"/>
      <c r="G1413"/>
      <c r="H1413"/>
      <c r="I1413"/>
      <c r="J1413"/>
    </row>
    <row r="1414" spans="2:10" s="27" customFormat="1">
      <c r="B1414"/>
      <c r="C1414"/>
      <c r="D1414"/>
      <c r="E1414"/>
      <c r="F1414"/>
      <c r="G1414"/>
      <c r="H1414"/>
      <c r="I1414"/>
      <c r="J1414"/>
    </row>
    <row r="1415" spans="2:10" s="27" customFormat="1">
      <c r="B1415"/>
      <c r="C1415"/>
      <c r="D1415"/>
      <c r="E1415"/>
      <c r="F1415"/>
      <c r="G1415"/>
      <c r="H1415"/>
      <c r="I1415"/>
      <c r="J1415"/>
    </row>
    <row r="1416" spans="2:10" s="27" customFormat="1">
      <c r="B1416"/>
      <c r="C1416"/>
      <c r="D1416"/>
      <c r="E1416"/>
      <c r="F1416"/>
      <c r="G1416"/>
      <c r="H1416"/>
      <c r="I1416"/>
      <c r="J1416"/>
    </row>
    <row r="1417" spans="2:10" s="27" customFormat="1">
      <c r="B1417"/>
      <c r="C1417"/>
      <c r="D1417"/>
      <c r="E1417"/>
      <c r="F1417"/>
      <c r="G1417"/>
      <c r="H1417"/>
      <c r="I1417"/>
      <c r="J1417"/>
    </row>
    <row r="1418" spans="2:10" s="27" customFormat="1">
      <c r="B1418"/>
      <c r="C1418"/>
      <c r="D1418"/>
      <c r="E1418"/>
      <c r="F1418"/>
      <c r="G1418"/>
      <c r="H1418"/>
      <c r="I1418"/>
      <c r="J1418"/>
    </row>
    <row r="1419" spans="2:10" s="27" customFormat="1">
      <c r="B1419"/>
      <c r="C1419"/>
      <c r="D1419"/>
      <c r="E1419"/>
      <c r="F1419"/>
      <c r="G1419"/>
      <c r="H1419"/>
      <c r="I1419"/>
      <c r="J1419"/>
    </row>
    <row r="1420" spans="2:10" s="27" customFormat="1">
      <c r="B1420"/>
      <c r="C1420"/>
      <c r="D1420"/>
      <c r="E1420"/>
      <c r="F1420"/>
      <c r="G1420"/>
      <c r="H1420"/>
      <c r="I1420"/>
      <c r="J1420"/>
    </row>
    <row r="1421" spans="2:10" s="27" customFormat="1">
      <c r="B1421"/>
      <c r="C1421"/>
      <c r="D1421"/>
      <c r="E1421"/>
      <c r="F1421"/>
      <c r="G1421"/>
      <c r="H1421"/>
      <c r="I1421"/>
      <c r="J1421"/>
    </row>
    <row r="1422" spans="2:10" s="27" customFormat="1">
      <c r="B1422"/>
      <c r="C1422"/>
      <c r="D1422"/>
      <c r="E1422"/>
      <c r="F1422"/>
      <c r="G1422"/>
      <c r="H1422"/>
      <c r="I1422"/>
      <c r="J1422"/>
    </row>
    <row r="1423" spans="2:10" s="27" customFormat="1">
      <c r="B1423"/>
      <c r="C1423"/>
      <c r="D1423"/>
      <c r="E1423"/>
      <c r="F1423"/>
      <c r="G1423"/>
      <c r="H1423"/>
      <c r="I1423"/>
      <c r="J1423"/>
    </row>
    <row r="1424" spans="2:10" s="27" customFormat="1">
      <c r="B1424"/>
      <c r="C1424"/>
      <c r="D1424"/>
      <c r="E1424"/>
      <c r="F1424"/>
      <c r="G1424"/>
      <c r="H1424"/>
      <c r="I1424"/>
      <c r="J1424"/>
    </row>
    <row r="1425" spans="2:10" s="27" customFormat="1">
      <c r="B1425"/>
      <c r="C1425"/>
      <c r="D1425"/>
      <c r="E1425"/>
      <c r="F1425"/>
      <c r="G1425"/>
      <c r="H1425"/>
      <c r="I1425"/>
      <c r="J1425"/>
    </row>
    <row r="1426" spans="2:10" s="27" customFormat="1">
      <c r="B1426"/>
      <c r="C1426"/>
      <c r="D1426"/>
      <c r="E1426"/>
      <c r="F1426"/>
      <c r="G1426"/>
      <c r="H1426"/>
      <c r="I1426"/>
      <c r="J1426"/>
    </row>
    <row r="1427" spans="2:10" s="27" customFormat="1">
      <c r="B1427"/>
      <c r="C1427"/>
      <c r="D1427"/>
      <c r="E1427"/>
      <c r="F1427"/>
      <c r="G1427"/>
      <c r="H1427"/>
      <c r="I1427"/>
      <c r="J1427"/>
    </row>
    <row r="1428" spans="2:10" s="27" customFormat="1">
      <c r="B1428"/>
      <c r="C1428"/>
      <c r="D1428"/>
      <c r="E1428"/>
      <c r="F1428"/>
      <c r="G1428"/>
      <c r="H1428"/>
      <c r="I1428"/>
      <c r="J1428"/>
    </row>
    <row r="1429" spans="2:10" s="27" customFormat="1">
      <c r="B1429"/>
      <c r="C1429"/>
      <c r="D1429"/>
      <c r="E1429"/>
      <c r="F1429"/>
      <c r="G1429"/>
      <c r="H1429"/>
      <c r="I1429"/>
      <c r="J1429"/>
    </row>
    <row r="1430" spans="2:10" s="27" customFormat="1">
      <c r="B1430"/>
      <c r="C1430"/>
      <c r="D1430"/>
      <c r="E1430"/>
      <c r="F1430"/>
      <c r="G1430"/>
      <c r="H1430"/>
      <c r="I1430"/>
      <c r="J1430"/>
    </row>
    <row r="1431" spans="2:10" s="27" customFormat="1">
      <c r="B1431"/>
      <c r="C1431"/>
      <c r="D1431"/>
      <c r="E1431"/>
      <c r="F1431"/>
      <c r="G1431"/>
      <c r="H1431"/>
      <c r="I1431"/>
      <c r="J1431"/>
    </row>
    <row r="1432" spans="2:10" s="27" customFormat="1">
      <c r="B1432"/>
      <c r="C1432"/>
      <c r="D1432"/>
      <c r="E1432"/>
      <c r="F1432"/>
      <c r="G1432"/>
      <c r="H1432"/>
      <c r="I1432"/>
      <c r="J1432"/>
    </row>
    <row r="1433" spans="2:10" s="27" customFormat="1">
      <c r="B1433"/>
      <c r="C1433"/>
      <c r="D1433"/>
      <c r="E1433"/>
      <c r="F1433"/>
      <c r="G1433"/>
      <c r="H1433"/>
      <c r="I1433"/>
      <c r="J1433"/>
    </row>
    <row r="1434" spans="2:10" s="27" customFormat="1">
      <c r="B1434"/>
      <c r="C1434"/>
      <c r="D1434"/>
      <c r="E1434"/>
      <c r="F1434"/>
      <c r="G1434"/>
      <c r="H1434"/>
      <c r="I1434"/>
      <c r="J1434"/>
    </row>
    <row r="1435" spans="2:10" s="27" customFormat="1">
      <c r="B1435"/>
      <c r="C1435"/>
      <c r="D1435"/>
      <c r="E1435"/>
      <c r="F1435"/>
      <c r="G1435"/>
      <c r="H1435"/>
      <c r="I1435"/>
      <c r="J1435"/>
    </row>
    <row r="1436" spans="2:10" s="27" customFormat="1">
      <c r="B1436"/>
      <c r="C1436"/>
      <c r="D1436"/>
      <c r="E1436"/>
      <c r="F1436"/>
      <c r="G1436"/>
      <c r="H1436"/>
      <c r="I1436"/>
      <c r="J1436"/>
    </row>
    <row r="1437" spans="2:10" s="27" customFormat="1">
      <c r="B1437"/>
      <c r="C1437"/>
      <c r="D1437"/>
      <c r="E1437"/>
      <c r="F1437"/>
      <c r="G1437"/>
      <c r="H1437"/>
      <c r="I1437"/>
      <c r="J1437"/>
    </row>
    <row r="1438" spans="2:10" s="27" customFormat="1">
      <c r="B1438"/>
      <c r="C1438"/>
      <c r="D1438"/>
      <c r="E1438"/>
      <c r="F1438"/>
      <c r="G1438"/>
      <c r="H1438"/>
      <c r="I1438"/>
      <c r="J1438"/>
    </row>
    <row r="1439" spans="2:10" s="27" customFormat="1">
      <c r="B1439"/>
      <c r="C1439"/>
      <c r="D1439"/>
      <c r="E1439"/>
      <c r="F1439"/>
      <c r="G1439"/>
      <c r="H1439"/>
      <c r="I1439"/>
      <c r="J1439"/>
    </row>
    <row r="1440" spans="2:10" s="27" customFormat="1">
      <c r="B1440"/>
      <c r="C1440"/>
      <c r="D1440"/>
      <c r="E1440"/>
      <c r="F1440"/>
      <c r="G1440"/>
      <c r="H1440"/>
      <c r="I1440"/>
      <c r="J1440"/>
    </row>
    <row r="1441" spans="2:10" s="27" customFormat="1">
      <c r="B1441"/>
      <c r="C1441"/>
      <c r="D1441"/>
      <c r="E1441"/>
      <c r="F1441"/>
      <c r="G1441"/>
      <c r="H1441"/>
      <c r="I1441"/>
      <c r="J1441"/>
    </row>
    <row r="1442" spans="2:10" s="27" customFormat="1">
      <c r="B1442"/>
      <c r="C1442"/>
      <c r="D1442"/>
      <c r="E1442"/>
      <c r="F1442"/>
      <c r="G1442"/>
      <c r="H1442"/>
      <c r="I1442"/>
      <c r="J1442"/>
    </row>
    <row r="1443" spans="2:10" s="27" customFormat="1">
      <c r="B1443"/>
      <c r="C1443"/>
      <c r="D1443"/>
      <c r="E1443"/>
      <c r="F1443"/>
      <c r="G1443"/>
      <c r="H1443"/>
      <c r="I1443"/>
      <c r="J1443"/>
    </row>
    <row r="1444" spans="2:10" s="27" customFormat="1">
      <c r="B1444"/>
      <c r="C1444"/>
      <c r="D1444"/>
      <c r="E1444"/>
      <c r="F1444"/>
      <c r="G1444"/>
      <c r="H1444"/>
      <c r="I1444"/>
      <c r="J1444"/>
    </row>
    <row r="1445" spans="2:10" s="27" customFormat="1">
      <c r="B1445"/>
      <c r="C1445"/>
      <c r="D1445"/>
      <c r="E1445"/>
      <c r="F1445"/>
      <c r="G1445"/>
      <c r="H1445"/>
      <c r="I1445"/>
      <c r="J1445"/>
    </row>
    <row r="1446" spans="2:10" s="27" customFormat="1">
      <c r="B1446"/>
      <c r="C1446"/>
      <c r="D1446"/>
      <c r="E1446"/>
      <c r="F1446"/>
      <c r="G1446"/>
      <c r="H1446"/>
      <c r="I1446"/>
      <c r="J1446"/>
    </row>
    <row r="1447" spans="2:10" s="27" customFormat="1">
      <c r="B1447"/>
      <c r="C1447"/>
      <c r="D1447"/>
      <c r="E1447"/>
      <c r="F1447"/>
      <c r="G1447"/>
      <c r="H1447"/>
      <c r="I1447"/>
      <c r="J1447"/>
    </row>
    <row r="1448" spans="2:10" s="27" customFormat="1">
      <c r="B1448"/>
      <c r="C1448"/>
      <c r="D1448"/>
      <c r="E1448"/>
      <c r="F1448"/>
      <c r="G1448"/>
      <c r="H1448"/>
      <c r="I1448"/>
      <c r="J1448"/>
    </row>
    <row r="1449" spans="2:10" s="27" customFormat="1">
      <c r="B1449"/>
      <c r="C1449"/>
      <c r="D1449"/>
      <c r="E1449"/>
      <c r="F1449"/>
      <c r="G1449"/>
      <c r="H1449"/>
      <c r="I1449"/>
      <c r="J1449"/>
    </row>
    <row r="1450" spans="2:10" s="27" customFormat="1">
      <c r="B1450"/>
      <c r="C1450"/>
      <c r="D1450"/>
      <c r="E1450"/>
      <c r="F1450"/>
      <c r="G1450"/>
      <c r="H1450"/>
      <c r="I1450"/>
      <c r="J1450"/>
    </row>
    <row r="1451" spans="2:10" s="27" customFormat="1">
      <c r="B1451"/>
      <c r="C1451"/>
      <c r="D1451"/>
      <c r="E1451"/>
      <c r="F1451"/>
      <c r="G1451"/>
      <c r="H1451"/>
      <c r="I1451"/>
      <c r="J1451"/>
    </row>
    <row r="1452" spans="2:10" s="27" customFormat="1">
      <c r="B1452"/>
      <c r="C1452"/>
      <c r="D1452"/>
      <c r="E1452"/>
      <c r="F1452"/>
      <c r="G1452"/>
      <c r="H1452"/>
      <c r="I1452"/>
      <c r="J1452"/>
    </row>
    <row r="1453" spans="2:10" s="27" customFormat="1">
      <c r="B1453"/>
      <c r="C1453"/>
      <c r="D1453"/>
      <c r="E1453"/>
      <c r="F1453"/>
      <c r="G1453"/>
      <c r="H1453"/>
      <c r="I1453"/>
      <c r="J1453"/>
    </row>
    <row r="1454" spans="2:10" s="27" customFormat="1">
      <c r="B1454"/>
      <c r="C1454"/>
      <c r="D1454"/>
      <c r="E1454"/>
      <c r="F1454"/>
      <c r="G1454"/>
      <c r="H1454"/>
      <c r="I1454"/>
      <c r="J1454"/>
    </row>
    <row r="1455" spans="2:10" s="27" customFormat="1">
      <c r="B1455"/>
      <c r="C1455"/>
      <c r="D1455"/>
      <c r="E1455"/>
      <c r="F1455"/>
      <c r="G1455"/>
      <c r="H1455"/>
      <c r="I1455"/>
      <c r="J1455"/>
    </row>
    <row r="1456" spans="2:10" s="27" customFormat="1">
      <c r="B1456"/>
      <c r="C1456"/>
      <c r="D1456"/>
      <c r="E1456"/>
      <c r="F1456"/>
      <c r="G1456"/>
      <c r="H1456"/>
      <c r="I1456"/>
      <c r="J1456"/>
    </row>
    <row r="1457" spans="2:10" s="27" customFormat="1">
      <c r="B1457"/>
      <c r="C1457"/>
      <c r="D1457"/>
      <c r="E1457"/>
      <c r="F1457"/>
      <c r="G1457"/>
      <c r="H1457"/>
      <c r="I1457"/>
      <c r="J1457"/>
    </row>
    <row r="1458" spans="2:10" s="27" customFormat="1">
      <c r="B1458"/>
      <c r="C1458"/>
      <c r="D1458"/>
      <c r="E1458"/>
      <c r="F1458"/>
      <c r="G1458"/>
      <c r="H1458"/>
      <c r="I1458"/>
      <c r="J1458"/>
    </row>
    <row r="1459" spans="2:10" s="27" customFormat="1">
      <c r="B1459"/>
      <c r="C1459"/>
      <c r="D1459"/>
      <c r="E1459"/>
      <c r="F1459"/>
      <c r="G1459"/>
      <c r="H1459"/>
      <c r="I1459"/>
      <c r="J1459"/>
    </row>
    <row r="1460" spans="2:10" s="27" customFormat="1">
      <c r="B1460"/>
      <c r="C1460"/>
      <c r="D1460"/>
      <c r="E1460"/>
      <c r="F1460"/>
      <c r="G1460"/>
      <c r="H1460"/>
      <c r="I1460"/>
      <c r="J1460"/>
    </row>
    <row r="1461" spans="2:10" s="27" customFormat="1">
      <c r="B1461"/>
      <c r="C1461"/>
      <c r="D1461"/>
      <c r="E1461"/>
      <c r="F1461"/>
      <c r="G1461"/>
      <c r="H1461"/>
      <c r="I1461"/>
      <c r="J1461"/>
    </row>
    <row r="1462" spans="2:10" s="27" customFormat="1">
      <c r="B1462"/>
      <c r="C1462"/>
      <c r="D1462"/>
      <c r="E1462"/>
      <c r="F1462"/>
      <c r="G1462"/>
      <c r="H1462"/>
      <c r="I1462"/>
      <c r="J1462"/>
    </row>
    <row r="1463" spans="2:10" s="27" customFormat="1">
      <c r="B1463"/>
      <c r="C1463"/>
      <c r="D1463"/>
      <c r="E1463"/>
      <c r="F1463"/>
      <c r="G1463"/>
      <c r="H1463"/>
      <c r="I1463"/>
      <c r="J1463"/>
    </row>
    <row r="1464" spans="2:10" s="27" customFormat="1">
      <c r="B1464"/>
      <c r="C1464"/>
      <c r="D1464"/>
      <c r="E1464"/>
      <c r="F1464"/>
      <c r="G1464"/>
      <c r="H1464"/>
      <c r="I1464"/>
      <c r="J1464"/>
    </row>
    <row r="1465" spans="2:10" s="27" customFormat="1">
      <c r="B1465"/>
      <c r="C1465"/>
      <c r="D1465"/>
      <c r="E1465"/>
      <c r="F1465"/>
      <c r="G1465"/>
      <c r="H1465"/>
      <c r="I1465"/>
      <c r="J1465"/>
    </row>
    <row r="1466" spans="2:10" s="27" customFormat="1">
      <c r="B1466"/>
      <c r="C1466"/>
      <c r="D1466"/>
      <c r="E1466"/>
      <c r="F1466"/>
      <c r="G1466"/>
      <c r="H1466"/>
      <c r="I1466"/>
      <c r="J1466"/>
    </row>
    <row r="1467" spans="2:10" s="27" customFormat="1">
      <c r="B1467"/>
      <c r="C1467"/>
      <c r="D1467"/>
      <c r="E1467"/>
      <c r="F1467"/>
      <c r="G1467"/>
      <c r="H1467"/>
      <c r="I1467"/>
      <c r="J1467"/>
    </row>
    <row r="1468" spans="2:10" s="27" customFormat="1">
      <c r="B1468"/>
      <c r="C1468"/>
      <c r="D1468"/>
      <c r="E1468"/>
      <c r="F1468"/>
      <c r="G1468"/>
      <c r="H1468"/>
      <c r="I1468"/>
      <c r="J1468"/>
    </row>
    <row r="1469" spans="2:10" s="27" customFormat="1">
      <c r="B1469"/>
      <c r="C1469"/>
      <c r="D1469"/>
      <c r="E1469"/>
      <c r="F1469"/>
      <c r="G1469"/>
      <c r="H1469"/>
      <c r="I1469"/>
      <c r="J1469"/>
    </row>
    <row r="1470" spans="2:10" s="27" customFormat="1">
      <c r="B1470"/>
      <c r="C1470"/>
      <c r="D1470"/>
      <c r="E1470"/>
      <c r="F1470"/>
      <c r="G1470"/>
      <c r="H1470"/>
      <c r="I1470"/>
      <c r="J1470"/>
    </row>
    <row r="1471" spans="2:10" s="27" customFormat="1">
      <c r="B1471"/>
      <c r="C1471"/>
      <c r="D1471"/>
      <c r="E1471"/>
      <c r="F1471"/>
      <c r="G1471"/>
      <c r="H1471"/>
      <c r="I1471"/>
      <c r="J1471"/>
    </row>
    <row r="1472" spans="2:10" s="27" customFormat="1">
      <c r="B1472"/>
      <c r="C1472"/>
      <c r="D1472"/>
      <c r="E1472"/>
      <c r="F1472"/>
      <c r="G1472"/>
      <c r="H1472"/>
      <c r="I1472"/>
      <c r="J1472"/>
    </row>
    <row r="1473" spans="2:10" s="27" customFormat="1">
      <c r="B1473"/>
      <c r="C1473"/>
      <c r="D1473"/>
      <c r="E1473"/>
      <c r="F1473"/>
      <c r="G1473"/>
      <c r="H1473"/>
      <c r="I1473"/>
      <c r="J1473"/>
    </row>
    <row r="1474" spans="2:10" s="27" customFormat="1">
      <c r="B1474"/>
      <c r="C1474"/>
      <c r="D1474"/>
      <c r="E1474"/>
      <c r="F1474"/>
      <c r="G1474"/>
      <c r="H1474"/>
      <c r="I1474"/>
      <c r="J1474"/>
    </row>
    <row r="1475" spans="2:10" s="27" customFormat="1">
      <c r="B1475"/>
      <c r="C1475"/>
      <c r="D1475"/>
      <c r="E1475"/>
      <c r="F1475"/>
      <c r="G1475"/>
      <c r="H1475"/>
      <c r="I1475"/>
      <c r="J1475"/>
    </row>
    <row r="1476" spans="2:10" s="27" customFormat="1">
      <c r="B1476"/>
      <c r="C1476"/>
      <c r="D1476"/>
      <c r="E1476"/>
      <c r="F1476"/>
      <c r="G1476"/>
      <c r="H1476"/>
      <c r="I1476"/>
      <c r="J1476"/>
    </row>
    <row r="1477" spans="2:10" s="27" customFormat="1">
      <c r="B1477"/>
      <c r="C1477"/>
      <c r="D1477"/>
      <c r="E1477"/>
      <c r="F1477"/>
      <c r="G1477"/>
      <c r="H1477"/>
      <c r="I1477"/>
      <c r="J1477"/>
    </row>
    <row r="1478" spans="2:10" s="27" customFormat="1">
      <c r="B1478"/>
      <c r="C1478"/>
      <c r="D1478"/>
      <c r="E1478"/>
      <c r="F1478"/>
      <c r="G1478"/>
      <c r="H1478"/>
      <c r="I1478"/>
      <c r="J1478"/>
    </row>
    <row r="1479" spans="2:10" s="27" customFormat="1">
      <c r="B1479"/>
      <c r="C1479"/>
      <c r="D1479"/>
      <c r="E1479"/>
      <c r="F1479"/>
      <c r="G1479"/>
      <c r="H1479"/>
      <c r="I1479"/>
      <c r="J1479"/>
    </row>
    <row r="1480" spans="2:10" s="27" customFormat="1">
      <c r="B1480"/>
      <c r="C1480"/>
      <c r="D1480"/>
      <c r="E1480"/>
      <c r="F1480"/>
      <c r="G1480"/>
      <c r="H1480"/>
      <c r="I1480"/>
      <c r="J1480"/>
    </row>
    <row r="1481" spans="2:10" s="27" customFormat="1">
      <c r="B1481"/>
      <c r="C1481"/>
      <c r="D1481"/>
      <c r="E1481"/>
      <c r="F1481"/>
      <c r="G1481"/>
      <c r="H1481"/>
      <c r="I1481"/>
      <c r="J1481"/>
    </row>
    <row r="1482" spans="2:10" s="27" customFormat="1">
      <c r="B1482"/>
      <c r="C1482"/>
      <c r="D1482"/>
      <c r="E1482"/>
      <c r="F1482"/>
      <c r="G1482"/>
      <c r="H1482"/>
      <c r="I1482"/>
      <c r="J1482"/>
    </row>
    <row r="1483" spans="2:10" s="27" customFormat="1">
      <c r="B1483"/>
      <c r="C1483"/>
      <c r="D1483"/>
      <c r="E1483"/>
      <c r="F1483"/>
      <c r="G1483"/>
      <c r="H1483"/>
      <c r="I1483"/>
      <c r="J1483"/>
    </row>
    <row r="1484" spans="2:10" s="27" customFormat="1">
      <c r="B1484"/>
      <c r="C1484"/>
      <c r="D1484"/>
      <c r="E1484"/>
      <c r="F1484"/>
      <c r="G1484"/>
      <c r="H1484"/>
      <c r="I1484"/>
      <c r="J1484"/>
    </row>
    <row r="1485" spans="2:10" s="27" customFormat="1">
      <c r="B1485"/>
      <c r="C1485"/>
      <c r="D1485"/>
      <c r="E1485"/>
      <c r="F1485"/>
      <c r="G1485"/>
      <c r="H1485"/>
      <c r="I1485"/>
      <c r="J1485"/>
    </row>
    <row r="1486" spans="2:10" s="27" customFormat="1">
      <c r="B1486"/>
      <c r="C1486"/>
      <c r="D1486"/>
      <c r="E1486"/>
      <c r="F1486"/>
      <c r="G1486"/>
      <c r="H1486"/>
      <c r="I1486"/>
      <c r="J1486"/>
    </row>
    <row r="1487" spans="2:10" s="27" customFormat="1">
      <c r="B1487"/>
      <c r="C1487"/>
      <c r="D1487"/>
      <c r="E1487"/>
      <c r="F1487"/>
      <c r="G1487"/>
      <c r="H1487"/>
      <c r="I1487"/>
      <c r="J1487"/>
    </row>
    <row r="1488" spans="2:10" s="27" customFormat="1">
      <c r="B1488"/>
      <c r="C1488"/>
      <c r="D1488"/>
      <c r="E1488"/>
      <c r="F1488"/>
      <c r="G1488"/>
      <c r="H1488"/>
      <c r="I1488"/>
      <c r="J1488"/>
    </row>
    <row r="1489" spans="2:10" s="27" customFormat="1">
      <c r="B1489"/>
      <c r="C1489"/>
      <c r="D1489"/>
      <c r="E1489"/>
      <c r="F1489"/>
      <c r="G1489"/>
      <c r="H1489"/>
      <c r="I1489"/>
      <c r="J1489"/>
    </row>
    <row r="1490" spans="2:10" s="27" customFormat="1">
      <c r="B1490"/>
      <c r="C1490"/>
      <c r="D1490"/>
      <c r="E1490"/>
      <c r="F1490"/>
      <c r="G1490"/>
      <c r="H1490"/>
      <c r="I1490"/>
      <c r="J1490"/>
    </row>
    <row r="1491" spans="2:10" s="27" customFormat="1">
      <c r="B1491"/>
      <c r="C1491"/>
      <c r="D1491"/>
      <c r="E1491"/>
      <c r="F1491"/>
      <c r="G1491"/>
      <c r="H1491"/>
      <c r="I1491"/>
      <c r="J1491"/>
    </row>
    <row r="1492" spans="2:10" s="27" customFormat="1">
      <c r="B1492"/>
      <c r="C1492"/>
      <c r="D1492"/>
      <c r="E1492"/>
      <c r="F1492"/>
      <c r="G1492"/>
      <c r="H1492"/>
      <c r="I1492"/>
      <c r="J1492"/>
    </row>
    <row r="1493" spans="2:10" s="27" customFormat="1">
      <c r="B1493"/>
      <c r="C1493"/>
      <c r="D1493"/>
      <c r="E1493"/>
      <c r="F1493"/>
      <c r="G1493"/>
      <c r="H1493"/>
      <c r="I1493"/>
      <c r="J1493"/>
    </row>
    <row r="1494" spans="2:10" s="27" customFormat="1">
      <c r="B1494"/>
      <c r="C1494"/>
      <c r="D1494"/>
      <c r="E1494"/>
      <c r="F1494"/>
      <c r="G1494"/>
      <c r="H1494"/>
      <c r="I1494"/>
      <c r="J1494"/>
    </row>
    <row r="1495" spans="2:10" s="27" customFormat="1">
      <c r="B1495"/>
      <c r="C1495"/>
      <c r="D1495"/>
      <c r="E1495"/>
      <c r="F1495"/>
      <c r="G1495"/>
      <c r="H1495"/>
      <c r="I1495"/>
      <c r="J1495"/>
    </row>
    <row r="1496" spans="2:10" s="27" customFormat="1">
      <c r="B1496"/>
      <c r="C1496"/>
      <c r="D1496"/>
      <c r="E1496"/>
      <c r="F1496"/>
      <c r="G1496"/>
      <c r="H1496"/>
      <c r="I1496"/>
      <c r="J1496"/>
    </row>
    <row r="1497" spans="2:10" s="27" customFormat="1">
      <c r="B1497"/>
      <c r="C1497"/>
      <c r="D1497"/>
      <c r="E1497"/>
      <c r="F1497"/>
      <c r="G1497"/>
      <c r="H1497"/>
      <c r="I1497"/>
      <c r="J1497"/>
    </row>
    <row r="1498" spans="2:10" s="27" customFormat="1">
      <c r="B1498"/>
      <c r="C1498"/>
      <c r="D1498"/>
      <c r="E1498"/>
      <c r="F1498"/>
      <c r="G1498"/>
      <c r="H1498"/>
      <c r="I1498"/>
      <c r="J1498"/>
    </row>
    <row r="1499" spans="2:10" s="27" customFormat="1">
      <c r="B1499"/>
      <c r="C1499"/>
      <c r="D1499"/>
      <c r="E1499"/>
      <c r="F1499"/>
      <c r="G1499"/>
      <c r="H1499"/>
      <c r="I1499"/>
      <c r="J1499"/>
    </row>
    <row r="1500" spans="2:10" s="27" customFormat="1">
      <c r="B1500"/>
      <c r="C1500"/>
      <c r="D1500"/>
      <c r="E1500"/>
      <c r="F1500"/>
      <c r="G1500"/>
      <c r="H1500"/>
      <c r="I1500"/>
      <c r="J1500"/>
    </row>
    <row r="1501" spans="2:10" s="27" customFormat="1">
      <c r="B1501"/>
      <c r="C1501"/>
      <c r="D1501"/>
      <c r="E1501"/>
      <c r="F1501"/>
      <c r="G1501"/>
      <c r="H1501"/>
      <c r="I1501"/>
      <c r="J1501"/>
    </row>
    <row r="1502" spans="2:10" s="27" customFormat="1">
      <c r="B1502"/>
      <c r="C1502"/>
      <c r="D1502"/>
      <c r="E1502"/>
      <c r="F1502"/>
      <c r="G1502"/>
      <c r="H1502"/>
      <c r="I1502"/>
      <c r="J1502"/>
    </row>
    <row r="1503" spans="2:10" s="27" customFormat="1">
      <c r="B1503"/>
      <c r="C1503"/>
      <c r="D1503"/>
      <c r="E1503"/>
      <c r="F1503"/>
      <c r="G1503"/>
      <c r="H1503"/>
      <c r="I1503"/>
      <c r="J1503"/>
    </row>
    <row r="1504" spans="2:10" s="27" customFormat="1">
      <c r="B1504"/>
      <c r="C1504"/>
      <c r="D1504"/>
      <c r="E1504"/>
      <c r="F1504"/>
      <c r="G1504"/>
      <c r="H1504"/>
      <c r="I1504"/>
      <c r="J1504"/>
    </row>
    <row r="1505" spans="2:10" s="27" customFormat="1">
      <c r="B1505"/>
      <c r="C1505"/>
      <c r="D1505"/>
      <c r="E1505"/>
      <c r="F1505"/>
      <c r="G1505"/>
      <c r="H1505"/>
      <c r="I1505"/>
      <c r="J1505"/>
    </row>
    <row r="1506" spans="2:10" s="27" customFormat="1">
      <c r="B1506"/>
      <c r="C1506"/>
      <c r="D1506"/>
      <c r="E1506"/>
      <c r="F1506"/>
      <c r="G1506"/>
      <c r="H1506"/>
      <c r="I1506"/>
      <c r="J1506"/>
    </row>
    <row r="1507" spans="2:10" s="27" customFormat="1">
      <c r="B1507"/>
      <c r="C1507"/>
      <c r="D1507"/>
      <c r="E1507"/>
      <c r="F1507"/>
      <c r="G1507"/>
      <c r="H1507"/>
      <c r="I1507"/>
      <c r="J1507"/>
    </row>
    <row r="1508" spans="2:10" s="27" customFormat="1">
      <c r="B1508"/>
      <c r="C1508"/>
      <c r="D1508"/>
      <c r="E1508"/>
      <c r="F1508"/>
      <c r="G1508"/>
      <c r="H1508"/>
      <c r="I1508"/>
      <c r="J1508"/>
    </row>
    <row r="1509" spans="2:10" s="27" customFormat="1">
      <c r="B1509"/>
      <c r="C1509"/>
      <c r="D1509"/>
      <c r="E1509"/>
      <c r="F1509"/>
      <c r="G1509"/>
      <c r="H1509"/>
      <c r="I1509"/>
      <c r="J1509"/>
    </row>
    <row r="1510" spans="2:10" s="27" customFormat="1">
      <c r="B1510"/>
      <c r="C1510"/>
      <c r="D1510"/>
      <c r="E1510"/>
      <c r="F1510"/>
      <c r="G1510"/>
      <c r="H1510"/>
      <c r="I1510"/>
      <c r="J1510"/>
    </row>
    <row r="1511" spans="2:10" s="27" customFormat="1">
      <c r="B1511"/>
      <c r="C1511"/>
      <c r="D1511"/>
      <c r="E1511"/>
      <c r="F1511"/>
      <c r="G1511"/>
      <c r="H1511"/>
      <c r="I1511"/>
      <c r="J1511"/>
    </row>
    <row r="1512" spans="2:10" s="27" customFormat="1">
      <c r="B1512"/>
      <c r="C1512"/>
      <c r="D1512"/>
      <c r="E1512"/>
      <c r="F1512"/>
      <c r="G1512"/>
      <c r="H1512"/>
      <c r="I1512"/>
      <c r="J1512"/>
    </row>
    <row r="1513" spans="2:10" s="27" customFormat="1">
      <c r="B1513"/>
      <c r="C1513"/>
      <c r="D1513"/>
      <c r="E1513"/>
      <c r="F1513"/>
      <c r="G1513"/>
      <c r="H1513"/>
      <c r="I1513"/>
      <c r="J1513"/>
    </row>
    <row r="1514" spans="2:10" s="27" customFormat="1">
      <c r="B1514"/>
      <c r="C1514"/>
      <c r="D1514"/>
      <c r="E1514"/>
      <c r="F1514"/>
      <c r="G1514"/>
      <c r="H1514"/>
      <c r="I1514"/>
      <c r="J1514"/>
    </row>
    <row r="1515" spans="2:10" s="27" customFormat="1">
      <c r="B1515"/>
      <c r="C1515"/>
      <c r="D1515"/>
      <c r="E1515"/>
      <c r="F1515"/>
      <c r="G1515"/>
      <c r="H1515"/>
      <c r="I1515"/>
      <c r="J1515"/>
    </row>
    <row r="1516" spans="2:10" s="27" customFormat="1">
      <c r="B1516"/>
      <c r="C1516"/>
      <c r="D1516"/>
      <c r="E1516"/>
      <c r="F1516"/>
      <c r="G1516"/>
      <c r="H1516"/>
      <c r="I1516"/>
      <c r="J1516"/>
    </row>
    <row r="1517" spans="2:10" s="27" customFormat="1">
      <c r="B1517"/>
      <c r="C1517"/>
      <c r="D1517"/>
      <c r="E1517"/>
      <c r="F1517"/>
      <c r="G1517"/>
      <c r="H1517"/>
      <c r="I1517"/>
      <c r="J1517"/>
    </row>
    <row r="1518" spans="2:10" s="27" customFormat="1">
      <c r="B1518"/>
      <c r="C1518"/>
      <c r="D1518"/>
      <c r="E1518"/>
      <c r="F1518"/>
      <c r="G1518"/>
      <c r="H1518"/>
      <c r="I1518"/>
      <c r="J1518"/>
    </row>
    <row r="1519" spans="2:10" s="27" customFormat="1">
      <c r="B1519"/>
      <c r="C1519"/>
      <c r="D1519"/>
      <c r="E1519"/>
      <c r="F1519"/>
      <c r="G1519"/>
      <c r="H1519"/>
      <c r="I1519"/>
      <c r="J1519"/>
    </row>
    <row r="1520" spans="2:10" s="27" customFormat="1">
      <c r="B1520"/>
      <c r="C1520"/>
      <c r="D1520"/>
      <c r="E1520"/>
      <c r="F1520"/>
      <c r="G1520"/>
      <c r="H1520"/>
      <c r="I1520"/>
      <c r="J1520"/>
    </row>
    <row r="1521" spans="2:10" s="27" customFormat="1">
      <c r="B1521"/>
      <c r="C1521"/>
      <c r="D1521"/>
      <c r="E1521"/>
      <c r="F1521"/>
      <c r="G1521"/>
      <c r="H1521"/>
      <c r="I1521"/>
      <c r="J1521"/>
    </row>
    <row r="1522" spans="2:10" s="27" customFormat="1">
      <c r="B1522"/>
      <c r="C1522"/>
      <c r="D1522"/>
      <c r="E1522"/>
      <c r="F1522"/>
      <c r="G1522"/>
      <c r="H1522"/>
      <c r="I1522"/>
      <c r="J1522"/>
    </row>
    <row r="1523" spans="2:10" s="27" customFormat="1">
      <c r="B1523"/>
      <c r="C1523"/>
      <c r="D1523"/>
      <c r="E1523"/>
      <c r="F1523"/>
      <c r="G1523"/>
      <c r="H1523"/>
      <c r="I1523"/>
      <c r="J1523"/>
    </row>
    <row r="1524" spans="2:10" s="27" customFormat="1">
      <c r="B1524"/>
      <c r="C1524"/>
      <c r="D1524"/>
      <c r="E1524"/>
      <c r="F1524"/>
      <c r="G1524"/>
      <c r="H1524"/>
      <c r="I1524"/>
      <c r="J1524"/>
    </row>
    <row r="1525" spans="2:10" s="27" customFormat="1">
      <c r="B1525"/>
      <c r="C1525"/>
      <c r="D1525"/>
      <c r="E1525"/>
      <c r="F1525"/>
      <c r="G1525"/>
      <c r="H1525"/>
      <c r="I1525"/>
      <c r="J1525"/>
    </row>
    <row r="1526" spans="2:10" s="27" customFormat="1">
      <c r="B1526"/>
      <c r="C1526"/>
      <c r="D1526"/>
      <c r="E1526"/>
      <c r="F1526"/>
      <c r="G1526"/>
      <c r="H1526"/>
      <c r="I1526"/>
      <c r="J1526"/>
    </row>
    <row r="1527" spans="2:10" s="27" customFormat="1">
      <c r="B1527"/>
      <c r="C1527"/>
      <c r="D1527"/>
      <c r="E1527"/>
      <c r="F1527"/>
      <c r="G1527"/>
      <c r="H1527"/>
      <c r="I1527"/>
      <c r="J1527"/>
    </row>
    <row r="1528" spans="2:10" s="27" customFormat="1">
      <c r="B1528"/>
      <c r="C1528"/>
      <c r="D1528"/>
      <c r="E1528"/>
      <c r="F1528"/>
      <c r="G1528"/>
      <c r="H1528"/>
      <c r="I1528"/>
      <c r="J1528"/>
    </row>
    <row r="1529" spans="2:10" s="27" customFormat="1">
      <c r="B1529"/>
      <c r="C1529"/>
      <c r="D1529"/>
      <c r="E1529"/>
      <c r="F1529"/>
      <c r="G1529"/>
      <c r="H1529"/>
      <c r="I1529"/>
      <c r="J1529"/>
    </row>
    <row r="1530" spans="2:10" s="27" customFormat="1">
      <c r="B1530"/>
      <c r="C1530"/>
      <c r="D1530"/>
      <c r="E1530"/>
      <c r="F1530"/>
      <c r="G1530"/>
      <c r="H1530"/>
      <c r="I1530"/>
      <c r="J1530"/>
    </row>
    <row r="1531" spans="2:10" s="27" customFormat="1">
      <c r="B1531"/>
      <c r="C1531"/>
      <c r="D1531"/>
      <c r="E1531"/>
      <c r="F1531"/>
      <c r="G1531"/>
      <c r="H1531"/>
      <c r="I1531"/>
      <c r="J1531"/>
    </row>
    <row r="1532" spans="2:10" s="27" customFormat="1">
      <c r="B1532"/>
      <c r="C1532"/>
      <c r="D1532"/>
      <c r="E1532"/>
      <c r="F1532"/>
      <c r="G1532"/>
      <c r="H1532"/>
      <c r="I1532"/>
      <c r="J1532"/>
    </row>
    <row r="1533" spans="2:10" s="27" customFormat="1">
      <c r="B1533"/>
      <c r="C1533"/>
      <c r="D1533"/>
      <c r="E1533"/>
      <c r="F1533"/>
      <c r="G1533"/>
      <c r="H1533"/>
      <c r="I1533"/>
      <c r="J1533"/>
    </row>
    <row r="1534" spans="2:10" s="27" customFormat="1">
      <c r="B1534"/>
      <c r="C1534"/>
      <c r="D1534"/>
      <c r="E1534"/>
      <c r="F1534"/>
      <c r="G1534"/>
      <c r="H1534"/>
      <c r="I1534"/>
      <c r="J1534"/>
    </row>
    <row r="1535" spans="2:10" s="27" customFormat="1">
      <c r="B1535"/>
      <c r="C1535"/>
      <c r="D1535"/>
      <c r="E1535"/>
      <c r="F1535"/>
      <c r="G1535"/>
      <c r="H1535"/>
      <c r="I1535"/>
      <c r="J1535"/>
    </row>
    <row r="1536" spans="2:10" s="27" customFormat="1">
      <c r="B1536"/>
      <c r="C1536"/>
      <c r="D1536"/>
      <c r="E1536"/>
      <c r="F1536"/>
      <c r="G1536"/>
      <c r="H1536"/>
      <c r="I1536"/>
      <c r="J1536"/>
    </row>
    <row r="1537" spans="2:10" s="27" customFormat="1">
      <c r="B1537"/>
      <c r="C1537"/>
      <c r="D1537"/>
      <c r="E1537"/>
      <c r="F1537"/>
      <c r="G1537"/>
      <c r="H1537"/>
      <c r="I1537"/>
      <c r="J1537"/>
    </row>
    <row r="1538" spans="2:10" s="27" customFormat="1">
      <c r="B1538"/>
      <c r="C1538"/>
      <c r="D1538"/>
      <c r="E1538"/>
      <c r="F1538"/>
      <c r="G1538"/>
      <c r="H1538"/>
      <c r="I1538"/>
      <c r="J1538"/>
    </row>
    <row r="1539" spans="2:10" s="27" customFormat="1">
      <c r="B1539"/>
      <c r="C1539"/>
      <c r="D1539"/>
      <c r="E1539"/>
      <c r="F1539"/>
      <c r="G1539"/>
      <c r="H1539"/>
      <c r="I1539"/>
      <c r="J1539"/>
    </row>
    <row r="1540" spans="2:10" s="27" customFormat="1">
      <c r="B1540"/>
      <c r="C1540"/>
      <c r="D1540"/>
      <c r="E1540"/>
      <c r="F1540"/>
      <c r="G1540"/>
      <c r="H1540"/>
      <c r="I1540"/>
      <c r="J1540"/>
    </row>
    <row r="1541" spans="2:10" s="27" customFormat="1">
      <c r="B1541"/>
      <c r="C1541"/>
      <c r="D1541"/>
      <c r="E1541"/>
      <c r="F1541"/>
      <c r="G1541"/>
      <c r="H1541"/>
      <c r="I1541"/>
      <c r="J1541"/>
    </row>
    <row r="1542" spans="2:10" s="27" customFormat="1">
      <c r="B1542"/>
      <c r="C1542"/>
      <c r="D1542"/>
      <c r="E1542"/>
      <c r="F1542"/>
      <c r="G1542"/>
      <c r="H1542"/>
      <c r="I1542"/>
      <c r="J1542"/>
    </row>
    <row r="1543" spans="2:10" s="27" customFormat="1">
      <c r="B1543"/>
      <c r="C1543"/>
      <c r="D1543"/>
      <c r="E1543"/>
      <c r="F1543"/>
      <c r="G1543"/>
      <c r="H1543"/>
      <c r="I1543"/>
      <c r="J1543"/>
    </row>
    <row r="1544" spans="2:10" s="27" customFormat="1">
      <c r="B1544"/>
      <c r="C1544"/>
      <c r="D1544"/>
      <c r="E1544"/>
      <c r="F1544"/>
      <c r="G1544"/>
      <c r="H1544"/>
      <c r="I1544"/>
      <c r="J1544"/>
    </row>
    <row r="1545" spans="2:10" s="27" customFormat="1">
      <c r="B1545"/>
      <c r="C1545"/>
      <c r="D1545"/>
      <c r="E1545"/>
      <c r="F1545"/>
      <c r="G1545"/>
      <c r="H1545"/>
      <c r="I1545"/>
      <c r="J1545"/>
    </row>
    <row r="1546" spans="2:10" s="27" customFormat="1">
      <c r="B1546"/>
      <c r="C1546"/>
      <c r="D1546"/>
      <c r="E1546"/>
      <c r="F1546"/>
      <c r="G1546"/>
      <c r="H1546"/>
      <c r="I1546"/>
      <c r="J1546"/>
    </row>
    <row r="1547" spans="2:10" s="27" customFormat="1">
      <c r="B1547"/>
      <c r="C1547"/>
      <c r="D1547"/>
      <c r="E1547"/>
      <c r="F1547"/>
      <c r="G1547"/>
      <c r="H1547"/>
      <c r="I1547"/>
      <c r="J1547"/>
    </row>
    <row r="1548" spans="2:10" s="27" customFormat="1">
      <c r="B1548"/>
      <c r="C1548"/>
      <c r="D1548"/>
      <c r="E1548"/>
      <c r="F1548"/>
      <c r="G1548"/>
      <c r="H1548"/>
      <c r="I1548"/>
      <c r="J1548"/>
    </row>
    <row r="1549" spans="2:10" s="27" customFormat="1">
      <c r="B1549"/>
      <c r="C1549"/>
      <c r="D1549"/>
      <c r="E1549"/>
      <c r="F1549"/>
      <c r="G1549"/>
      <c r="H1549"/>
      <c r="I1549"/>
      <c r="J1549"/>
    </row>
    <row r="1550" spans="2:10" s="27" customFormat="1">
      <c r="B1550"/>
      <c r="C1550"/>
      <c r="D1550"/>
      <c r="E1550"/>
      <c r="F1550"/>
      <c r="G1550"/>
      <c r="H1550"/>
      <c r="I1550"/>
      <c r="J1550"/>
    </row>
    <row r="1551" spans="2:10" s="27" customFormat="1">
      <c r="B1551"/>
      <c r="C1551"/>
      <c r="D1551"/>
      <c r="E1551"/>
      <c r="F1551"/>
      <c r="G1551"/>
      <c r="H1551"/>
      <c r="I1551"/>
      <c r="J1551"/>
    </row>
    <row r="1552" spans="2:10" s="27" customFormat="1">
      <c r="B1552"/>
      <c r="C1552"/>
      <c r="D1552"/>
      <c r="E1552"/>
      <c r="F1552"/>
      <c r="G1552"/>
      <c r="H1552"/>
      <c r="I1552"/>
      <c r="J1552"/>
    </row>
    <row r="1553" spans="2:10" s="27" customFormat="1">
      <c r="B1553"/>
      <c r="C1553"/>
      <c r="D1553"/>
      <c r="E1553"/>
      <c r="F1553"/>
      <c r="G1553"/>
      <c r="H1553"/>
      <c r="I1553"/>
      <c r="J1553"/>
    </row>
    <row r="1554" spans="2:10" s="27" customFormat="1">
      <c r="B1554"/>
      <c r="C1554"/>
      <c r="D1554"/>
      <c r="E1554"/>
      <c r="F1554"/>
      <c r="G1554"/>
      <c r="H1554"/>
      <c r="I1554"/>
      <c r="J1554"/>
    </row>
    <row r="1555" spans="2:10" s="27" customFormat="1">
      <c r="B1555"/>
      <c r="C1555"/>
      <c r="D1555"/>
      <c r="E1555"/>
      <c r="F1555"/>
      <c r="G1555"/>
      <c r="H1555"/>
      <c r="I1555"/>
      <c r="J1555"/>
    </row>
    <row r="1556" spans="2:10" s="27" customFormat="1">
      <c r="B1556"/>
      <c r="C1556"/>
      <c r="D1556"/>
      <c r="E1556"/>
      <c r="F1556"/>
      <c r="G1556"/>
      <c r="H1556"/>
      <c r="I1556"/>
      <c r="J1556"/>
    </row>
    <row r="1557" spans="2:10" s="27" customFormat="1">
      <c r="B1557"/>
      <c r="C1557"/>
      <c r="D1557"/>
      <c r="E1557"/>
      <c r="F1557"/>
      <c r="G1557"/>
      <c r="H1557"/>
      <c r="I1557"/>
      <c r="J1557"/>
    </row>
    <row r="1558" spans="2:10" s="27" customFormat="1">
      <c r="B1558"/>
      <c r="C1558"/>
      <c r="D1558"/>
      <c r="E1558"/>
      <c r="F1558"/>
      <c r="G1558"/>
      <c r="H1558"/>
      <c r="I1558"/>
      <c r="J1558"/>
    </row>
    <row r="1559" spans="2:10" s="27" customFormat="1">
      <c r="B1559"/>
      <c r="C1559"/>
      <c r="D1559"/>
      <c r="E1559"/>
      <c r="F1559"/>
      <c r="G1559"/>
      <c r="H1559"/>
      <c r="I1559"/>
      <c r="J1559"/>
    </row>
    <row r="1560" spans="2:10" s="27" customFormat="1">
      <c r="B1560"/>
      <c r="C1560"/>
      <c r="D1560"/>
      <c r="E1560"/>
      <c r="F1560"/>
      <c r="G1560"/>
      <c r="H1560"/>
      <c r="I1560"/>
      <c r="J1560"/>
    </row>
    <row r="1561" spans="2:10" s="27" customFormat="1">
      <c r="B1561"/>
      <c r="C1561"/>
      <c r="D1561"/>
      <c r="E1561"/>
      <c r="F1561"/>
      <c r="G1561"/>
      <c r="H1561"/>
      <c r="I1561"/>
      <c r="J1561"/>
    </row>
    <row r="1562" spans="2:10" s="27" customFormat="1">
      <c r="B1562"/>
      <c r="C1562"/>
      <c r="D1562"/>
      <c r="E1562"/>
      <c r="F1562"/>
      <c r="G1562"/>
      <c r="H1562"/>
      <c r="I1562"/>
      <c r="J1562"/>
    </row>
    <row r="1563" spans="2:10" s="27" customFormat="1">
      <c r="B1563"/>
      <c r="C1563"/>
      <c r="D1563"/>
      <c r="E1563"/>
      <c r="F1563"/>
      <c r="G1563"/>
      <c r="H1563"/>
      <c r="I1563"/>
      <c r="J1563"/>
    </row>
    <row r="1564" spans="2:10" s="27" customFormat="1">
      <c r="B1564"/>
      <c r="C1564"/>
      <c r="D1564"/>
      <c r="E1564"/>
      <c r="F1564"/>
      <c r="G1564"/>
      <c r="H1564"/>
      <c r="I1564"/>
      <c r="J1564"/>
    </row>
    <row r="1565" spans="2:10" s="27" customFormat="1">
      <c r="B1565"/>
      <c r="C1565"/>
      <c r="D1565"/>
      <c r="E1565"/>
      <c r="F1565"/>
      <c r="G1565"/>
      <c r="H1565"/>
      <c r="I1565"/>
      <c r="J1565"/>
    </row>
    <row r="1566" spans="2:10" s="27" customFormat="1">
      <c r="B1566"/>
      <c r="C1566"/>
      <c r="D1566"/>
      <c r="E1566"/>
      <c r="F1566"/>
      <c r="G1566"/>
      <c r="H1566"/>
      <c r="I1566"/>
      <c r="J1566"/>
    </row>
    <row r="1567" spans="2:10" s="27" customFormat="1">
      <c r="B1567"/>
      <c r="C1567"/>
      <c r="D1567"/>
      <c r="E1567"/>
      <c r="F1567"/>
      <c r="G1567"/>
      <c r="H1567"/>
      <c r="I1567"/>
      <c r="J1567"/>
    </row>
    <row r="1568" spans="2:10" s="27" customFormat="1">
      <c r="B1568"/>
      <c r="C1568"/>
      <c r="D1568"/>
      <c r="E1568"/>
      <c r="F1568"/>
      <c r="G1568"/>
      <c r="H1568"/>
      <c r="I1568"/>
      <c r="J1568"/>
    </row>
    <row r="1569" spans="2:10" s="27" customFormat="1">
      <c r="B1569"/>
      <c r="C1569"/>
      <c r="D1569"/>
      <c r="E1569"/>
      <c r="F1569"/>
      <c r="G1569"/>
      <c r="H1569"/>
      <c r="I1569"/>
      <c r="J1569"/>
    </row>
    <row r="1570" spans="2:10" s="27" customFormat="1">
      <c r="B1570"/>
      <c r="C1570"/>
      <c r="D1570"/>
      <c r="E1570"/>
      <c r="F1570"/>
      <c r="G1570"/>
      <c r="H1570"/>
      <c r="I1570"/>
      <c r="J1570"/>
    </row>
    <row r="1571" spans="2:10" s="27" customFormat="1">
      <c r="B1571"/>
      <c r="C1571"/>
      <c r="D1571"/>
      <c r="E1571"/>
      <c r="F1571"/>
      <c r="G1571"/>
      <c r="H1571"/>
      <c r="I1571"/>
      <c r="J1571"/>
    </row>
    <row r="1572" spans="2:10" s="27" customFormat="1">
      <c r="B1572"/>
      <c r="C1572"/>
      <c r="D1572"/>
      <c r="E1572"/>
      <c r="F1572"/>
      <c r="G1572"/>
      <c r="H1572"/>
      <c r="I1572"/>
      <c r="J1572"/>
    </row>
    <row r="1573" spans="2:10" s="27" customFormat="1">
      <c r="B1573"/>
      <c r="C1573"/>
      <c r="D1573"/>
      <c r="E1573"/>
      <c r="F1573"/>
      <c r="G1573"/>
      <c r="H1573"/>
      <c r="I1573"/>
      <c r="J1573"/>
    </row>
    <row r="1574" spans="2:10" s="27" customFormat="1">
      <c r="B1574"/>
      <c r="C1574"/>
      <c r="D1574"/>
      <c r="E1574"/>
      <c r="F1574"/>
      <c r="G1574"/>
      <c r="H1574"/>
      <c r="I1574"/>
      <c r="J1574"/>
    </row>
    <row r="1575" spans="2:10" s="27" customFormat="1">
      <c r="B1575"/>
      <c r="C1575"/>
      <c r="D1575"/>
      <c r="E1575"/>
      <c r="F1575"/>
      <c r="G1575"/>
      <c r="H1575"/>
      <c r="I1575"/>
      <c r="J1575"/>
    </row>
    <row r="1576" spans="2:10" s="27" customFormat="1">
      <c r="B1576"/>
      <c r="C1576"/>
      <c r="D1576"/>
      <c r="E1576"/>
      <c r="F1576"/>
      <c r="G1576"/>
      <c r="H1576"/>
      <c r="I1576"/>
      <c r="J1576"/>
    </row>
    <row r="1577" spans="2:10" s="27" customFormat="1">
      <c r="B1577"/>
      <c r="C1577"/>
      <c r="D1577"/>
      <c r="E1577"/>
      <c r="F1577"/>
      <c r="G1577"/>
      <c r="H1577"/>
      <c r="I1577"/>
      <c r="J1577"/>
    </row>
    <row r="1578" spans="2:10" s="27" customFormat="1">
      <c r="B1578"/>
      <c r="C1578"/>
      <c r="D1578"/>
      <c r="E1578"/>
      <c r="F1578"/>
      <c r="G1578"/>
      <c r="H1578"/>
      <c r="I1578"/>
      <c r="J1578"/>
    </row>
    <row r="1579" spans="2:10" s="27" customFormat="1">
      <c r="B1579"/>
      <c r="C1579"/>
      <c r="D1579"/>
      <c r="E1579"/>
      <c r="F1579"/>
      <c r="G1579"/>
      <c r="H1579"/>
      <c r="I1579"/>
      <c r="J1579"/>
    </row>
    <row r="1580" spans="2:10" s="27" customFormat="1">
      <c r="B1580"/>
      <c r="C1580"/>
      <c r="D1580"/>
      <c r="E1580"/>
      <c r="F1580"/>
      <c r="G1580"/>
      <c r="H1580"/>
      <c r="I1580"/>
      <c r="J1580"/>
    </row>
    <row r="1581" spans="2:10" s="27" customFormat="1">
      <c r="B1581"/>
      <c r="C1581"/>
      <c r="D1581"/>
      <c r="E1581"/>
      <c r="F1581"/>
      <c r="G1581"/>
      <c r="H1581"/>
      <c r="I1581"/>
      <c r="J1581"/>
    </row>
    <row r="1582" spans="2:10" s="27" customFormat="1">
      <c r="B1582"/>
      <c r="C1582"/>
      <c r="D1582"/>
      <c r="E1582"/>
      <c r="F1582"/>
      <c r="G1582"/>
      <c r="H1582"/>
      <c r="I1582"/>
      <c r="J1582"/>
    </row>
    <row r="1583" spans="2:10" s="27" customFormat="1">
      <c r="B1583"/>
      <c r="C1583"/>
      <c r="D1583"/>
      <c r="E1583"/>
      <c r="F1583"/>
      <c r="G1583"/>
      <c r="H1583"/>
      <c r="I1583"/>
      <c r="J1583"/>
    </row>
    <row r="1584" spans="2:10" s="27" customFormat="1">
      <c r="B1584"/>
      <c r="C1584"/>
      <c r="D1584"/>
      <c r="E1584"/>
      <c r="F1584"/>
      <c r="G1584"/>
      <c r="H1584"/>
      <c r="I1584"/>
      <c r="J1584"/>
    </row>
    <row r="1585" spans="2:10" s="27" customFormat="1">
      <c r="B1585"/>
      <c r="C1585"/>
      <c r="D1585"/>
      <c r="E1585"/>
      <c r="F1585"/>
      <c r="G1585"/>
      <c r="H1585"/>
      <c r="I1585"/>
      <c r="J1585"/>
    </row>
    <row r="1586" spans="2:10" s="27" customFormat="1">
      <c r="B1586"/>
      <c r="C1586"/>
      <c r="D1586"/>
      <c r="E1586"/>
      <c r="F1586"/>
      <c r="G1586"/>
      <c r="H1586"/>
      <c r="I1586"/>
      <c r="J1586"/>
    </row>
    <row r="1587" spans="2:10" s="27" customFormat="1">
      <c r="B1587"/>
      <c r="C1587"/>
      <c r="D1587"/>
      <c r="E1587"/>
      <c r="F1587"/>
      <c r="G1587"/>
      <c r="H1587"/>
      <c r="I1587"/>
      <c r="J1587"/>
    </row>
    <row r="1588" spans="2:10" s="27" customFormat="1">
      <c r="B1588"/>
      <c r="C1588"/>
      <c r="D1588"/>
      <c r="E1588"/>
      <c r="F1588"/>
      <c r="G1588"/>
      <c r="H1588"/>
      <c r="I1588"/>
      <c r="J1588"/>
    </row>
    <row r="1589" spans="2:10" s="27" customFormat="1">
      <c r="B1589"/>
      <c r="C1589"/>
      <c r="D1589"/>
      <c r="E1589"/>
      <c r="F1589"/>
      <c r="G1589"/>
      <c r="H1589"/>
      <c r="I1589"/>
      <c r="J1589"/>
    </row>
    <row r="1590" spans="2:10" s="27" customFormat="1">
      <c r="B1590"/>
      <c r="C1590"/>
      <c r="D1590"/>
      <c r="E1590"/>
      <c r="F1590"/>
      <c r="G1590"/>
      <c r="H1590"/>
      <c r="I1590"/>
      <c r="J1590"/>
    </row>
    <row r="1591" spans="2:10" s="27" customFormat="1">
      <c r="B1591"/>
      <c r="C1591"/>
      <c r="D1591"/>
      <c r="E1591"/>
      <c r="F1591"/>
      <c r="G1591"/>
      <c r="H1591"/>
      <c r="I1591"/>
      <c r="J1591"/>
    </row>
    <row r="1592" spans="2:10" s="27" customFormat="1">
      <c r="B1592"/>
      <c r="C1592"/>
      <c r="D1592"/>
      <c r="E1592"/>
      <c r="F1592"/>
      <c r="G1592"/>
      <c r="H1592"/>
      <c r="I1592"/>
      <c r="J1592"/>
    </row>
    <row r="1593" spans="2:10" s="27" customFormat="1">
      <c r="B1593"/>
      <c r="C1593"/>
      <c r="D1593"/>
      <c r="E1593"/>
      <c r="F1593"/>
      <c r="G1593"/>
      <c r="H1593"/>
      <c r="I1593"/>
      <c r="J1593"/>
    </row>
    <row r="1594" spans="2:10" s="27" customFormat="1">
      <c r="B1594"/>
      <c r="C1594"/>
      <c r="D1594"/>
      <c r="E1594"/>
      <c r="F1594"/>
      <c r="G1594"/>
      <c r="H1594"/>
      <c r="I1594"/>
      <c r="J1594"/>
    </row>
    <row r="1595" spans="2:10" s="27" customFormat="1">
      <c r="B1595"/>
      <c r="C1595"/>
      <c r="D1595"/>
      <c r="E1595"/>
      <c r="F1595"/>
      <c r="G1595"/>
      <c r="H1595"/>
      <c r="I1595"/>
      <c r="J1595"/>
    </row>
    <row r="1596" spans="2:10" s="27" customFormat="1">
      <c r="B1596"/>
      <c r="C1596"/>
      <c r="D1596"/>
      <c r="E1596"/>
      <c r="F1596"/>
      <c r="G1596"/>
      <c r="H1596"/>
      <c r="I1596"/>
      <c r="J1596"/>
    </row>
    <row r="1597" spans="2:10" s="27" customFormat="1">
      <c r="B1597"/>
      <c r="C1597"/>
      <c r="D1597"/>
      <c r="E1597"/>
      <c r="F1597"/>
      <c r="G1597"/>
      <c r="H1597"/>
      <c r="I1597"/>
      <c r="J1597"/>
    </row>
    <row r="1598" spans="2:10" s="27" customFormat="1">
      <c r="B1598"/>
      <c r="C1598"/>
      <c r="D1598"/>
      <c r="E1598"/>
      <c r="F1598"/>
      <c r="G1598"/>
      <c r="H1598"/>
      <c r="I1598"/>
      <c r="J1598"/>
    </row>
    <row r="1599" spans="2:10" s="27" customFormat="1">
      <c r="B1599"/>
      <c r="C1599"/>
      <c r="D1599"/>
      <c r="E1599"/>
      <c r="F1599"/>
      <c r="G1599"/>
      <c r="H1599"/>
      <c r="I1599"/>
      <c r="J1599"/>
    </row>
    <row r="1600" spans="2:10" s="27" customFormat="1">
      <c r="B1600"/>
      <c r="C1600"/>
      <c r="D1600"/>
      <c r="E1600"/>
      <c r="F1600"/>
      <c r="G1600"/>
      <c r="H1600"/>
      <c r="I1600"/>
      <c r="J1600"/>
    </row>
    <row r="1601" spans="2:10" s="27" customFormat="1">
      <c r="B1601"/>
      <c r="C1601"/>
      <c r="D1601"/>
      <c r="E1601"/>
      <c r="F1601"/>
      <c r="G1601"/>
      <c r="H1601"/>
      <c r="I1601"/>
      <c r="J1601"/>
    </row>
    <row r="1602" spans="2:10" s="27" customFormat="1">
      <c r="B1602"/>
      <c r="C1602"/>
      <c r="D1602"/>
      <c r="E1602"/>
      <c r="F1602"/>
      <c r="G1602"/>
      <c r="H1602"/>
      <c r="I1602"/>
      <c r="J1602"/>
    </row>
    <row r="1603" spans="2:10" s="27" customFormat="1">
      <c r="B1603"/>
      <c r="C1603"/>
      <c r="D1603"/>
      <c r="E1603"/>
      <c r="F1603"/>
      <c r="G1603"/>
      <c r="H1603"/>
      <c r="I1603"/>
      <c r="J1603"/>
    </row>
    <row r="1604" spans="2:10" s="27" customFormat="1">
      <c r="B1604"/>
      <c r="C1604"/>
      <c r="D1604"/>
      <c r="E1604"/>
      <c r="F1604"/>
      <c r="G1604"/>
      <c r="H1604"/>
      <c r="I1604"/>
      <c r="J1604"/>
    </row>
    <row r="1605" spans="2:10" s="27" customFormat="1">
      <c r="B1605"/>
      <c r="C1605"/>
      <c r="D1605"/>
      <c r="E1605"/>
      <c r="F1605"/>
      <c r="G1605"/>
      <c r="H1605"/>
      <c r="I1605"/>
      <c r="J1605"/>
    </row>
    <row r="1606" spans="2:10" s="27" customFormat="1">
      <c r="B1606"/>
      <c r="C1606"/>
      <c r="D1606"/>
      <c r="E1606"/>
      <c r="F1606"/>
      <c r="G1606"/>
      <c r="H1606"/>
      <c r="I1606"/>
      <c r="J1606"/>
    </row>
    <row r="1607" spans="2:10" s="27" customFormat="1">
      <c r="B1607"/>
      <c r="C1607"/>
      <c r="D1607"/>
      <c r="E1607"/>
      <c r="F1607"/>
      <c r="G1607"/>
      <c r="H1607"/>
      <c r="I1607"/>
      <c r="J1607"/>
    </row>
    <row r="1608" spans="2:10" s="27" customFormat="1">
      <c r="B1608"/>
      <c r="C1608"/>
      <c r="D1608"/>
      <c r="E1608"/>
      <c r="F1608"/>
      <c r="G1608"/>
      <c r="H1608"/>
      <c r="I1608"/>
      <c r="J1608"/>
    </row>
    <row r="1609" spans="2:10" s="27" customFormat="1">
      <c r="B1609"/>
      <c r="C1609"/>
      <c r="D1609"/>
      <c r="E1609"/>
      <c r="F1609"/>
      <c r="G1609"/>
      <c r="H1609"/>
      <c r="I1609"/>
      <c r="J1609"/>
    </row>
    <row r="1610" spans="2:10" s="27" customFormat="1">
      <c r="B1610"/>
      <c r="C1610"/>
      <c r="D1610"/>
      <c r="E1610"/>
      <c r="F1610"/>
      <c r="G1610"/>
      <c r="H1610"/>
      <c r="I1610"/>
      <c r="J1610"/>
    </row>
    <row r="1611" spans="2:10" s="27" customFormat="1">
      <c r="B1611"/>
      <c r="C1611"/>
      <c r="D1611"/>
      <c r="E1611"/>
      <c r="F1611"/>
      <c r="G1611"/>
      <c r="H1611"/>
      <c r="I1611"/>
      <c r="J1611"/>
    </row>
    <row r="1612" spans="2:10" s="27" customFormat="1">
      <c r="B1612"/>
      <c r="C1612"/>
      <c r="D1612"/>
      <c r="E1612"/>
      <c r="F1612"/>
      <c r="G1612"/>
      <c r="H1612"/>
      <c r="I1612"/>
      <c r="J1612"/>
    </row>
    <row r="1613" spans="2:10" s="27" customFormat="1">
      <c r="B1613"/>
      <c r="C1613"/>
      <c r="D1613"/>
      <c r="E1613"/>
      <c r="F1613"/>
      <c r="G1613"/>
      <c r="H1613"/>
      <c r="I1613"/>
      <c r="J1613"/>
    </row>
    <row r="1614" spans="2:10" s="27" customFormat="1">
      <c r="B1614"/>
      <c r="C1614"/>
      <c r="D1614"/>
      <c r="E1614"/>
      <c r="F1614"/>
      <c r="G1614"/>
      <c r="H1614"/>
      <c r="I1614"/>
      <c r="J1614"/>
    </row>
    <row r="1615" spans="2:10" s="27" customFormat="1">
      <c r="B1615"/>
      <c r="C1615"/>
      <c r="D1615"/>
      <c r="E1615"/>
      <c r="F1615"/>
      <c r="G1615"/>
      <c r="H1615"/>
      <c r="I1615"/>
      <c r="J1615"/>
    </row>
    <row r="1616" spans="2:10" s="27" customFormat="1">
      <c r="B1616"/>
      <c r="C1616"/>
      <c r="D1616"/>
      <c r="E1616"/>
      <c r="F1616"/>
      <c r="G1616"/>
      <c r="H1616"/>
      <c r="I1616"/>
      <c r="J1616"/>
    </row>
    <row r="1617" spans="2:10" s="27" customFormat="1">
      <c r="B1617"/>
      <c r="C1617"/>
      <c r="D1617"/>
      <c r="E1617"/>
      <c r="F1617"/>
      <c r="G1617"/>
      <c r="H1617"/>
      <c r="I1617"/>
      <c r="J1617"/>
    </row>
    <row r="1618" spans="2:10" s="27" customFormat="1">
      <c r="B1618"/>
      <c r="C1618"/>
      <c r="D1618"/>
      <c r="E1618"/>
      <c r="F1618"/>
      <c r="G1618"/>
      <c r="H1618"/>
      <c r="I1618"/>
      <c r="J1618"/>
    </row>
    <row r="1619" spans="2:10" s="27" customFormat="1">
      <c r="B1619"/>
      <c r="C1619"/>
      <c r="D1619"/>
      <c r="E1619"/>
      <c r="F1619"/>
      <c r="G1619"/>
      <c r="H1619"/>
      <c r="I1619"/>
      <c r="J1619"/>
    </row>
    <row r="1620" spans="2:10" s="27" customFormat="1">
      <c r="B1620"/>
      <c r="C1620"/>
      <c r="D1620"/>
      <c r="E1620"/>
      <c r="F1620"/>
      <c r="G1620"/>
      <c r="H1620"/>
      <c r="I1620"/>
      <c r="J1620"/>
    </row>
    <row r="1621" spans="2:10" s="27" customFormat="1">
      <c r="B1621"/>
      <c r="C1621"/>
      <c r="D1621"/>
      <c r="E1621"/>
      <c r="F1621"/>
      <c r="G1621"/>
      <c r="H1621"/>
      <c r="I1621"/>
      <c r="J1621"/>
    </row>
    <row r="1622" spans="2:10" s="27" customFormat="1">
      <c r="B1622"/>
      <c r="C1622"/>
      <c r="D1622"/>
      <c r="E1622"/>
      <c r="F1622"/>
      <c r="G1622"/>
      <c r="H1622"/>
      <c r="I1622"/>
      <c r="J1622"/>
    </row>
    <row r="1623" spans="2:10" s="27" customFormat="1">
      <c r="B1623"/>
      <c r="C1623"/>
      <c r="D1623"/>
      <c r="E1623"/>
      <c r="F1623"/>
      <c r="G1623"/>
      <c r="H1623"/>
      <c r="I1623"/>
      <c r="J1623"/>
    </row>
    <row r="1624" spans="2:10" s="27" customFormat="1">
      <c r="B1624"/>
      <c r="C1624"/>
      <c r="D1624"/>
      <c r="E1624"/>
      <c r="F1624"/>
      <c r="G1624"/>
      <c r="H1624"/>
      <c r="I1624"/>
      <c r="J1624"/>
    </row>
    <row r="1625" spans="2:10" s="27" customFormat="1">
      <c r="B1625"/>
      <c r="C1625"/>
      <c r="D1625"/>
      <c r="E1625"/>
      <c r="F1625"/>
      <c r="G1625"/>
      <c r="H1625"/>
      <c r="I1625"/>
      <c r="J1625"/>
    </row>
    <row r="1626" spans="2:10" s="27" customFormat="1">
      <c r="B1626"/>
      <c r="C1626"/>
      <c r="D1626"/>
      <c r="E1626"/>
      <c r="F1626"/>
      <c r="G1626"/>
      <c r="H1626"/>
      <c r="I1626"/>
      <c r="J1626"/>
    </row>
    <row r="1627" spans="2:10" s="27" customFormat="1">
      <c r="B1627"/>
      <c r="C1627"/>
      <c r="D1627"/>
      <c r="E1627"/>
      <c r="F1627"/>
      <c r="G1627"/>
      <c r="H1627"/>
      <c r="I1627"/>
      <c r="J1627"/>
    </row>
    <row r="1628" spans="2:10" s="27" customFormat="1">
      <c r="B1628"/>
      <c r="C1628"/>
      <c r="D1628"/>
      <c r="E1628"/>
      <c r="F1628"/>
      <c r="G1628"/>
      <c r="H1628"/>
      <c r="I1628"/>
      <c r="J1628"/>
    </row>
    <row r="1629" spans="2:10" s="27" customFormat="1">
      <c r="B1629"/>
      <c r="C1629"/>
      <c r="D1629"/>
      <c r="E1629"/>
      <c r="F1629"/>
      <c r="G1629"/>
      <c r="H1629"/>
      <c r="I1629"/>
      <c r="J1629"/>
    </row>
    <row r="1630" spans="2:10" s="27" customFormat="1">
      <c r="B1630"/>
      <c r="C1630"/>
      <c r="D1630"/>
      <c r="E1630"/>
      <c r="F1630"/>
      <c r="G1630"/>
      <c r="H1630"/>
      <c r="I1630"/>
      <c r="J1630"/>
    </row>
    <row r="1631" spans="2:10" s="27" customFormat="1">
      <c r="B1631"/>
      <c r="C1631"/>
      <c r="D1631"/>
      <c r="E1631"/>
      <c r="F1631"/>
      <c r="G1631"/>
      <c r="H1631"/>
      <c r="I1631"/>
      <c r="J1631"/>
    </row>
    <row r="1632" spans="2:10" s="27" customFormat="1">
      <c r="B1632"/>
      <c r="C1632"/>
      <c r="D1632"/>
      <c r="E1632"/>
      <c r="F1632"/>
      <c r="G1632"/>
      <c r="H1632"/>
      <c r="I1632"/>
      <c r="J1632"/>
    </row>
    <row r="1633" spans="2:10" s="27" customFormat="1">
      <c r="B1633"/>
      <c r="C1633"/>
      <c r="D1633"/>
      <c r="E1633"/>
      <c r="F1633"/>
      <c r="G1633"/>
      <c r="H1633"/>
      <c r="I1633"/>
      <c r="J1633"/>
    </row>
    <row r="1634" spans="2:10" s="27" customFormat="1">
      <c r="B1634"/>
      <c r="C1634"/>
      <c r="D1634"/>
      <c r="E1634"/>
      <c r="F1634"/>
      <c r="G1634"/>
      <c r="H1634"/>
      <c r="I1634"/>
      <c r="J1634"/>
    </row>
    <row r="1635" spans="2:10" s="27" customFormat="1">
      <c r="B1635"/>
      <c r="C1635"/>
      <c r="D1635"/>
      <c r="E1635"/>
      <c r="F1635"/>
      <c r="G1635"/>
      <c r="H1635"/>
      <c r="I1635"/>
      <c r="J1635"/>
    </row>
    <row r="1636" spans="2:10" s="27" customFormat="1">
      <c r="B1636"/>
      <c r="C1636"/>
      <c r="D1636"/>
      <c r="E1636"/>
      <c r="F1636"/>
      <c r="G1636"/>
      <c r="H1636"/>
      <c r="I1636"/>
      <c r="J1636"/>
    </row>
    <row r="1637" spans="2:10" s="27" customFormat="1">
      <c r="B1637"/>
      <c r="C1637"/>
      <c r="D1637"/>
      <c r="E1637"/>
      <c r="F1637"/>
      <c r="G1637"/>
      <c r="H1637"/>
      <c r="I1637"/>
      <c r="J1637"/>
    </row>
    <row r="1638" spans="2:10" s="27" customFormat="1">
      <c r="B1638"/>
      <c r="C1638"/>
      <c r="D1638"/>
      <c r="E1638"/>
      <c r="F1638"/>
      <c r="G1638"/>
      <c r="H1638"/>
      <c r="I1638"/>
      <c r="J1638"/>
    </row>
    <row r="1639" spans="2:10" s="27" customFormat="1">
      <c r="B1639"/>
      <c r="C1639"/>
      <c r="D1639"/>
      <c r="E1639"/>
      <c r="F1639"/>
      <c r="G1639"/>
      <c r="H1639"/>
      <c r="I1639"/>
      <c r="J1639"/>
    </row>
    <row r="1640" spans="2:10" s="27" customFormat="1">
      <c r="B1640"/>
      <c r="C1640"/>
      <c r="D1640"/>
      <c r="E1640"/>
      <c r="F1640"/>
      <c r="G1640"/>
      <c r="H1640"/>
      <c r="I1640"/>
      <c r="J1640"/>
    </row>
  </sheetData>
  <dataConsolidate/>
  <pageMargins left="0.7" right="0.7" top="0.75" bottom="0.75" header="0.3" footer="0.3"/>
  <pageSetup paperSize="3" scale="77" fitToHeight="0" orientation="landscape" horizontalDpi="0" verticalDpi="0" r:id="rId1"/>
  <headerFooter>
    <oddHeader>&amp;A</oddHeader>
    <oddFooter>&amp;L&amp;B Confidential&amp;B&amp;C&amp;D&amp;RPage &amp;P</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sheetPr codeName="Sheet5">
    <tabColor theme="6"/>
  </sheetPr>
  <dimension ref="A1:E32"/>
  <sheetViews>
    <sheetView zoomScaleNormal="100" workbookViewId="0">
      <pane xSplit="1" ySplit="2" topLeftCell="B3" activePane="bottomRight" state="frozenSplit"/>
      <selection activeCell="B3" sqref="B3"/>
      <selection pane="topRight" activeCell="B3" sqref="B3"/>
      <selection pane="bottomLeft" activeCell="B3" sqref="B3"/>
      <selection pane="bottomRight" activeCell="B36" sqref="B36"/>
    </sheetView>
  </sheetViews>
  <sheetFormatPr defaultColWidth="28.28515625" defaultRowHeight="15"/>
  <cols>
    <col min="1" max="1" width="20.42578125" customWidth="1"/>
    <col min="2" max="2" width="31.42578125" bestFit="1" customWidth="1"/>
    <col min="3" max="3" width="11.85546875" customWidth="1"/>
    <col min="4" max="4" width="19.42578125" bestFit="1" customWidth="1"/>
    <col min="5" max="5" width="40.42578125" style="103" bestFit="1" customWidth="1"/>
    <col min="6" max="6" width="6.5703125" bestFit="1" customWidth="1"/>
    <col min="7" max="7" width="6.28515625" bestFit="1" customWidth="1"/>
  </cols>
  <sheetData>
    <row r="1" spans="1:5">
      <c r="A1" t="s">
        <v>1127</v>
      </c>
    </row>
    <row r="2" spans="1:5">
      <c r="A2" s="104" t="s">
        <v>1128</v>
      </c>
      <c r="B2" s="104" t="s">
        <v>1129</v>
      </c>
      <c r="C2" s="104" t="s">
        <v>1130</v>
      </c>
      <c r="D2" s="104" t="s">
        <v>1131</v>
      </c>
      <c r="E2" s="105" t="s">
        <v>30</v>
      </c>
    </row>
    <row r="3" spans="1:5">
      <c r="A3" s="28">
        <v>1</v>
      </c>
      <c r="B3" s="80" t="s">
        <v>1132</v>
      </c>
      <c r="C3" s="161">
        <v>1.25</v>
      </c>
      <c r="D3" t="s">
        <v>1024</v>
      </c>
      <c r="E3"/>
    </row>
    <row r="4" spans="1:5">
      <c r="A4" s="28">
        <v>2</v>
      </c>
      <c r="B4" s="80" t="s">
        <v>1133</v>
      </c>
      <c r="C4" s="161">
        <v>0.8</v>
      </c>
      <c r="D4" t="s">
        <v>1024</v>
      </c>
      <c r="E4" t="s">
        <v>1134</v>
      </c>
    </row>
    <row r="5" spans="1:5">
      <c r="A5" s="28">
        <v>3</v>
      </c>
      <c r="B5" s="80" t="s">
        <v>1135</v>
      </c>
      <c r="C5" s="161">
        <v>1.25</v>
      </c>
      <c r="D5" t="s">
        <v>1000</v>
      </c>
      <c r="E5"/>
    </row>
    <row r="6" spans="1:5">
      <c r="A6" s="28">
        <v>4</v>
      </c>
      <c r="B6" s="26" t="s">
        <v>1136</v>
      </c>
      <c r="C6" s="161">
        <v>1.5</v>
      </c>
      <c r="D6" t="s">
        <v>1000</v>
      </c>
      <c r="E6"/>
    </row>
    <row r="7" spans="1:5">
      <c r="A7" s="28">
        <v>5</v>
      </c>
      <c r="B7" s="26" t="s">
        <v>1137</v>
      </c>
      <c r="C7" s="161">
        <v>1.5</v>
      </c>
      <c r="D7" t="s">
        <v>1138</v>
      </c>
      <c r="E7"/>
    </row>
    <row r="8" spans="1:5">
      <c r="A8" s="28">
        <v>6</v>
      </c>
      <c r="B8" s="26" t="s">
        <v>1139</v>
      </c>
      <c r="C8" s="161">
        <v>3</v>
      </c>
      <c r="D8" t="s">
        <v>1138</v>
      </c>
      <c r="E8"/>
    </row>
    <row r="9" spans="1:5">
      <c r="A9" s="28">
        <v>7</v>
      </c>
      <c r="B9" s="80" t="s">
        <v>1140</v>
      </c>
      <c r="C9" s="161">
        <v>2</v>
      </c>
      <c r="D9" t="s">
        <v>1076</v>
      </c>
      <c r="E9"/>
    </row>
    <row r="10" spans="1:5">
      <c r="A10" s="28">
        <v>8</v>
      </c>
      <c r="B10" s="80" t="s">
        <v>1141</v>
      </c>
      <c r="C10" s="161">
        <v>1</v>
      </c>
      <c r="D10" t="s">
        <v>1076</v>
      </c>
      <c r="E10"/>
    </row>
    <row r="11" spans="1:5">
      <c r="A11" s="28">
        <v>9</v>
      </c>
      <c r="B11" s="80" t="s">
        <v>1142</v>
      </c>
      <c r="C11" s="161">
        <v>0.8</v>
      </c>
      <c r="D11" t="s">
        <v>1076</v>
      </c>
      <c r="E11"/>
    </row>
    <row r="12" spans="1:5">
      <c r="A12" s="28">
        <v>10</v>
      </c>
      <c r="B12" s="80" t="s">
        <v>1143</v>
      </c>
      <c r="C12" s="161">
        <v>1.33</v>
      </c>
      <c r="D12" t="s">
        <v>1076</v>
      </c>
      <c r="E12"/>
    </row>
    <row r="13" spans="1:5">
      <c r="A13" s="28">
        <v>11</v>
      </c>
      <c r="B13" s="80" t="s">
        <v>1144</v>
      </c>
      <c r="C13" s="161">
        <v>2.5</v>
      </c>
      <c r="D13" t="s">
        <v>1076</v>
      </c>
      <c r="E13"/>
    </row>
    <row r="14" spans="1:5">
      <c r="A14" s="28">
        <v>12</v>
      </c>
      <c r="B14" s="80" t="s">
        <v>1145</v>
      </c>
      <c r="C14" s="161">
        <v>0.33</v>
      </c>
      <c r="D14" t="s">
        <v>1076</v>
      </c>
      <c r="E14"/>
    </row>
    <row r="15" spans="1:5">
      <c r="A15" s="28">
        <v>13</v>
      </c>
      <c r="B15" s="80" t="s">
        <v>1146</v>
      </c>
      <c r="C15" s="161">
        <v>4</v>
      </c>
      <c r="D15" t="s">
        <v>1076</v>
      </c>
      <c r="E15"/>
    </row>
    <row r="16" spans="1:5">
      <c r="A16" s="28">
        <v>14</v>
      </c>
      <c r="B16" s="80" t="s">
        <v>1147</v>
      </c>
      <c r="C16" s="161">
        <v>0.8</v>
      </c>
      <c r="D16" t="s">
        <v>1076</v>
      </c>
      <c r="E16"/>
    </row>
    <row r="17" spans="1:5">
      <c r="A17" s="28">
        <v>15</v>
      </c>
      <c r="B17" s="80" t="s">
        <v>1148</v>
      </c>
      <c r="C17" s="161">
        <v>4.25</v>
      </c>
      <c r="D17" t="s">
        <v>1076</v>
      </c>
      <c r="E17"/>
    </row>
    <row r="18" spans="1:5">
      <c r="A18" s="28">
        <v>16</v>
      </c>
      <c r="B18" s="81" t="s">
        <v>1149</v>
      </c>
      <c r="C18" s="161">
        <v>1.33</v>
      </c>
      <c r="D18" t="s">
        <v>1076</v>
      </c>
      <c r="E18"/>
    </row>
    <row r="19" spans="1:5">
      <c r="A19" s="28">
        <v>17</v>
      </c>
      <c r="B19" s="26" t="s">
        <v>1150</v>
      </c>
      <c r="C19" s="161">
        <v>0.5</v>
      </c>
      <c r="D19" t="s">
        <v>1076</v>
      </c>
      <c r="E19"/>
    </row>
    <row r="20" spans="1:5">
      <c r="A20" s="28">
        <v>18</v>
      </c>
      <c r="B20" s="26" t="s">
        <v>1151</v>
      </c>
      <c r="C20" s="161">
        <v>3.75</v>
      </c>
      <c r="D20" t="s">
        <v>1076</v>
      </c>
      <c r="E20"/>
    </row>
    <row r="21" spans="1:5">
      <c r="A21" s="28">
        <v>19</v>
      </c>
      <c r="B21" s="26" t="s">
        <v>1152</v>
      </c>
      <c r="C21" s="161">
        <v>3</v>
      </c>
      <c r="D21" t="s">
        <v>1076</v>
      </c>
      <c r="E21"/>
    </row>
    <row r="22" spans="1:5">
      <c r="A22" s="28">
        <v>20</v>
      </c>
      <c r="B22" s="26" t="s">
        <v>1153</v>
      </c>
      <c r="C22" s="161">
        <v>3.65</v>
      </c>
      <c r="D22" t="s">
        <v>1076</v>
      </c>
      <c r="E22"/>
    </row>
    <row r="23" spans="1:5">
      <c r="A23" s="28">
        <v>21</v>
      </c>
      <c r="B23" s="26" t="s">
        <v>1154</v>
      </c>
      <c r="C23" s="161">
        <v>0.5</v>
      </c>
      <c r="D23" t="s">
        <v>1076</v>
      </c>
      <c r="E23"/>
    </row>
    <row r="24" spans="1:5">
      <c r="A24" s="28">
        <v>22</v>
      </c>
      <c r="B24" s="26" t="s">
        <v>1155</v>
      </c>
      <c r="C24" s="161">
        <v>2</v>
      </c>
      <c r="E24" t="s">
        <v>1156</v>
      </c>
    </row>
    <row r="25" spans="1:5">
      <c r="A25" s="28">
        <v>23</v>
      </c>
      <c r="B25" s="26" t="s">
        <v>1157</v>
      </c>
      <c r="C25" s="161">
        <v>3</v>
      </c>
      <c r="E25" t="s">
        <v>1156</v>
      </c>
    </row>
    <row r="26" spans="1:5">
      <c r="A26" s="28">
        <v>24</v>
      </c>
      <c r="B26" s="26" t="s">
        <v>1158</v>
      </c>
      <c r="C26" s="161">
        <v>4</v>
      </c>
      <c r="E26" t="s">
        <v>1156</v>
      </c>
    </row>
    <row r="27" spans="1:5">
      <c r="A27" s="28">
        <v>25</v>
      </c>
      <c r="B27" s="26" t="s">
        <v>1159</v>
      </c>
      <c r="C27" s="161">
        <v>5</v>
      </c>
      <c r="E27" t="s">
        <v>1156</v>
      </c>
    </row>
    <row r="28" spans="1:5">
      <c r="A28" s="28">
        <v>26</v>
      </c>
      <c r="B28" s="26" t="s">
        <v>1160</v>
      </c>
      <c r="C28" s="161">
        <v>6</v>
      </c>
      <c r="E28" t="s">
        <v>1156</v>
      </c>
    </row>
    <row r="29" spans="1:5">
      <c r="A29" s="28">
        <v>27</v>
      </c>
      <c r="B29" s="26" t="s">
        <v>1161</v>
      </c>
      <c r="C29" s="161">
        <v>7</v>
      </c>
      <c r="E29" t="s">
        <v>1156</v>
      </c>
    </row>
    <row r="30" spans="1:5">
      <c r="A30" s="28">
        <v>28</v>
      </c>
      <c r="B30" s="26" t="s">
        <v>1162</v>
      </c>
      <c r="C30" s="161">
        <v>8</v>
      </c>
      <c r="E30" t="s">
        <v>1156</v>
      </c>
    </row>
    <row r="31" spans="1:5">
      <c r="A31" s="28">
        <v>29</v>
      </c>
      <c r="B31" s="26" t="s">
        <v>1163</v>
      </c>
      <c r="C31" s="161">
        <v>9</v>
      </c>
      <c r="E31" t="s">
        <v>1156</v>
      </c>
    </row>
    <row r="32" spans="1:5">
      <c r="A32" s="28">
        <v>30</v>
      </c>
      <c r="B32" s="26" t="s">
        <v>1164</v>
      </c>
      <c r="C32" s="161">
        <v>10</v>
      </c>
      <c r="E32" t="s">
        <v>1156</v>
      </c>
    </row>
  </sheetData>
  <pageMargins left="0.7" right="0.7" top="0.75" bottom="0.75" header="0.3" footer="0.3"/>
  <pageSetup scale="99" orientation="landscape" horizontalDpi="4294967293" verticalDpi="0" r:id="rId1"/>
  <headerFooter>
    <oddHeader>&amp;A</oddHeader>
    <oddFooter>&amp;L&amp;B Confidential&amp;B&amp;C&amp;D&amp;RPage &amp;P</oddFooter>
  </headerFooter>
  <tableParts count="1">
    <tablePart r:id="rId2"/>
  </tableParts>
</worksheet>
</file>

<file path=xl/worksheets/sheet7.xml><?xml version="1.0" encoding="utf-8"?>
<worksheet xmlns="http://schemas.openxmlformats.org/spreadsheetml/2006/main" xmlns:r="http://schemas.openxmlformats.org/officeDocument/2006/relationships">
  <sheetPr codeName="Sheet6">
    <tabColor theme="6"/>
  </sheetPr>
  <dimension ref="A1:U301"/>
  <sheetViews>
    <sheetView zoomScaleNormal="100" workbookViewId="0">
      <pane xSplit="1" ySplit="2" topLeftCell="B3" activePane="bottomRight" state="frozenSplit"/>
      <selection activeCell="B3" sqref="B3"/>
      <selection pane="topRight" activeCell="B3" sqref="B3"/>
      <selection pane="bottomLeft" activeCell="B3" sqref="B3"/>
      <selection pane="bottomRight" activeCell="B4" sqref="B4"/>
    </sheetView>
  </sheetViews>
  <sheetFormatPr defaultRowHeight="15"/>
  <cols>
    <col min="1" max="1" width="13" style="2" customWidth="1"/>
    <col min="2" max="2" width="38.85546875" style="2" customWidth="1"/>
    <col min="3" max="3" width="13.42578125" style="2" customWidth="1"/>
    <col min="4" max="4" width="8.28515625" style="2" customWidth="1"/>
    <col min="5" max="5" width="10" style="2" customWidth="1"/>
    <col min="6" max="6" width="8.28515625" style="2" customWidth="1"/>
    <col min="7" max="7" width="12.140625" style="2" hidden="1" customWidth="1"/>
    <col min="8" max="8" width="22.85546875" style="2" hidden="1" customWidth="1"/>
    <col min="9" max="10" width="11.5703125" style="2" customWidth="1"/>
    <col min="11" max="11" width="46.42578125" style="2" customWidth="1"/>
    <col min="12" max="12" width="19.85546875" style="2" hidden="1" customWidth="1"/>
    <col min="13" max="13" width="15.140625" style="2" hidden="1" customWidth="1"/>
    <col min="14" max="14" width="11.42578125" style="2" customWidth="1"/>
    <col min="15" max="15" width="14" style="2" customWidth="1"/>
    <col min="16" max="16" width="22.140625" style="2" customWidth="1"/>
    <col min="17" max="17" width="7.5703125" style="2" customWidth="1"/>
    <col min="18" max="18" width="65.7109375" style="100" customWidth="1"/>
    <col min="19" max="16384" width="9.140625" style="2"/>
  </cols>
  <sheetData>
    <row r="1" spans="1:19" ht="30">
      <c r="A1" s="83" t="s">
        <v>1295</v>
      </c>
      <c r="B1" s="168" t="s">
        <v>1296</v>
      </c>
      <c r="C1" s="168"/>
      <c r="D1" s="168"/>
      <c r="E1" s="168"/>
      <c r="F1" s="168"/>
      <c r="G1" s="168"/>
      <c r="H1" s="168"/>
      <c r="I1" s="168"/>
      <c r="J1" s="168"/>
      <c r="K1" s="168"/>
      <c r="L1" s="168"/>
      <c r="M1" s="168"/>
      <c r="N1" s="168"/>
      <c r="O1" s="168"/>
      <c r="P1" s="168"/>
      <c r="Q1" s="168"/>
      <c r="R1" s="168"/>
    </row>
    <row r="2" spans="1:19">
      <c r="A2" s="106" t="s">
        <v>1165</v>
      </c>
      <c r="B2" s="106" t="s">
        <v>1166</v>
      </c>
      <c r="C2" s="106" t="s">
        <v>1167</v>
      </c>
      <c r="D2" s="106" t="s">
        <v>25</v>
      </c>
      <c r="E2" s="106" t="s">
        <v>1168</v>
      </c>
      <c r="F2" s="106" t="s">
        <v>26</v>
      </c>
      <c r="G2" s="106" t="s">
        <v>23</v>
      </c>
      <c r="H2" s="106" t="s">
        <v>22</v>
      </c>
      <c r="I2" s="106" t="s">
        <v>1169</v>
      </c>
      <c r="J2" s="106" t="s">
        <v>1170</v>
      </c>
      <c r="K2" s="106" t="s">
        <v>24</v>
      </c>
      <c r="L2" s="106" t="s">
        <v>1171</v>
      </c>
      <c r="M2" s="106" t="s">
        <v>1319</v>
      </c>
      <c r="N2" s="106" t="s">
        <v>1172</v>
      </c>
      <c r="O2" s="106" t="s">
        <v>1173</v>
      </c>
      <c r="P2" s="106" t="s">
        <v>1174</v>
      </c>
      <c r="Q2" s="106" t="s">
        <v>1175</v>
      </c>
      <c r="R2" s="107" t="s">
        <v>30</v>
      </c>
    </row>
    <row r="3" spans="1:19" ht="82.5" customHeight="1">
      <c r="A3" s="2">
        <v>1</v>
      </c>
      <c r="B3" s="29" t="s">
        <v>1176</v>
      </c>
      <c r="C3" s="30">
        <v>25.4</v>
      </c>
      <c r="D3" s="29" t="s">
        <v>37</v>
      </c>
      <c r="E3" s="29"/>
      <c r="F3" s="29"/>
      <c r="G3" s="29" t="s">
        <v>1177</v>
      </c>
      <c r="H3" s="29"/>
      <c r="I3" s="31">
        <v>0.01</v>
      </c>
      <c r="J3" s="31">
        <v>0.01</v>
      </c>
      <c r="K3" s="32" t="s">
        <v>378</v>
      </c>
      <c r="L3" s="33"/>
      <c r="M3" s="29" t="s">
        <v>1177</v>
      </c>
      <c r="N3" s="34">
        <f t="shared" ref="N3:N11" si="0">I3*C3+J3</f>
        <v>0.26400000000000001</v>
      </c>
      <c r="O3" s="35"/>
      <c r="P3" s="36">
        <v>39855</v>
      </c>
      <c r="Q3" s="37"/>
      <c r="R3" s="38" t="s">
        <v>1178</v>
      </c>
    </row>
    <row r="4" spans="1:19" s="7" customFormat="1" ht="82.5" customHeight="1">
      <c r="A4" s="7">
        <v>2</v>
      </c>
      <c r="B4" s="8" t="s">
        <v>1179</v>
      </c>
      <c r="C4" s="39">
        <v>25.4</v>
      </c>
      <c r="D4" s="8" t="s">
        <v>37</v>
      </c>
      <c r="E4" s="8"/>
      <c r="F4" s="8"/>
      <c r="G4" s="8" t="s">
        <v>1177</v>
      </c>
      <c r="H4" s="8"/>
      <c r="I4" s="40">
        <v>2E-3</v>
      </c>
      <c r="J4" s="40">
        <v>0.08</v>
      </c>
      <c r="K4" s="41" t="s">
        <v>378</v>
      </c>
      <c r="L4" s="42"/>
      <c r="M4" s="8" t="s">
        <v>1177</v>
      </c>
      <c r="N4" s="13">
        <f t="shared" si="0"/>
        <v>0.1308</v>
      </c>
      <c r="O4" s="8"/>
      <c r="P4" s="43">
        <v>39855</v>
      </c>
      <c r="Q4" s="44"/>
      <c r="R4" s="45" t="s">
        <v>1178</v>
      </c>
    </row>
    <row r="5" spans="1:19" s="7" customFormat="1" ht="82.5" customHeight="1">
      <c r="A5" s="2">
        <v>3</v>
      </c>
      <c r="B5" s="8" t="s">
        <v>1180</v>
      </c>
      <c r="C5" s="39">
        <v>25.4</v>
      </c>
      <c r="D5" s="8" t="s">
        <v>37</v>
      </c>
      <c r="E5" s="8"/>
      <c r="F5" s="8"/>
      <c r="G5" s="8" t="s">
        <v>1177</v>
      </c>
      <c r="H5" s="8"/>
      <c r="I5" s="40">
        <v>4.0000000000000001E-3</v>
      </c>
      <c r="J5" s="40">
        <v>0.08</v>
      </c>
      <c r="K5" s="41" t="s">
        <v>378</v>
      </c>
      <c r="L5" s="42"/>
      <c r="M5" s="8" t="s">
        <v>1177</v>
      </c>
      <c r="N5" s="13">
        <f t="shared" si="0"/>
        <v>0.18159999999999998</v>
      </c>
      <c r="O5" s="8"/>
      <c r="P5" s="43">
        <v>39855</v>
      </c>
      <c r="Q5" s="46"/>
      <c r="R5" s="45" t="s">
        <v>1178</v>
      </c>
    </row>
    <row r="6" spans="1:19" s="7" customFormat="1" ht="82.5" customHeight="1">
      <c r="A6" s="7">
        <v>4</v>
      </c>
      <c r="B6" s="8" t="s">
        <v>1181</v>
      </c>
      <c r="C6" s="39">
        <v>25.4</v>
      </c>
      <c r="D6" s="8" t="s">
        <v>37</v>
      </c>
      <c r="E6" s="8"/>
      <c r="F6" s="8"/>
      <c r="G6" s="8" t="s">
        <v>1177</v>
      </c>
      <c r="H6" s="8"/>
      <c r="I6" s="40">
        <v>1.4E-2</v>
      </c>
      <c r="J6" s="40">
        <v>0</v>
      </c>
      <c r="K6" s="41" t="s">
        <v>1182</v>
      </c>
      <c r="L6" s="47"/>
      <c r="M6" s="8" t="s">
        <v>1177</v>
      </c>
      <c r="N6" s="13">
        <f t="shared" si="0"/>
        <v>0.35559999999999997</v>
      </c>
      <c r="O6" s="8"/>
      <c r="P6" s="43">
        <v>39855</v>
      </c>
      <c r="Q6" s="46"/>
      <c r="R6" s="45" t="s">
        <v>1178</v>
      </c>
    </row>
    <row r="7" spans="1:19" s="7" customFormat="1" ht="82.5" customHeight="1">
      <c r="A7" s="2">
        <v>5</v>
      </c>
      <c r="B7" s="8" t="s">
        <v>1183</v>
      </c>
      <c r="C7" s="39">
        <v>25.4</v>
      </c>
      <c r="D7" s="8" t="s">
        <v>37</v>
      </c>
      <c r="E7" s="8"/>
      <c r="F7" s="8"/>
      <c r="G7" s="8" t="s">
        <v>1177</v>
      </c>
      <c r="H7" s="8"/>
      <c r="I7" s="40">
        <v>0.123</v>
      </c>
      <c r="J7" s="40">
        <v>2.6</v>
      </c>
      <c r="K7" s="41" t="s">
        <v>378</v>
      </c>
      <c r="L7" s="48"/>
      <c r="M7" s="8" t="s">
        <v>1177</v>
      </c>
      <c r="N7" s="13">
        <f t="shared" si="0"/>
        <v>5.7241999999999997</v>
      </c>
      <c r="O7" s="8"/>
      <c r="P7" s="43">
        <v>39855</v>
      </c>
      <c r="Q7" s="46"/>
      <c r="R7" s="45" t="s">
        <v>1178</v>
      </c>
    </row>
    <row r="8" spans="1:19" s="7" customFormat="1" ht="82.5" customHeight="1">
      <c r="A8" s="7">
        <v>6</v>
      </c>
      <c r="B8" s="49" t="s">
        <v>1184</v>
      </c>
      <c r="C8" s="39">
        <v>25.4</v>
      </c>
      <c r="D8" s="8" t="s">
        <v>37</v>
      </c>
      <c r="E8" s="8"/>
      <c r="F8" s="8"/>
      <c r="G8" s="8"/>
      <c r="H8" s="8"/>
      <c r="I8" s="40">
        <v>4.0000000000000001E-3</v>
      </c>
      <c r="J8" s="40">
        <v>0.5</v>
      </c>
      <c r="K8" s="41" t="s">
        <v>378</v>
      </c>
      <c r="L8" s="48"/>
      <c r="M8" s="8"/>
      <c r="N8" s="13">
        <f t="shared" si="0"/>
        <v>0.60160000000000002</v>
      </c>
      <c r="O8" s="8"/>
      <c r="P8" s="43">
        <v>39867</v>
      </c>
      <c r="Q8" s="46"/>
      <c r="R8" s="45" t="s">
        <v>1178</v>
      </c>
    </row>
    <row r="9" spans="1:19" s="7" customFormat="1" ht="82.5" customHeight="1">
      <c r="A9" s="2">
        <v>7</v>
      </c>
      <c r="B9" s="49" t="s">
        <v>1185</v>
      </c>
      <c r="C9" s="39">
        <v>6.35</v>
      </c>
      <c r="D9" s="8" t="s">
        <v>37</v>
      </c>
      <c r="E9" s="8"/>
      <c r="F9" s="8"/>
      <c r="G9" s="8"/>
      <c r="H9" s="8"/>
      <c r="I9" s="40">
        <v>4.0000000000000001E-3</v>
      </c>
      <c r="J9" s="40">
        <v>0.02</v>
      </c>
      <c r="K9" s="41" t="s">
        <v>378</v>
      </c>
      <c r="L9" s="48"/>
      <c r="M9" s="8"/>
      <c r="N9" s="50">
        <f t="shared" si="0"/>
        <v>4.5399999999999996E-2</v>
      </c>
      <c r="O9" s="8"/>
      <c r="P9" s="43">
        <v>39867</v>
      </c>
      <c r="Q9" s="46"/>
      <c r="R9" s="45" t="s">
        <v>1178</v>
      </c>
    </row>
    <row r="10" spans="1:19" s="7" customFormat="1" ht="82.5" customHeight="1">
      <c r="A10" s="7">
        <v>8</v>
      </c>
      <c r="B10" s="49" t="s">
        <v>1186</v>
      </c>
      <c r="C10" s="51">
        <v>50</v>
      </c>
      <c r="D10" s="8" t="s">
        <v>37</v>
      </c>
      <c r="E10" s="8"/>
      <c r="F10" s="8"/>
      <c r="G10" s="8"/>
      <c r="H10" s="8"/>
      <c r="I10" s="8">
        <v>0.11799999999999999</v>
      </c>
      <c r="J10" s="8">
        <v>10.46</v>
      </c>
      <c r="K10" s="41" t="s">
        <v>378</v>
      </c>
      <c r="L10" s="52"/>
      <c r="M10" s="8"/>
      <c r="N10" s="13">
        <f>I10*C10+J10</f>
        <v>16.36</v>
      </c>
      <c r="O10" s="8"/>
      <c r="P10" s="43">
        <v>39868</v>
      </c>
      <c r="Q10" s="8"/>
      <c r="R10" s="45" t="s">
        <v>1178</v>
      </c>
      <c r="S10" s="7" t="s">
        <v>1187</v>
      </c>
    </row>
    <row r="11" spans="1:19" s="7" customFormat="1" ht="82.5" customHeight="1">
      <c r="A11" s="2">
        <v>9</v>
      </c>
      <c r="B11" s="8" t="s">
        <v>1188</v>
      </c>
      <c r="C11" s="39">
        <v>25.4</v>
      </c>
      <c r="D11" s="8" t="s">
        <v>37</v>
      </c>
      <c r="E11" s="8"/>
      <c r="F11" s="8"/>
      <c r="G11" s="8" t="s">
        <v>1177</v>
      </c>
      <c r="H11" s="8"/>
      <c r="I11" s="40">
        <v>4.0000000000000001E-3</v>
      </c>
      <c r="J11" s="40">
        <v>0.5</v>
      </c>
      <c r="K11" s="41" t="s">
        <v>378</v>
      </c>
      <c r="L11" s="48"/>
      <c r="M11" s="8" t="s">
        <v>1177</v>
      </c>
      <c r="N11" s="13">
        <f t="shared" si="0"/>
        <v>0.60160000000000002</v>
      </c>
      <c r="O11" s="8"/>
      <c r="P11" s="43">
        <v>39855</v>
      </c>
      <c r="Q11" s="8"/>
      <c r="R11" s="45" t="s">
        <v>1178</v>
      </c>
    </row>
    <row r="12" spans="1:19" s="7" customFormat="1" ht="82.5" customHeight="1">
      <c r="A12" s="7">
        <v>10</v>
      </c>
      <c r="B12" s="8" t="s">
        <v>1189</v>
      </c>
      <c r="C12" s="39">
        <v>6</v>
      </c>
      <c r="D12" s="8" t="s">
        <v>37</v>
      </c>
      <c r="E12" s="8"/>
      <c r="F12" s="8"/>
      <c r="G12" s="8" t="s">
        <v>1190</v>
      </c>
      <c r="H12" s="8"/>
      <c r="I12" s="40">
        <v>1.8000000000000001E-4</v>
      </c>
      <c r="J12" s="40">
        <v>1.2999999999999999E-2</v>
      </c>
      <c r="K12" s="11" t="s">
        <v>1191</v>
      </c>
      <c r="L12" s="48"/>
      <c r="M12" s="8"/>
      <c r="N12" s="48">
        <f>I12*(C12^2)+J12</f>
        <v>1.9480000000000001E-2</v>
      </c>
      <c r="O12" s="8"/>
      <c r="P12" s="43">
        <v>39855</v>
      </c>
      <c r="Q12" s="8"/>
      <c r="R12" s="8" t="s">
        <v>1192</v>
      </c>
    </row>
    <row r="13" spans="1:19" s="7" customFormat="1" ht="82.5" customHeight="1">
      <c r="A13" s="2">
        <v>11</v>
      </c>
      <c r="B13" s="8" t="s">
        <v>1193</v>
      </c>
      <c r="C13" s="39">
        <v>6</v>
      </c>
      <c r="D13" s="8" t="s">
        <v>37</v>
      </c>
      <c r="E13" s="8"/>
      <c r="F13" s="8"/>
      <c r="G13" s="8" t="s">
        <v>1190</v>
      </c>
      <c r="H13" s="8"/>
      <c r="I13" s="40">
        <v>1.8000000000000001E-4</v>
      </c>
      <c r="J13" s="40">
        <v>1.2999999999999999E-2</v>
      </c>
      <c r="K13" s="11" t="s">
        <v>1191</v>
      </c>
      <c r="L13" s="48"/>
      <c r="M13" s="8"/>
      <c r="N13" s="48">
        <f>I13*(C13^2)+J13</f>
        <v>1.9480000000000001E-2</v>
      </c>
      <c r="O13" s="8"/>
      <c r="P13" s="43">
        <v>39855</v>
      </c>
      <c r="Q13" s="8"/>
      <c r="R13" s="8" t="s">
        <v>1192</v>
      </c>
    </row>
    <row r="14" spans="1:19" s="7" customFormat="1" ht="82.5" customHeight="1">
      <c r="A14" s="7">
        <v>12</v>
      </c>
      <c r="B14" s="8" t="s">
        <v>1194</v>
      </c>
      <c r="C14" s="39">
        <v>6</v>
      </c>
      <c r="D14" s="8" t="s">
        <v>37</v>
      </c>
      <c r="E14" s="8"/>
      <c r="F14" s="8"/>
      <c r="G14" s="8" t="s">
        <v>1190</v>
      </c>
      <c r="H14" s="8"/>
      <c r="I14" s="40">
        <v>1.8000000000000001E-4</v>
      </c>
      <c r="J14" s="40">
        <v>1.2999999999999999E-2</v>
      </c>
      <c r="K14" s="11" t="s">
        <v>1191</v>
      </c>
      <c r="L14" s="48"/>
      <c r="M14" s="8"/>
      <c r="N14" s="48">
        <f>I14*(C14^2)+J14</f>
        <v>1.9480000000000001E-2</v>
      </c>
      <c r="O14" s="8"/>
      <c r="P14" s="43">
        <v>39855</v>
      </c>
      <c r="Q14" s="8"/>
      <c r="R14" s="8" t="s">
        <v>1192</v>
      </c>
    </row>
    <row r="15" spans="1:19" s="7" customFormat="1" ht="82.5" customHeight="1">
      <c r="A15" s="2">
        <v>13</v>
      </c>
      <c r="B15" s="8" t="s">
        <v>1195</v>
      </c>
      <c r="C15" s="39">
        <v>6</v>
      </c>
      <c r="D15" s="8" t="s">
        <v>37</v>
      </c>
      <c r="E15" s="8"/>
      <c r="F15" s="8"/>
      <c r="G15" s="8" t="s">
        <v>1190</v>
      </c>
      <c r="H15" s="8"/>
      <c r="I15" s="40">
        <v>1.8000000000000001E-4</v>
      </c>
      <c r="J15" s="40">
        <v>2.5000000000000001E-2</v>
      </c>
      <c r="K15" s="11" t="s">
        <v>1191</v>
      </c>
      <c r="L15" s="48"/>
      <c r="M15" s="8"/>
      <c r="N15" s="48">
        <f>I15*(C15^2)+J15</f>
        <v>3.1480000000000001E-2</v>
      </c>
      <c r="O15" s="8"/>
      <c r="P15" s="43">
        <v>39855</v>
      </c>
      <c r="Q15" s="8"/>
      <c r="R15" s="8" t="s">
        <v>1192</v>
      </c>
    </row>
    <row r="16" spans="1:19" s="7" customFormat="1" ht="30">
      <c r="A16" s="7">
        <v>14</v>
      </c>
      <c r="B16" s="49" t="s">
        <v>1196</v>
      </c>
      <c r="C16" s="8"/>
      <c r="D16" s="8" t="s">
        <v>37</v>
      </c>
      <c r="E16" s="8"/>
      <c r="F16" s="8" t="s">
        <v>37</v>
      </c>
      <c r="G16" s="53" t="s">
        <v>1197</v>
      </c>
      <c r="H16" s="54"/>
      <c r="I16" s="55">
        <v>1</v>
      </c>
      <c r="J16" s="56">
        <v>5.0000000000000001E-3</v>
      </c>
      <c r="K16" s="53" t="s">
        <v>1198</v>
      </c>
      <c r="L16" s="57"/>
      <c r="M16" s="57"/>
      <c r="N16" s="13">
        <f>I16/105154*C16^2*E16*SQRT(E16)+(J16*EXP(0.319*C16))</f>
        <v>5.0000000000000001E-3</v>
      </c>
      <c r="O16" s="58"/>
      <c r="P16" s="43">
        <v>39868</v>
      </c>
      <c r="Q16" s="8"/>
      <c r="R16" s="53" t="s">
        <v>1199</v>
      </c>
    </row>
    <row r="17" spans="1:19" s="7" customFormat="1">
      <c r="A17" s="2">
        <v>15</v>
      </c>
      <c r="B17" s="7" t="s">
        <v>1200</v>
      </c>
      <c r="C17" s="52"/>
      <c r="D17" s="8" t="s">
        <v>34</v>
      </c>
      <c r="E17" s="8"/>
      <c r="F17" s="8"/>
      <c r="G17" s="8"/>
      <c r="H17" s="8"/>
      <c r="I17" s="8"/>
      <c r="J17" s="8"/>
      <c r="K17" s="59"/>
      <c r="L17" s="52"/>
      <c r="M17" s="8"/>
      <c r="N17" s="8"/>
      <c r="O17" s="8"/>
      <c r="P17" s="43">
        <v>39880</v>
      </c>
      <c r="Q17" s="8"/>
      <c r="R17" s="8" t="s">
        <v>1201</v>
      </c>
      <c r="S17" s="7" t="s">
        <v>1187</v>
      </c>
    </row>
    <row r="18" spans="1:19" s="7" customFormat="1" ht="30">
      <c r="A18" s="7">
        <v>16</v>
      </c>
      <c r="B18" s="8" t="s">
        <v>1202</v>
      </c>
      <c r="C18" s="60">
        <v>0</v>
      </c>
      <c r="D18" s="8" t="s">
        <v>34</v>
      </c>
      <c r="E18" s="8"/>
      <c r="F18" s="8"/>
      <c r="G18" s="8" t="s">
        <v>1197</v>
      </c>
      <c r="H18" s="8"/>
      <c r="I18" s="11"/>
      <c r="J18" s="11"/>
      <c r="K18" s="52"/>
      <c r="L18" s="60"/>
      <c r="M18" s="8"/>
      <c r="N18" s="8"/>
      <c r="O18" s="8"/>
      <c r="P18" s="43">
        <v>39855</v>
      </c>
      <c r="Q18" s="8"/>
      <c r="R18" s="8" t="s">
        <v>1203</v>
      </c>
    </row>
    <row r="19" spans="1:19" s="7" customFormat="1" ht="30">
      <c r="A19" s="2">
        <v>17</v>
      </c>
      <c r="B19" s="8" t="s">
        <v>1204</v>
      </c>
      <c r="C19" s="8">
        <v>12.7</v>
      </c>
      <c r="D19" s="8" t="s">
        <v>37</v>
      </c>
      <c r="E19" s="8">
        <v>0</v>
      </c>
      <c r="F19" s="8" t="s">
        <v>37</v>
      </c>
      <c r="G19" s="53" t="s">
        <v>1197</v>
      </c>
      <c r="H19" s="54"/>
      <c r="I19" s="55">
        <v>1</v>
      </c>
      <c r="J19" s="56">
        <v>4.0000000000000001E-3</v>
      </c>
      <c r="K19" s="53" t="s">
        <v>1198</v>
      </c>
      <c r="L19" s="57"/>
      <c r="M19" s="57"/>
      <c r="N19" s="13">
        <f t="shared" ref="N19:N25" si="1">I19/105154*C19^2*E19*SQRT(E19)+(J19*EXP(0.319*C19))</f>
        <v>0.22988848904592127</v>
      </c>
      <c r="O19" s="58"/>
      <c r="P19" s="61"/>
      <c r="Q19" s="8"/>
      <c r="R19" s="8" t="s">
        <v>1205</v>
      </c>
    </row>
    <row r="20" spans="1:19" s="7" customFormat="1" ht="30">
      <c r="A20" s="7">
        <v>18</v>
      </c>
      <c r="B20" s="8" t="s">
        <v>1206</v>
      </c>
      <c r="C20" s="8">
        <v>12.7</v>
      </c>
      <c r="D20" s="8" t="s">
        <v>37</v>
      </c>
      <c r="E20" s="8">
        <v>0</v>
      </c>
      <c r="F20" s="8" t="s">
        <v>37</v>
      </c>
      <c r="G20" s="53" t="s">
        <v>1197</v>
      </c>
      <c r="H20" s="54"/>
      <c r="I20" s="55">
        <v>1.25</v>
      </c>
      <c r="J20" s="56">
        <v>5.0000000000000001E-3</v>
      </c>
      <c r="K20" s="53" t="s">
        <v>1198</v>
      </c>
      <c r="L20" s="57"/>
      <c r="M20" s="57"/>
      <c r="N20" s="13">
        <f t="shared" si="1"/>
        <v>0.28736061130740159</v>
      </c>
      <c r="O20" s="58"/>
      <c r="P20" s="61"/>
      <c r="Q20" s="8"/>
      <c r="R20" s="8" t="s">
        <v>1207</v>
      </c>
    </row>
    <row r="21" spans="1:19" s="7" customFormat="1" ht="30">
      <c r="A21" s="2">
        <v>19</v>
      </c>
      <c r="B21" s="8" t="s">
        <v>1208</v>
      </c>
      <c r="C21" s="8">
        <v>12.7</v>
      </c>
      <c r="D21" s="8" t="s">
        <v>37</v>
      </c>
      <c r="E21" s="8">
        <v>0</v>
      </c>
      <c r="F21" s="8" t="s">
        <v>37</v>
      </c>
      <c r="G21" s="53" t="s">
        <v>1197</v>
      </c>
      <c r="H21" s="54"/>
      <c r="I21" s="55">
        <v>0.6</v>
      </c>
      <c r="J21" s="56">
        <v>2.3999999999999998E-3</v>
      </c>
      <c r="K21" s="53" t="s">
        <v>1209</v>
      </c>
      <c r="L21" s="57"/>
      <c r="M21" s="57"/>
      <c r="N21" s="13">
        <f t="shared" si="1"/>
        <v>0.13793309342755275</v>
      </c>
      <c r="O21" s="58"/>
      <c r="P21" s="61"/>
      <c r="Q21" s="8"/>
      <c r="R21" s="8" t="s">
        <v>1210</v>
      </c>
    </row>
    <row r="22" spans="1:19" s="7" customFormat="1" ht="30">
      <c r="A22" s="7">
        <v>20</v>
      </c>
      <c r="B22" s="8" t="s">
        <v>1211</v>
      </c>
      <c r="C22" s="8">
        <v>12.7</v>
      </c>
      <c r="D22" s="8" t="s">
        <v>37</v>
      </c>
      <c r="E22" s="8">
        <v>0</v>
      </c>
      <c r="F22" s="8" t="s">
        <v>37</v>
      </c>
      <c r="G22" s="53" t="s">
        <v>1197</v>
      </c>
      <c r="H22" s="54"/>
      <c r="I22" s="55">
        <v>0.8</v>
      </c>
      <c r="J22" s="56">
        <v>3.0000000000000001E-3</v>
      </c>
      <c r="K22" s="53" t="s">
        <v>1198</v>
      </c>
      <c r="L22" s="57"/>
      <c r="M22" s="57"/>
      <c r="N22" s="13">
        <f t="shared" si="1"/>
        <v>0.17241636678444094</v>
      </c>
      <c r="O22" s="58"/>
      <c r="P22" s="61"/>
      <c r="Q22" s="8"/>
      <c r="R22" s="8" t="s">
        <v>1212</v>
      </c>
    </row>
    <row r="23" spans="1:19" s="7" customFormat="1" ht="30">
      <c r="A23" s="2">
        <v>21</v>
      </c>
      <c r="B23" s="8" t="s">
        <v>1213</v>
      </c>
      <c r="C23" s="8">
        <v>12.7</v>
      </c>
      <c r="D23" s="8" t="s">
        <v>37</v>
      </c>
      <c r="E23" s="8">
        <v>0</v>
      </c>
      <c r="F23" s="8" t="s">
        <v>37</v>
      </c>
      <c r="G23" s="53" t="s">
        <v>1197</v>
      </c>
      <c r="H23" s="8"/>
      <c r="I23" s="12">
        <v>2</v>
      </c>
      <c r="J23" s="12">
        <v>0.02</v>
      </c>
      <c r="K23" s="53" t="s">
        <v>1198</v>
      </c>
      <c r="L23" s="11"/>
      <c r="M23" s="8"/>
      <c r="N23" s="13">
        <f t="shared" si="1"/>
        <v>1.1494424452296064</v>
      </c>
      <c r="O23" s="58"/>
      <c r="P23" s="61"/>
      <c r="Q23" s="8"/>
      <c r="R23" s="8" t="s">
        <v>1212</v>
      </c>
    </row>
    <row r="24" spans="1:19" s="7" customFormat="1" ht="30">
      <c r="A24" s="7">
        <v>22</v>
      </c>
      <c r="B24" s="8" t="s">
        <v>1214</v>
      </c>
      <c r="C24" s="8">
        <v>12.7</v>
      </c>
      <c r="D24" s="8" t="s">
        <v>37</v>
      </c>
      <c r="E24" s="8">
        <v>0</v>
      </c>
      <c r="F24" s="8" t="s">
        <v>37</v>
      </c>
      <c r="G24" s="53" t="s">
        <v>1197</v>
      </c>
      <c r="H24" s="8"/>
      <c r="I24" s="12">
        <v>6.25</v>
      </c>
      <c r="J24" s="12">
        <v>0.1</v>
      </c>
      <c r="K24" s="53" t="s">
        <v>1198</v>
      </c>
      <c r="L24" s="11"/>
      <c r="M24" s="8"/>
      <c r="N24" s="13">
        <f t="shared" si="1"/>
        <v>5.7472122261480321</v>
      </c>
      <c r="O24" s="58"/>
      <c r="P24" s="61"/>
      <c r="Q24" s="8"/>
      <c r="R24" s="8" t="s">
        <v>1215</v>
      </c>
    </row>
    <row r="25" spans="1:19" s="7" customFormat="1" ht="30">
      <c r="A25" s="2">
        <v>23</v>
      </c>
      <c r="B25" s="8" t="s">
        <v>1216</v>
      </c>
      <c r="C25" s="8">
        <v>12.7</v>
      </c>
      <c r="D25" s="8" t="s">
        <v>37</v>
      </c>
      <c r="E25" s="8">
        <v>0</v>
      </c>
      <c r="F25" s="8" t="s">
        <v>37</v>
      </c>
      <c r="G25" s="53" t="s">
        <v>1197</v>
      </c>
      <c r="H25" s="8"/>
      <c r="I25" s="12">
        <v>2.5</v>
      </c>
      <c r="J25" s="12">
        <v>0.04</v>
      </c>
      <c r="K25" s="53" t="s">
        <v>1198</v>
      </c>
      <c r="L25" s="11"/>
      <c r="M25" s="8"/>
      <c r="N25" s="13">
        <f t="shared" si="1"/>
        <v>2.2988848904592127</v>
      </c>
      <c r="O25" s="58"/>
      <c r="P25" s="61"/>
      <c r="Q25" s="8"/>
      <c r="R25" s="8" t="s">
        <v>1217</v>
      </c>
    </row>
    <row r="26" spans="1:19" s="7" customFormat="1">
      <c r="A26" s="7">
        <v>24</v>
      </c>
      <c r="B26" s="62" t="s">
        <v>1218</v>
      </c>
      <c r="C26" s="52">
        <v>1.2</v>
      </c>
      <c r="D26" s="8" t="s">
        <v>34</v>
      </c>
      <c r="E26" s="8"/>
      <c r="F26" s="8"/>
      <c r="G26" s="8"/>
      <c r="H26" s="8"/>
      <c r="I26" s="8"/>
      <c r="J26" s="8"/>
      <c r="K26" s="59"/>
      <c r="L26" s="52"/>
      <c r="M26" s="8"/>
      <c r="N26" s="8"/>
      <c r="O26" s="8"/>
      <c r="P26" s="43">
        <v>39868</v>
      </c>
      <c r="Q26" s="8"/>
      <c r="R26" s="8" t="s">
        <v>1219</v>
      </c>
    </row>
    <row r="27" spans="1:19" s="7" customFormat="1" ht="15.95" customHeight="1">
      <c r="A27" s="2">
        <v>25</v>
      </c>
      <c r="B27" s="62" t="s">
        <v>1220</v>
      </c>
      <c r="C27" s="52">
        <v>1.3</v>
      </c>
      <c r="D27" s="8" t="s">
        <v>34</v>
      </c>
      <c r="E27" s="8"/>
      <c r="F27" s="8"/>
      <c r="G27" s="8"/>
      <c r="H27" s="8"/>
      <c r="I27" s="8"/>
      <c r="J27" s="8"/>
      <c r="K27" s="59"/>
      <c r="L27" s="52"/>
      <c r="M27" s="8"/>
      <c r="N27" s="8"/>
      <c r="O27" s="8"/>
      <c r="P27" s="43">
        <v>39868</v>
      </c>
      <c r="Q27" s="8"/>
      <c r="R27" s="8" t="s">
        <v>1219</v>
      </c>
    </row>
    <row r="28" spans="1:19" s="7" customFormat="1" ht="15.95" customHeight="1">
      <c r="A28" s="7">
        <v>26</v>
      </c>
      <c r="B28" s="19" t="s">
        <v>1221</v>
      </c>
      <c r="C28" s="52"/>
      <c r="D28" s="8" t="s">
        <v>37</v>
      </c>
      <c r="E28" s="8"/>
      <c r="F28" s="8"/>
      <c r="G28" s="8"/>
      <c r="H28" s="8"/>
      <c r="I28" s="8">
        <v>0.87</v>
      </c>
      <c r="J28" s="8">
        <v>0.05</v>
      </c>
      <c r="K28" s="53" t="s">
        <v>1222</v>
      </c>
      <c r="L28" s="52"/>
      <c r="M28" s="8"/>
      <c r="N28" s="13">
        <f>(I28*EXP(J28*C28))</f>
        <v>0.87</v>
      </c>
      <c r="O28" s="8"/>
      <c r="P28" s="43">
        <v>39936</v>
      </c>
      <c r="Q28" s="8"/>
      <c r="R28" s="8" t="s">
        <v>1223</v>
      </c>
    </row>
    <row r="29" spans="1:19" s="7" customFormat="1" ht="15.95" customHeight="1">
      <c r="A29" s="2">
        <v>27</v>
      </c>
      <c r="B29" s="49" t="s">
        <v>1224</v>
      </c>
      <c r="C29" s="63">
        <v>3.0000000000000001E-3</v>
      </c>
      <c r="D29" s="8" t="s">
        <v>379</v>
      </c>
      <c r="E29" s="8"/>
      <c r="G29" s="8"/>
      <c r="H29" s="8"/>
      <c r="I29" s="8"/>
      <c r="J29" s="8"/>
      <c r="K29" s="59"/>
      <c r="L29" s="52"/>
      <c r="M29" s="8"/>
      <c r="N29" s="8"/>
      <c r="O29" s="8"/>
      <c r="P29" s="43"/>
      <c r="Q29" s="8"/>
      <c r="R29" s="8" t="s">
        <v>1225</v>
      </c>
    </row>
    <row r="30" spans="1:19" s="7" customFormat="1" ht="15.95" customHeight="1">
      <c r="A30" s="7">
        <v>28</v>
      </c>
      <c r="B30" s="49" t="s">
        <v>1226</v>
      </c>
      <c r="C30" s="63">
        <v>2E-3</v>
      </c>
      <c r="D30" s="8" t="s">
        <v>379</v>
      </c>
      <c r="E30" s="8"/>
      <c r="G30" s="8"/>
      <c r="H30" s="8"/>
      <c r="I30" s="8"/>
      <c r="J30" s="8"/>
      <c r="K30" s="59"/>
      <c r="L30" s="52"/>
      <c r="M30" s="8"/>
      <c r="N30" s="8"/>
      <c r="O30" s="8"/>
      <c r="P30" s="43"/>
      <c r="Q30" s="8"/>
      <c r="R30" s="8" t="s">
        <v>1227</v>
      </c>
    </row>
    <row r="31" spans="1:19" s="7" customFormat="1" ht="15.95" customHeight="1">
      <c r="A31" s="2">
        <v>29</v>
      </c>
      <c r="B31" s="8" t="s">
        <v>1228</v>
      </c>
      <c r="C31" s="52">
        <v>0</v>
      </c>
      <c r="D31" s="8" t="s">
        <v>34</v>
      </c>
      <c r="E31" s="8"/>
      <c r="F31" s="8"/>
      <c r="G31" s="8" t="s">
        <v>1229</v>
      </c>
      <c r="H31" s="8"/>
      <c r="I31" s="11"/>
      <c r="J31" s="11"/>
      <c r="K31" s="52"/>
      <c r="L31" s="52"/>
      <c r="M31" s="8"/>
      <c r="N31" s="8"/>
      <c r="O31" s="8"/>
      <c r="P31" s="43">
        <v>39855</v>
      </c>
      <c r="Q31" s="8"/>
      <c r="R31" s="8" t="s">
        <v>1230</v>
      </c>
    </row>
    <row r="32" spans="1:19" s="7" customFormat="1" ht="15.95" customHeight="1">
      <c r="A32" s="7">
        <v>30</v>
      </c>
      <c r="B32" s="49" t="s">
        <v>1231</v>
      </c>
      <c r="C32" s="39"/>
      <c r="D32" s="8" t="s">
        <v>37</v>
      </c>
      <c r="E32" s="8"/>
      <c r="F32" s="8" t="s">
        <v>37</v>
      </c>
      <c r="G32" s="8" t="s">
        <v>1229</v>
      </c>
      <c r="H32" s="8"/>
      <c r="I32" s="56">
        <v>1.2E-2</v>
      </c>
      <c r="J32" s="56">
        <v>0.2</v>
      </c>
      <c r="K32" s="53" t="s">
        <v>1222</v>
      </c>
      <c r="L32" s="57"/>
      <c r="M32" s="57"/>
      <c r="N32" s="13">
        <f t="shared" ref="N32:N38" si="2">(I32*EXP(J32*C32))</f>
        <v>1.2E-2</v>
      </c>
      <c r="O32" s="51"/>
      <c r="P32" s="43">
        <v>39855</v>
      </c>
      <c r="R32" s="8" t="s">
        <v>1232</v>
      </c>
    </row>
    <row r="33" spans="1:21" s="7" customFormat="1" ht="15.95" customHeight="1">
      <c r="A33" s="2">
        <v>31</v>
      </c>
      <c r="B33" s="49" t="s">
        <v>1233</v>
      </c>
      <c r="C33" s="39"/>
      <c r="D33" s="8" t="s">
        <v>37</v>
      </c>
      <c r="E33" s="8"/>
      <c r="F33" s="8" t="s">
        <v>37</v>
      </c>
      <c r="G33" s="8" t="s">
        <v>1229</v>
      </c>
      <c r="H33" s="8"/>
      <c r="I33" s="56">
        <v>1.4999999999999999E-2</v>
      </c>
      <c r="J33" s="56">
        <v>0.2</v>
      </c>
      <c r="K33" s="53" t="s">
        <v>1222</v>
      </c>
      <c r="L33" s="57"/>
      <c r="M33" s="57"/>
      <c r="N33" s="13">
        <f t="shared" si="2"/>
        <v>1.4999999999999999E-2</v>
      </c>
      <c r="O33" s="51"/>
      <c r="P33" s="43">
        <v>39855</v>
      </c>
      <c r="R33" s="8" t="s">
        <v>1232</v>
      </c>
    </row>
    <row r="34" spans="1:21" s="7" customFormat="1" ht="15.95" customHeight="1">
      <c r="A34" s="7">
        <v>32</v>
      </c>
      <c r="B34" s="49" t="s">
        <v>1234</v>
      </c>
      <c r="C34" s="39"/>
      <c r="D34" s="8" t="s">
        <v>37</v>
      </c>
      <c r="E34" s="8"/>
      <c r="F34" s="8" t="s">
        <v>37</v>
      </c>
      <c r="G34" s="8" t="s">
        <v>1229</v>
      </c>
      <c r="H34" s="8"/>
      <c r="I34" s="56">
        <v>7.0000000000000001E-3</v>
      </c>
      <c r="J34" s="56">
        <v>0.2</v>
      </c>
      <c r="K34" s="53" t="s">
        <v>1222</v>
      </c>
      <c r="L34" s="57"/>
      <c r="M34" s="57"/>
      <c r="N34" s="13">
        <f t="shared" si="2"/>
        <v>7.0000000000000001E-3</v>
      </c>
      <c r="O34" s="51"/>
      <c r="P34" s="43">
        <v>39855</v>
      </c>
      <c r="R34" s="8" t="s">
        <v>30</v>
      </c>
    </row>
    <row r="35" spans="1:21" s="7" customFormat="1" ht="15.95" customHeight="1">
      <c r="A35" s="2">
        <v>33</v>
      </c>
      <c r="B35" s="49" t="s">
        <v>1235</v>
      </c>
      <c r="C35" s="39"/>
      <c r="D35" s="8" t="s">
        <v>37</v>
      </c>
      <c r="E35" s="8"/>
      <c r="F35" s="8" t="s">
        <v>37</v>
      </c>
      <c r="G35" s="8" t="s">
        <v>1229</v>
      </c>
      <c r="H35" s="8"/>
      <c r="I35" s="56">
        <v>8.9999999999999993E-3</v>
      </c>
      <c r="J35" s="56">
        <v>0.2</v>
      </c>
      <c r="K35" s="53" t="s">
        <v>1222</v>
      </c>
      <c r="L35" s="57"/>
      <c r="M35" s="57"/>
      <c r="N35" s="13">
        <f t="shared" si="2"/>
        <v>8.9999999999999993E-3</v>
      </c>
      <c r="O35" s="51"/>
      <c r="P35" s="43">
        <v>39855</v>
      </c>
      <c r="R35" s="8" t="s">
        <v>1232</v>
      </c>
    </row>
    <row r="36" spans="1:21" s="7" customFormat="1" ht="15.95" customHeight="1">
      <c r="A36" s="7">
        <v>34</v>
      </c>
      <c r="B36" s="49" t="s">
        <v>1236</v>
      </c>
      <c r="C36" s="39"/>
      <c r="D36" s="8" t="s">
        <v>37</v>
      </c>
      <c r="E36" s="8"/>
      <c r="F36" s="8" t="s">
        <v>37</v>
      </c>
      <c r="G36" s="8" t="s">
        <v>1229</v>
      </c>
      <c r="H36" s="8"/>
      <c r="I36" s="56">
        <v>0.06</v>
      </c>
      <c r="J36" s="56">
        <v>0.2</v>
      </c>
      <c r="K36" s="53" t="s">
        <v>1222</v>
      </c>
      <c r="L36" s="11"/>
      <c r="M36" s="8"/>
      <c r="N36" s="13">
        <f t="shared" si="2"/>
        <v>0.06</v>
      </c>
      <c r="O36" s="51"/>
      <c r="P36" s="43">
        <v>39855</v>
      </c>
      <c r="R36" s="8" t="s">
        <v>1232</v>
      </c>
    </row>
    <row r="37" spans="1:21" s="7" customFormat="1" ht="30">
      <c r="A37" s="2">
        <v>35</v>
      </c>
      <c r="B37" s="49" t="s">
        <v>1237</v>
      </c>
      <c r="C37" s="39"/>
      <c r="D37" s="8" t="s">
        <v>37</v>
      </c>
      <c r="E37" s="8"/>
      <c r="F37" s="8" t="s">
        <v>37</v>
      </c>
      <c r="G37" s="8" t="s">
        <v>1229</v>
      </c>
      <c r="H37" s="8"/>
      <c r="I37" s="56">
        <v>0.3</v>
      </c>
      <c r="J37" s="56">
        <v>0.2</v>
      </c>
      <c r="K37" s="53" t="s">
        <v>1222</v>
      </c>
      <c r="L37" s="11"/>
      <c r="M37" s="8"/>
      <c r="N37" s="13">
        <f t="shared" si="2"/>
        <v>0.3</v>
      </c>
      <c r="O37" s="51"/>
      <c r="P37" s="43">
        <v>39855</v>
      </c>
      <c r="R37" s="8" t="s">
        <v>1238</v>
      </c>
    </row>
    <row r="38" spans="1:21" s="7" customFormat="1" ht="30">
      <c r="A38" s="7">
        <v>36</v>
      </c>
      <c r="B38" s="49" t="s">
        <v>1239</v>
      </c>
      <c r="C38" s="39"/>
      <c r="D38" s="8" t="s">
        <v>37</v>
      </c>
      <c r="E38" s="8"/>
      <c r="F38" s="8" t="s">
        <v>37</v>
      </c>
      <c r="G38" s="8" t="s">
        <v>1229</v>
      </c>
      <c r="H38" s="8"/>
      <c r="I38" s="56">
        <v>0.12</v>
      </c>
      <c r="J38" s="56">
        <v>0.2</v>
      </c>
      <c r="K38" s="53" t="s">
        <v>1222</v>
      </c>
      <c r="L38" s="11"/>
      <c r="M38" s="8"/>
      <c r="N38" s="13">
        <f t="shared" si="2"/>
        <v>0.12</v>
      </c>
      <c r="O38" s="51"/>
      <c r="P38" s="43">
        <v>39855</v>
      </c>
      <c r="R38" s="8" t="s">
        <v>1232</v>
      </c>
    </row>
    <row r="39" spans="1:21" s="7" customFormat="1">
      <c r="A39" s="2">
        <v>37</v>
      </c>
      <c r="B39" s="49" t="s">
        <v>1240</v>
      </c>
      <c r="C39" s="52">
        <v>0.4</v>
      </c>
      <c r="D39" s="8" t="s">
        <v>34</v>
      </c>
      <c r="E39" s="8"/>
      <c r="F39" s="8"/>
      <c r="G39" s="8"/>
      <c r="H39" s="8"/>
      <c r="I39" s="11"/>
      <c r="J39" s="11"/>
      <c r="K39" s="52"/>
      <c r="L39" s="52"/>
      <c r="M39" s="8"/>
      <c r="N39" s="8"/>
      <c r="O39" s="8"/>
      <c r="P39" s="43">
        <v>39861</v>
      </c>
      <c r="Q39" s="8"/>
      <c r="R39" s="8" t="s">
        <v>1241</v>
      </c>
    </row>
    <row r="40" spans="1:21" s="7" customFormat="1" ht="30">
      <c r="A40" s="7">
        <v>38</v>
      </c>
      <c r="B40" s="19" t="s">
        <v>1242</v>
      </c>
      <c r="C40" s="52"/>
      <c r="D40" s="8" t="s">
        <v>34</v>
      </c>
      <c r="E40" s="8"/>
      <c r="F40" s="8" t="s">
        <v>37</v>
      </c>
      <c r="G40" s="8"/>
      <c r="H40" s="8"/>
      <c r="I40" s="64">
        <v>0.05</v>
      </c>
      <c r="J40" s="64">
        <v>0.25</v>
      </c>
      <c r="K40" s="53" t="s">
        <v>626</v>
      </c>
      <c r="L40" s="52"/>
      <c r="M40" s="8"/>
      <c r="N40" s="50">
        <f>(I40*EXP(J40*C40))</f>
        <v>0.05</v>
      </c>
      <c r="O40" s="8"/>
      <c r="P40" s="65">
        <v>39873</v>
      </c>
      <c r="Q40" s="8"/>
      <c r="R40" s="8" t="s">
        <v>1243</v>
      </c>
      <c r="S40" s="7" t="s">
        <v>1187</v>
      </c>
      <c r="U40" s="66"/>
    </row>
    <row r="41" spans="1:21" s="7" customFormat="1">
      <c r="A41" s="2">
        <v>39</v>
      </c>
      <c r="B41" s="49" t="s">
        <v>1244</v>
      </c>
      <c r="C41" s="52"/>
      <c r="D41" s="8" t="s">
        <v>34</v>
      </c>
      <c r="E41" s="8"/>
      <c r="F41" s="8" t="s">
        <v>37</v>
      </c>
      <c r="G41" s="8"/>
      <c r="H41" s="8"/>
      <c r="I41" s="64">
        <v>0.05</v>
      </c>
      <c r="J41" s="64">
        <v>0.25</v>
      </c>
      <c r="K41" s="53" t="s">
        <v>626</v>
      </c>
      <c r="L41" s="52"/>
      <c r="M41" s="8"/>
      <c r="N41" s="50">
        <f>(I41*EXP(J41*C41))</f>
        <v>0.05</v>
      </c>
      <c r="O41" s="8"/>
      <c r="P41" s="43">
        <v>39868</v>
      </c>
      <c r="Q41" s="8"/>
      <c r="R41" s="8"/>
      <c r="S41" s="7" t="s">
        <v>1187</v>
      </c>
      <c r="U41" s="66"/>
    </row>
    <row r="42" spans="1:21" s="7" customFormat="1">
      <c r="A42" s="7">
        <v>40</v>
      </c>
      <c r="B42" s="17" t="s">
        <v>1245</v>
      </c>
      <c r="C42" s="59">
        <v>0.05</v>
      </c>
      <c r="D42" s="8"/>
      <c r="E42" s="8"/>
      <c r="F42" s="8"/>
      <c r="G42" s="8"/>
      <c r="H42" s="8"/>
      <c r="I42" s="8"/>
      <c r="J42" s="8"/>
      <c r="K42" s="59"/>
      <c r="L42" s="59"/>
      <c r="M42" s="8"/>
      <c r="N42" s="8"/>
      <c r="O42" s="8"/>
      <c r="P42" s="43">
        <v>39880</v>
      </c>
      <c r="R42" s="8" t="s">
        <v>1246</v>
      </c>
      <c r="S42" s="7" t="s">
        <v>1187</v>
      </c>
    </row>
    <row r="43" spans="1:21" s="7" customFormat="1">
      <c r="A43" s="2">
        <v>41</v>
      </c>
      <c r="B43" s="17" t="s">
        <v>1247</v>
      </c>
      <c r="C43" s="59">
        <v>0.08</v>
      </c>
      <c r="D43" s="8"/>
      <c r="E43" s="8"/>
      <c r="F43" s="8"/>
      <c r="G43" s="8"/>
      <c r="H43" s="8"/>
      <c r="I43" s="8"/>
      <c r="J43" s="8"/>
      <c r="K43" s="59"/>
      <c r="L43" s="59"/>
      <c r="M43" s="8"/>
      <c r="N43" s="15"/>
      <c r="O43" s="8"/>
      <c r="P43" s="43">
        <v>39880</v>
      </c>
      <c r="R43" s="8" t="s">
        <v>1248</v>
      </c>
      <c r="S43" s="7" t="s">
        <v>1187</v>
      </c>
    </row>
    <row r="44" spans="1:21" s="7" customFormat="1">
      <c r="A44" s="7">
        <v>42</v>
      </c>
      <c r="B44" s="17" t="s">
        <v>1249</v>
      </c>
      <c r="C44" s="52">
        <v>0.1</v>
      </c>
      <c r="D44" s="8" t="s">
        <v>34</v>
      </c>
      <c r="E44" s="8"/>
      <c r="F44" s="8"/>
      <c r="G44" s="8"/>
      <c r="H44" s="8"/>
      <c r="I44" s="8"/>
      <c r="J44" s="8"/>
      <c r="K44" s="59"/>
      <c r="L44" s="59"/>
      <c r="M44" s="8"/>
      <c r="N44" s="8"/>
      <c r="O44" s="8"/>
      <c r="P44" s="43"/>
      <c r="R44" s="8" t="s">
        <v>1241</v>
      </c>
      <c r="S44" s="7" t="s">
        <v>1187</v>
      </c>
    </row>
    <row r="45" spans="1:21" s="7" customFormat="1">
      <c r="A45" s="2">
        <v>43</v>
      </c>
      <c r="B45" s="17" t="s">
        <v>1250</v>
      </c>
      <c r="C45" s="67"/>
      <c r="D45" s="8" t="s">
        <v>34</v>
      </c>
      <c r="E45" s="8"/>
      <c r="F45" s="8" t="s">
        <v>37</v>
      </c>
      <c r="G45" s="8"/>
      <c r="H45" s="8"/>
      <c r="I45" s="8">
        <v>8.9999999999999993E-3</v>
      </c>
      <c r="J45" s="8">
        <v>0.4</v>
      </c>
      <c r="K45" s="41" t="s">
        <v>378</v>
      </c>
      <c r="L45" s="59"/>
      <c r="M45" s="8"/>
      <c r="N45" s="15">
        <f>C45*I45+J45</f>
        <v>0.4</v>
      </c>
      <c r="O45" s="8"/>
      <c r="P45" s="43">
        <v>39898</v>
      </c>
      <c r="R45" s="8" t="s">
        <v>1251</v>
      </c>
    </row>
    <row r="46" spans="1:21" s="7" customFormat="1">
      <c r="A46" s="7">
        <v>44</v>
      </c>
      <c r="B46" s="17" t="s">
        <v>1252</v>
      </c>
      <c r="C46" s="67"/>
      <c r="D46" s="8" t="s">
        <v>34</v>
      </c>
      <c r="E46" s="8"/>
      <c r="F46" s="8" t="s">
        <v>37</v>
      </c>
      <c r="G46" s="8"/>
      <c r="H46" s="8"/>
      <c r="I46" s="8">
        <v>1E-3</v>
      </c>
      <c r="J46" s="8">
        <v>1</v>
      </c>
      <c r="K46" s="41" t="s">
        <v>42</v>
      </c>
      <c r="L46" s="59"/>
      <c r="M46" s="8"/>
      <c r="N46" s="15">
        <f>C46*E46*I46+J46</f>
        <v>1</v>
      </c>
      <c r="O46" s="8"/>
      <c r="P46" s="43">
        <v>39898</v>
      </c>
      <c r="R46" s="8" t="s">
        <v>1253</v>
      </c>
    </row>
    <row r="47" spans="1:21" s="7" customFormat="1" ht="30">
      <c r="A47" s="2">
        <v>45</v>
      </c>
      <c r="B47" s="19" t="s">
        <v>1254</v>
      </c>
      <c r="C47" s="51"/>
      <c r="D47" s="8" t="s">
        <v>37</v>
      </c>
      <c r="E47" s="8"/>
      <c r="F47" s="8" t="s">
        <v>37</v>
      </c>
      <c r="G47" s="8"/>
      <c r="H47" s="8"/>
      <c r="I47" s="64">
        <v>1E-3</v>
      </c>
      <c r="J47" s="64">
        <v>14</v>
      </c>
      <c r="K47" s="53" t="s">
        <v>48</v>
      </c>
      <c r="L47" s="52"/>
      <c r="M47" s="8"/>
      <c r="N47" s="50">
        <f>I47*C47^2*E47+J47</f>
        <v>14</v>
      </c>
      <c r="O47" s="8"/>
      <c r="P47" s="43">
        <v>39880</v>
      </c>
      <c r="Q47" s="8"/>
      <c r="R47" s="8" t="s">
        <v>1255</v>
      </c>
      <c r="U47" s="66"/>
    </row>
    <row r="48" spans="1:21" s="7" customFormat="1">
      <c r="A48" s="7">
        <v>46</v>
      </c>
      <c r="B48" s="49" t="s">
        <v>1256</v>
      </c>
      <c r="C48" s="52">
        <v>0.03</v>
      </c>
      <c r="D48" s="8" t="s">
        <v>34</v>
      </c>
      <c r="E48" s="8"/>
      <c r="F48" s="8"/>
      <c r="G48" s="7" t="s">
        <v>1257</v>
      </c>
      <c r="H48" s="8"/>
      <c r="I48" s="11"/>
      <c r="J48" s="11"/>
      <c r="K48" s="11"/>
      <c r="L48" s="11"/>
      <c r="M48" s="8"/>
      <c r="N48" s="8"/>
      <c r="O48" s="8"/>
      <c r="P48" s="43">
        <v>39855</v>
      </c>
      <c r="R48" s="8" t="s">
        <v>1258</v>
      </c>
      <c r="S48" s="7" t="s">
        <v>1187</v>
      </c>
      <c r="U48" s="66"/>
    </row>
    <row r="49" spans="1:21" s="7" customFormat="1">
      <c r="A49" s="2">
        <v>47</v>
      </c>
      <c r="B49" s="49" t="s">
        <v>1259</v>
      </c>
      <c r="C49" s="52">
        <v>0</v>
      </c>
      <c r="D49" s="8" t="s">
        <v>34</v>
      </c>
      <c r="E49" s="8"/>
      <c r="F49" s="8"/>
      <c r="G49" s="8"/>
      <c r="H49" s="8"/>
      <c r="I49" s="11"/>
      <c r="J49" s="11"/>
      <c r="K49" s="52"/>
      <c r="L49" s="52"/>
      <c r="M49" s="8"/>
      <c r="N49" s="8"/>
      <c r="O49" s="8"/>
      <c r="P49" s="43">
        <v>39861</v>
      </c>
      <c r="Q49" s="8"/>
      <c r="R49" s="8" t="s">
        <v>1260</v>
      </c>
      <c r="S49" s="7" t="s">
        <v>1187</v>
      </c>
      <c r="U49" s="66"/>
    </row>
    <row r="50" spans="1:21" s="7" customFormat="1" ht="30">
      <c r="A50" s="7">
        <v>48</v>
      </c>
      <c r="B50" s="8" t="s">
        <v>1261</v>
      </c>
      <c r="C50" s="8"/>
      <c r="D50" s="8" t="s">
        <v>37</v>
      </c>
      <c r="E50" s="8"/>
      <c r="F50" s="8" t="s">
        <v>37</v>
      </c>
      <c r="G50" s="53" t="s">
        <v>1262</v>
      </c>
      <c r="H50" s="54"/>
      <c r="I50" s="55">
        <v>1</v>
      </c>
      <c r="J50" s="56">
        <v>4.0000000000000001E-3</v>
      </c>
      <c r="K50" s="53" t="s">
        <v>1198</v>
      </c>
      <c r="L50" s="57"/>
      <c r="M50" s="57"/>
      <c r="N50" s="13">
        <f>I50/105154*C50^2*E50*SQRT(E50)+(J50*EXP(0.319*C50))</f>
        <v>4.0000000000000001E-3</v>
      </c>
      <c r="O50" s="57"/>
      <c r="P50" s="43"/>
      <c r="Q50" s="8"/>
      <c r="R50" s="8" t="s">
        <v>1205</v>
      </c>
      <c r="S50" s="7" t="s">
        <v>1187</v>
      </c>
      <c r="U50" s="66"/>
    </row>
    <row r="51" spans="1:21" s="7" customFormat="1" ht="30">
      <c r="A51" s="2">
        <v>49</v>
      </c>
      <c r="B51" s="8" t="s">
        <v>1263</v>
      </c>
      <c r="C51" s="8"/>
      <c r="D51" s="8" t="s">
        <v>37</v>
      </c>
      <c r="E51" s="8"/>
      <c r="F51" s="8" t="s">
        <v>37</v>
      </c>
      <c r="G51" s="53" t="s">
        <v>1262</v>
      </c>
      <c r="H51" s="54"/>
      <c r="I51" s="55">
        <v>1.25</v>
      </c>
      <c r="J51" s="56">
        <v>5.0000000000000001E-3</v>
      </c>
      <c r="K51" s="53" t="s">
        <v>1198</v>
      </c>
      <c r="L51" s="57"/>
      <c r="M51" s="57"/>
      <c r="N51" s="13">
        <f>I51/105154*C51^2*E51*SQRT(E51)+(J51*EXP(0.319*C51))</f>
        <v>5.0000000000000001E-3</v>
      </c>
      <c r="O51" s="57"/>
      <c r="P51" s="43"/>
      <c r="Q51" s="8"/>
      <c r="R51" s="8" t="s">
        <v>1207</v>
      </c>
      <c r="S51" s="7" t="s">
        <v>1187</v>
      </c>
      <c r="U51" s="66"/>
    </row>
    <row r="52" spans="1:21" s="7" customFormat="1" ht="30">
      <c r="A52" s="7">
        <v>50</v>
      </c>
      <c r="B52" s="8" t="s">
        <v>1264</v>
      </c>
      <c r="C52" s="8"/>
      <c r="D52" s="8" t="s">
        <v>37</v>
      </c>
      <c r="E52" s="8"/>
      <c r="F52" s="8" t="s">
        <v>37</v>
      </c>
      <c r="G52" s="53" t="s">
        <v>1262</v>
      </c>
      <c r="H52" s="54"/>
      <c r="I52" s="55">
        <v>0.8</v>
      </c>
      <c r="J52" s="56">
        <v>3.0000000000000001E-3</v>
      </c>
      <c r="K52" s="53" t="s">
        <v>1198</v>
      </c>
      <c r="L52" s="57"/>
      <c r="M52" s="57"/>
      <c r="N52" s="13">
        <f>I52/105154*C52^2*E52*SQRT(E52)+(J52*EXP(0.319*C52))</f>
        <v>3.0000000000000001E-3</v>
      </c>
      <c r="O52" s="57"/>
      <c r="P52" s="43"/>
      <c r="Q52" s="8"/>
      <c r="R52" s="8" t="s">
        <v>1212</v>
      </c>
      <c r="S52" s="7" t="s">
        <v>1187</v>
      </c>
      <c r="U52" s="66"/>
    </row>
    <row r="53" spans="1:21" s="7" customFormat="1" ht="30">
      <c r="A53" s="2">
        <v>51</v>
      </c>
      <c r="B53" s="49" t="s">
        <v>1265</v>
      </c>
      <c r="C53" s="52">
        <v>0.04</v>
      </c>
      <c r="D53" s="8" t="s">
        <v>34</v>
      </c>
      <c r="E53" s="8"/>
      <c r="F53" s="8"/>
      <c r="G53" s="8"/>
      <c r="H53" s="8"/>
      <c r="I53" s="11"/>
      <c r="J53" s="11"/>
      <c r="K53" s="52"/>
      <c r="L53" s="52"/>
      <c r="M53" s="8"/>
      <c r="N53" s="8"/>
      <c r="O53" s="8"/>
      <c r="P53" s="43">
        <v>39861</v>
      </c>
      <c r="Q53" s="8"/>
      <c r="R53" s="8" t="s">
        <v>1266</v>
      </c>
      <c r="S53" s="7" t="s">
        <v>1187</v>
      </c>
    </row>
    <row r="54" spans="1:21" s="7" customFormat="1">
      <c r="A54" s="7">
        <v>52</v>
      </c>
      <c r="B54" s="19" t="s">
        <v>1267</v>
      </c>
      <c r="C54" s="52"/>
      <c r="D54" s="8" t="s">
        <v>37</v>
      </c>
      <c r="E54" s="8"/>
      <c r="F54" s="8"/>
      <c r="G54" s="8"/>
      <c r="H54" s="8"/>
      <c r="I54" s="55">
        <v>0.1</v>
      </c>
      <c r="J54" s="11"/>
      <c r="K54" s="52" t="s">
        <v>1182</v>
      </c>
      <c r="L54" s="52"/>
      <c r="M54" s="8"/>
      <c r="N54" s="8"/>
      <c r="O54" s="8"/>
      <c r="P54" s="43">
        <v>39922</v>
      </c>
      <c r="Q54" s="8"/>
      <c r="R54" s="8" t="s">
        <v>1268</v>
      </c>
    </row>
    <row r="55" spans="1:21" s="7" customFormat="1">
      <c r="A55" s="2">
        <v>53</v>
      </c>
      <c r="B55" s="16" t="s">
        <v>1269</v>
      </c>
      <c r="C55" s="59"/>
      <c r="D55" s="8" t="s">
        <v>37</v>
      </c>
      <c r="E55" s="8"/>
      <c r="F55" s="8"/>
      <c r="G55" s="8"/>
      <c r="H55" s="8"/>
      <c r="I55" s="8"/>
      <c r="J55" s="8"/>
      <c r="K55" s="41"/>
      <c r="L55" s="59"/>
      <c r="M55" s="8"/>
      <c r="N55" s="13"/>
      <c r="O55" s="8"/>
      <c r="P55" s="43">
        <v>39880</v>
      </c>
      <c r="R55" s="8" t="s">
        <v>1201</v>
      </c>
      <c r="S55" s="7" t="s">
        <v>1187</v>
      </c>
    </row>
    <row r="56" spans="1:21" s="7" customFormat="1" ht="30">
      <c r="A56" s="7">
        <v>54</v>
      </c>
      <c r="B56" s="49" t="s">
        <v>1270</v>
      </c>
      <c r="C56" s="52">
        <v>0.02</v>
      </c>
      <c r="D56" s="8" t="s">
        <v>34</v>
      </c>
      <c r="E56" s="8"/>
      <c r="F56" s="8"/>
      <c r="G56" s="53" t="s">
        <v>1271</v>
      </c>
      <c r="H56" s="54"/>
      <c r="I56" s="64"/>
      <c r="J56" s="64"/>
      <c r="K56" s="68"/>
      <c r="L56" s="60"/>
      <c r="M56" s="8"/>
      <c r="N56" s="50"/>
      <c r="O56" s="51"/>
      <c r="P56" s="43">
        <v>39855</v>
      </c>
      <c r="Q56" s="8"/>
      <c r="R56" s="8" t="s">
        <v>1272</v>
      </c>
      <c r="S56" s="7" t="s">
        <v>1187</v>
      </c>
      <c r="U56" s="66"/>
    </row>
    <row r="57" spans="1:21" s="7" customFormat="1" ht="30">
      <c r="A57" s="2">
        <v>55</v>
      </c>
      <c r="B57" s="49" t="s">
        <v>1273</v>
      </c>
      <c r="C57" s="52">
        <v>0.02</v>
      </c>
      <c r="D57" s="8" t="s">
        <v>34</v>
      </c>
      <c r="E57" s="8"/>
      <c r="F57" s="8"/>
      <c r="G57" s="53" t="s">
        <v>1271</v>
      </c>
      <c r="H57" s="54"/>
      <c r="I57" s="64"/>
      <c r="J57" s="64"/>
      <c r="K57" s="68"/>
      <c r="L57" s="60"/>
      <c r="M57" s="8"/>
      <c r="N57" s="50"/>
      <c r="O57" s="51"/>
      <c r="P57" s="43">
        <v>39855</v>
      </c>
      <c r="Q57" s="8"/>
      <c r="R57" s="8" t="s">
        <v>1272</v>
      </c>
      <c r="S57" s="7" t="s">
        <v>1187</v>
      </c>
      <c r="U57" s="66"/>
    </row>
    <row r="58" spans="1:21" s="7" customFormat="1" ht="30">
      <c r="A58" s="7">
        <v>56</v>
      </c>
      <c r="B58" s="49" t="s">
        <v>1274</v>
      </c>
      <c r="C58" s="52">
        <v>0.01</v>
      </c>
      <c r="D58" s="8" t="s">
        <v>34</v>
      </c>
      <c r="E58" s="8"/>
      <c r="F58" s="8"/>
      <c r="G58" s="53" t="s">
        <v>1271</v>
      </c>
      <c r="H58" s="54"/>
      <c r="I58" s="64"/>
      <c r="J58" s="64"/>
      <c r="K58" s="68"/>
      <c r="L58" s="11"/>
      <c r="M58" s="8"/>
      <c r="N58" s="50"/>
      <c r="O58" s="51"/>
      <c r="P58" s="43">
        <v>39855</v>
      </c>
      <c r="Q58" s="8"/>
      <c r="R58" s="8" t="s">
        <v>1272</v>
      </c>
      <c r="S58" s="7" t="s">
        <v>1187</v>
      </c>
    </row>
    <row r="59" spans="1:21" s="7" customFormat="1" ht="30">
      <c r="A59" s="2">
        <v>57</v>
      </c>
      <c r="B59" s="49" t="s">
        <v>1275</v>
      </c>
      <c r="C59" s="52">
        <v>0.01</v>
      </c>
      <c r="D59" s="8" t="s">
        <v>34</v>
      </c>
      <c r="E59" s="8"/>
      <c r="F59" s="8"/>
      <c r="G59" s="53" t="s">
        <v>1271</v>
      </c>
      <c r="H59" s="54"/>
      <c r="I59" s="64"/>
      <c r="J59" s="64"/>
      <c r="K59" s="68"/>
      <c r="L59" s="11"/>
      <c r="M59" s="8"/>
      <c r="N59" s="50"/>
      <c r="O59" s="51"/>
      <c r="P59" s="43">
        <v>39855</v>
      </c>
      <c r="Q59" s="8"/>
      <c r="R59" s="8" t="s">
        <v>1272</v>
      </c>
      <c r="S59" s="7" t="s">
        <v>1187</v>
      </c>
    </row>
    <row r="60" spans="1:21" s="7" customFormat="1" ht="30">
      <c r="A60" s="7">
        <v>58</v>
      </c>
      <c r="B60" s="49" t="s">
        <v>1276</v>
      </c>
      <c r="C60" s="8"/>
      <c r="D60" s="8" t="s">
        <v>37</v>
      </c>
      <c r="E60" s="8"/>
      <c r="F60" s="8" t="s">
        <v>37</v>
      </c>
      <c r="G60" s="53" t="s">
        <v>1271</v>
      </c>
      <c r="H60" s="8"/>
      <c r="I60" s="64">
        <v>5.0000000000000001E-3</v>
      </c>
      <c r="J60" s="64">
        <v>0.18</v>
      </c>
      <c r="K60" s="53" t="s">
        <v>1222</v>
      </c>
      <c r="L60" s="60"/>
      <c r="M60" s="8"/>
      <c r="N60" s="50">
        <f>(I60*EXP(J60*C60))</f>
        <v>5.0000000000000001E-3</v>
      </c>
      <c r="O60" s="51"/>
      <c r="P60" s="43">
        <v>39855</v>
      </c>
      <c r="Q60" s="8"/>
      <c r="R60" s="8" t="s">
        <v>1272</v>
      </c>
      <c r="S60" s="7" t="s">
        <v>1187</v>
      </c>
    </row>
    <row r="61" spans="1:21" s="7" customFormat="1">
      <c r="A61" s="2">
        <v>59</v>
      </c>
      <c r="B61" s="49" t="s">
        <v>1277</v>
      </c>
      <c r="C61" s="8"/>
      <c r="D61" s="8" t="s">
        <v>37</v>
      </c>
      <c r="E61" s="8"/>
      <c r="F61" s="8" t="s">
        <v>37</v>
      </c>
      <c r="G61" s="53" t="s">
        <v>1271</v>
      </c>
      <c r="H61" s="8"/>
      <c r="I61" s="64">
        <v>5.0000000000000001E-3</v>
      </c>
      <c r="J61" s="64">
        <v>0.36</v>
      </c>
      <c r="K61" s="53" t="s">
        <v>1222</v>
      </c>
      <c r="L61" s="52"/>
      <c r="M61" s="8"/>
      <c r="N61" s="50">
        <f>(I61*EXP(J61*C61))</f>
        <v>5.0000000000000001E-3</v>
      </c>
      <c r="O61" s="51"/>
      <c r="P61" s="43">
        <v>39855</v>
      </c>
      <c r="Q61" s="8"/>
      <c r="R61" s="8"/>
      <c r="S61" s="7" t="s">
        <v>1187</v>
      </c>
    </row>
    <row r="62" spans="1:21" s="7" customFormat="1" ht="30">
      <c r="A62" s="7">
        <v>60</v>
      </c>
      <c r="B62" s="49" t="s">
        <v>1278</v>
      </c>
      <c r="C62" s="8"/>
      <c r="D62" s="8" t="s">
        <v>37</v>
      </c>
      <c r="E62" s="8"/>
      <c r="F62" s="8" t="s">
        <v>37</v>
      </c>
      <c r="G62" s="53" t="s">
        <v>1271</v>
      </c>
      <c r="H62" s="8"/>
      <c r="I62" s="64">
        <v>5.0000000000000001E-3</v>
      </c>
      <c r="J62" s="64">
        <v>0.36</v>
      </c>
      <c r="K62" s="53" t="s">
        <v>1222</v>
      </c>
      <c r="L62" s="60"/>
      <c r="M62" s="8"/>
      <c r="N62" s="50">
        <f>(I62*EXP(J62*C62))</f>
        <v>5.0000000000000001E-3</v>
      </c>
      <c r="O62" s="51"/>
      <c r="P62" s="43">
        <v>39855</v>
      </c>
      <c r="Q62" s="8"/>
      <c r="R62" s="8" t="s">
        <v>1272</v>
      </c>
    </row>
    <row r="63" spans="1:21" s="7" customFormat="1">
      <c r="B63" s="16"/>
      <c r="C63" s="59"/>
      <c r="D63" s="8"/>
      <c r="E63" s="8"/>
      <c r="F63" s="8"/>
      <c r="G63" s="8"/>
      <c r="H63" s="8"/>
      <c r="I63" s="8"/>
      <c r="J63" s="8"/>
      <c r="K63" s="59"/>
      <c r="L63" s="59"/>
      <c r="M63" s="8"/>
      <c r="N63" s="8"/>
      <c r="O63" s="8"/>
      <c r="P63" s="43"/>
      <c r="R63" s="8"/>
      <c r="S63" s="7" t="s">
        <v>1187</v>
      </c>
    </row>
    <row r="64" spans="1:21" s="7" customFormat="1">
      <c r="B64" s="16"/>
      <c r="C64" s="59"/>
      <c r="D64" s="8"/>
      <c r="E64" s="8"/>
      <c r="F64" s="8"/>
      <c r="G64" s="8"/>
      <c r="H64" s="8"/>
      <c r="I64" s="8"/>
      <c r="J64" s="8"/>
      <c r="K64" s="69"/>
      <c r="L64" s="59"/>
      <c r="M64" s="8"/>
      <c r="N64" s="8"/>
      <c r="O64" s="8"/>
      <c r="P64" s="43"/>
      <c r="R64" s="8"/>
      <c r="S64" s="7" t="s">
        <v>1187</v>
      </c>
    </row>
    <row r="65" spans="2:19" s="7" customFormat="1">
      <c r="B65" s="16"/>
      <c r="C65" s="59"/>
      <c r="D65" s="8"/>
      <c r="E65" s="8"/>
      <c r="F65" s="8"/>
      <c r="G65" s="8"/>
      <c r="H65" s="8"/>
      <c r="I65" s="11"/>
      <c r="J65" s="11"/>
      <c r="K65" s="11"/>
      <c r="L65" s="59"/>
      <c r="M65" s="8"/>
      <c r="N65" s="8"/>
      <c r="O65" s="8"/>
      <c r="P65" s="43"/>
      <c r="R65" s="8"/>
      <c r="S65" s="7" t="s">
        <v>1187</v>
      </c>
    </row>
    <row r="66" spans="2:19" s="7" customFormat="1">
      <c r="B66" s="16"/>
      <c r="C66" s="59"/>
      <c r="D66" s="8"/>
      <c r="E66" s="8"/>
      <c r="F66" s="8"/>
      <c r="G66" s="8"/>
      <c r="H66" s="8"/>
      <c r="I66" s="11"/>
      <c r="J66" s="11"/>
      <c r="K66" s="11"/>
      <c r="L66" s="59"/>
      <c r="M66" s="8"/>
      <c r="N66" s="8"/>
      <c r="O66" s="8"/>
      <c r="P66" s="43"/>
      <c r="R66" s="8"/>
      <c r="S66" s="7" t="s">
        <v>1187</v>
      </c>
    </row>
    <row r="67" spans="2:19" s="7" customFormat="1">
      <c r="B67" s="16"/>
      <c r="C67" s="59"/>
      <c r="D67" s="8"/>
      <c r="E67" s="8"/>
      <c r="F67" s="8"/>
      <c r="G67" s="8"/>
      <c r="H67" s="8"/>
      <c r="I67" s="11"/>
      <c r="J67" s="11"/>
      <c r="K67" s="11"/>
      <c r="L67" s="59"/>
      <c r="M67" s="8"/>
      <c r="N67" s="8"/>
      <c r="O67" s="8"/>
      <c r="P67" s="43"/>
      <c r="R67" s="8"/>
      <c r="S67" s="7" t="s">
        <v>1187</v>
      </c>
    </row>
    <row r="68" spans="2:19" s="7" customFormat="1">
      <c r="B68" s="16"/>
      <c r="C68" s="59"/>
      <c r="D68" s="8"/>
      <c r="E68" s="8"/>
      <c r="F68" s="8"/>
      <c r="G68" s="8"/>
      <c r="H68" s="8"/>
      <c r="I68" s="11"/>
      <c r="J68" s="11"/>
      <c r="K68" s="11"/>
      <c r="L68" s="59"/>
      <c r="M68" s="8"/>
      <c r="N68" s="8"/>
      <c r="O68" s="8"/>
      <c r="P68" s="43"/>
      <c r="R68" s="8"/>
      <c r="S68" s="7" t="s">
        <v>1187</v>
      </c>
    </row>
    <row r="69" spans="2:19" s="7" customFormat="1">
      <c r="B69" s="8"/>
      <c r="C69" s="69"/>
      <c r="D69" s="8"/>
      <c r="E69" s="8"/>
      <c r="F69" s="8"/>
      <c r="G69" s="8"/>
      <c r="H69" s="8"/>
      <c r="I69" s="11"/>
      <c r="J69" s="11"/>
      <c r="K69" s="11"/>
      <c r="L69" s="69"/>
      <c r="M69" s="8"/>
      <c r="N69" s="8"/>
      <c r="O69" s="8"/>
      <c r="P69" s="43"/>
      <c r="R69" s="99"/>
    </row>
    <row r="70" spans="2:19" s="7" customFormat="1">
      <c r="B70" s="8"/>
      <c r="C70" s="52"/>
      <c r="D70" s="8"/>
      <c r="E70" s="8"/>
      <c r="F70" s="8"/>
      <c r="G70" s="8"/>
      <c r="H70" s="8"/>
      <c r="I70" s="11"/>
      <c r="J70" s="11"/>
      <c r="K70" s="11"/>
      <c r="L70" s="11"/>
      <c r="M70" s="8"/>
      <c r="N70" s="8"/>
      <c r="O70" s="8"/>
      <c r="P70" s="43"/>
      <c r="Q70" s="8"/>
      <c r="R70" s="8"/>
    </row>
    <row r="71" spans="2:19" s="7" customFormat="1">
      <c r="B71" s="8"/>
      <c r="C71" s="52"/>
      <c r="D71" s="8"/>
      <c r="E71" s="8"/>
      <c r="F71" s="8"/>
      <c r="G71" s="8"/>
      <c r="H71" s="8"/>
      <c r="I71" s="11"/>
      <c r="J71" s="11"/>
      <c r="K71" s="11"/>
      <c r="L71" s="11"/>
      <c r="M71" s="8"/>
      <c r="N71" s="8"/>
      <c r="O71" s="8"/>
      <c r="P71" s="43"/>
      <c r="Q71" s="8"/>
      <c r="R71" s="8"/>
    </row>
    <row r="72" spans="2:19" s="7" customFormat="1">
      <c r="B72" s="8"/>
      <c r="C72" s="52"/>
      <c r="D72" s="8"/>
      <c r="E72" s="8"/>
      <c r="F72" s="8"/>
      <c r="G72" s="8"/>
      <c r="H72" s="8"/>
      <c r="I72" s="11"/>
      <c r="J72" s="11"/>
      <c r="K72" s="11"/>
      <c r="L72" s="11"/>
      <c r="M72" s="8"/>
      <c r="N72" s="8"/>
      <c r="O72" s="8"/>
      <c r="P72" s="43"/>
      <c r="Q72" s="8"/>
      <c r="R72" s="8"/>
    </row>
    <row r="73" spans="2:19" s="7" customFormat="1">
      <c r="B73" s="8"/>
      <c r="C73" s="52"/>
      <c r="D73" s="8"/>
      <c r="E73" s="8"/>
      <c r="F73" s="8"/>
      <c r="G73" s="8"/>
      <c r="H73" s="8"/>
      <c r="I73" s="11"/>
      <c r="J73" s="11"/>
      <c r="K73" s="11"/>
      <c r="L73" s="11"/>
      <c r="M73" s="8"/>
      <c r="N73" s="8"/>
      <c r="O73" s="8"/>
      <c r="P73" s="43"/>
      <c r="Q73" s="8"/>
      <c r="R73" s="8"/>
    </row>
    <row r="74" spans="2:19" s="7" customFormat="1">
      <c r="B74" s="8"/>
      <c r="C74" s="52"/>
      <c r="D74" s="8"/>
      <c r="E74" s="8"/>
      <c r="F74" s="8"/>
      <c r="G74" s="8"/>
      <c r="H74" s="8"/>
      <c r="I74" s="11"/>
      <c r="J74" s="11"/>
      <c r="K74" s="11"/>
      <c r="L74" s="11"/>
      <c r="M74" s="8"/>
      <c r="N74" s="8"/>
      <c r="O74" s="8"/>
      <c r="P74" s="43"/>
      <c r="Q74" s="8"/>
      <c r="R74" s="8"/>
    </row>
    <row r="75" spans="2:19" s="7" customFormat="1">
      <c r="B75" s="8"/>
      <c r="C75" s="52"/>
      <c r="D75" s="8"/>
      <c r="E75" s="8"/>
      <c r="F75" s="8"/>
      <c r="G75" s="8"/>
      <c r="H75" s="8"/>
      <c r="I75" s="11"/>
      <c r="J75" s="11"/>
      <c r="K75" s="11"/>
      <c r="L75" s="11"/>
      <c r="M75" s="8"/>
      <c r="N75" s="8"/>
      <c r="O75" s="8"/>
      <c r="P75" s="43"/>
      <c r="Q75" s="8"/>
      <c r="R75" s="8"/>
    </row>
    <row r="76" spans="2:19" s="7" customFormat="1">
      <c r="B76" s="8"/>
      <c r="C76" s="52"/>
      <c r="D76" s="8"/>
      <c r="E76" s="8"/>
      <c r="F76" s="8"/>
      <c r="G76" s="8"/>
      <c r="H76" s="8"/>
      <c r="I76" s="11"/>
      <c r="J76" s="11"/>
      <c r="K76" s="11"/>
      <c r="L76" s="11"/>
      <c r="M76" s="8"/>
      <c r="N76" s="8"/>
      <c r="O76" s="8"/>
      <c r="P76" s="43"/>
      <c r="Q76" s="8"/>
      <c r="R76" s="8"/>
    </row>
    <row r="77" spans="2:19" s="7" customFormat="1">
      <c r="B77" s="8"/>
      <c r="C77" s="52"/>
      <c r="D77" s="8"/>
      <c r="E77" s="8"/>
      <c r="F77" s="8"/>
      <c r="G77" s="8"/>
      <c r="H77" s="8"/>
      <c r="I77" s="11"/>
      <c r="J77" s="11"/>
      <c r="K77" s="11"/>
      <c r="L77" s="11"/>
      <c r="M77" s="8"/>
      <c r="N77" s="8"/>
      <c r="O77" s="8"/>
      <c r="P77" s="43"/>
      <c r="Q77" s="8"/>
      <c r="R77" s="8"/>
    </row>
    <row r="78" spans="2:19" s="7" customFormat="1">
      <c r="B78" s="8"/>
      <c r="C78" s="52"/>
      <c r="D78" s="8"/>
      <c r="E78" s="8"/>
      <c r="F78" s="8"/>
      <c r="G78" s="8"/>
      <c r="H78" s="8"/>
      <c r="I78" s="11"/>
      <c r="J78" s="11"/>
      <c r="K78" s="11"/>
      <c r="L78" s="11"/>
      <c r="M78" s="8"/>
      <c r="N78" s="8"/>
      <c r="O78" s="8"/>
      <c r="P78" s="43"/>
      <c r="Q78" s="8"/>
      <c r="R78" s="8"/>
    </row>
    <row r="79" spans="2:19" s="7" customFormat="1">
      <c r="B79" s="8"/>
      <c r="C79" s="52"/>
      <c r="D79" s="8"/>
      <c r="E79" s="8"/>
      <c r="F79" s="8"/>
      <c r="G79" s="8"/>
      <c r="H79" s="8"/>
      <c r="I79" s="11"/>
      <c r="J79" s="11"/>
      <c r="K79" s="11"/>
      <c r="L79" s="11"/>
      <c r="M79" s="8"/>
      <c r="N79" s="8"/>
      <c r="O79" s="8"/>
      <c r="P79" s="43"/>
      <c r="Q79" s="8"/>
      <c r="R79" s="8"/>
    </row>
    <row r="80" spans="2:19" s="7" customFormat="1">
      <c r="B80" s="8"/>
      <c r="C80" s="52"/>
      <c r="D80" s="8"/>
      <c r="E80" s="8"/>
      <c r="F80" s="8"/>
      <c r="G80" s="8"/>
      <c r="H80" s="8"/>
      <c r="I80" s="11"/>
      <c r="J80" s="11"/>
      <c r="K80" s="11"/>
      <c r="L80" s="11"/>
      <c r="M80" s="8"/>
      <c r="N80" s="8"/>
      <c r="O80" s="8"/>
      <c r="P80" s="43"/>
      <c r="Q80" s="8"/>
      <c r="R80" s="99"/>
    </row>
    <row r="81" spans="2:18" s="7" customFormat="1">
      <c r="B81" s="8"/>
      <c r="C81" s="52"/>
      <c r="D81" s="8"/>
      <c r="E81" s="8"/>
      <c r="F81" s="8"/>
      <c r="G81" s="8"/>
      <c r="H81" s="8"/>
      <c r="I81" s="11"/>
      <c r="J81" s="11"/>
      <c r="K81" s="11"/>
      <c r="L81" s="11"/>
      <c r="M81" s="8"/>
      <c r="N81" s="8"/>
      <c r="O81" s="8"/>
      <c r="P81" s="43"/>
      <c r="Q81" s="8"/>
      <c r="R81" s="99"/>
    </row>
    <row r="82" spans="2:18" s="7" customFormat="1">
      <c r="B82" s="8"/>
      <c r="C82" s="52"/>
      <c r="D82" s="8"/>
      <c r="E82" s="8"/>
      <c r="F82" s="8"/>
      <c r="G82" s="8"/>
      <c r="H82" s="8"/>
      <c r="I82" s="11"/>
      <c r="J82" s="11"/>
      <c r="K82" s="11"/>
      <c r="L82" s="11"/>
      <c r="M82" s="8"/>
      <c r="N82" s="8"/>
      <c r="O82" s="8"/>
      <c r="P82" s="43"/>
      <c r="Q82" s="8"/>
      <c r="R82" s="99"/>
    </row>
    <row r="83" spans="2:18" s="7" customFormat="1">
      <c r="B83" s="8"/>
      <c r="C83" s="52"/>
      <c r="D83" s="8"/>
      <c r="E83" s="8"/>
      <c r="F83" s="8"/>
      <c r="G83" s="8"/>
      <c r="H83" s="8"/>
      <c r="I83" s="11"/>
      <c r="J83" s="11"/>
      <c r="K83" s="11"/>
      <c r="L83" s="11"/>
      <c r="M83" s="8" t="s">
        <v>1279</v>
      </c>
      <c r="N83" s="8"/>
      <c r="O83" s="8"/>
      <c r="P83" s="43"/>
      <c r="Q83" s="8"/>
      <c r="R83" s="99"/>
    </row>
    <row r="84" spans="2:18" s="7" customFormat="1">
      <c r="B84" s="8"/>
      <c r="C84" s="52"/>
      <c r="D84" s="8"/>
      <c r="E84" s="8"/>
      <c r="F84" s="8"/>
      <c r="G84" s="8"/>
      <c r="H84" s="8"/>
      <c r="I84" s="11"/>
      <c r="J84" s="11"/>
      <c r="K84" s="11"/>
      <c r="L84" s="11"/>
      <c r="M84" s="8" t="s">
        <v>1279</v>
      </c>
      <c r="N84" s="8"/>
      <c r="O84" s="8"/>
      <c r="P84" s="43"/>
      <c r="Q84" s="8"/>
      <c r="R84" s="99"/>
    </row>
    <row r="85" spans="2:18" s="7" customFormat="1">
      <c r="B85" s="8"/>
      <c r="C85" s="52"/>
      <c r="D85" s="8"/>
      <c r="E85" s="8"/>
      <c r="F85" s="8"/>
      <c r="G85" s="8"/>
      <c r="H85" s="8"/>
      <c r="I85" s="11"/>
      <c r="J85" s="11"/>
      <c r="K85" s="11"/>
      <c r="L85" s="11"/>
      <c r="M85" s="8" t="s">
        <v>1279</v>
      </c>
      <c r="N85" s="8"/>
      <c r="O85" s="8"/>
      <c r="P85" s="43"/>
      <c r="Q85" s="8"/>
      <c r="R85" s="99"/>
    </row>
    <row r="86" spans="2:18" s="7" customFormat="1">
      <c r="B86" s="8"/>
      <c r="C86" s="52"/>
      <c r="D86" s="8"/>
      <c r="E86" s="8"/>
      <c r="F86" s="8"/>
      <c r="G86" s="8"/>
      <c r="H86" s="8"/>
      <c r="I86" s="11"/>
      <c r="J86" s="11"/>
      <c r="K86" s="11"/>
      <c r="L86" s="11"/>
      <c r="M86" s="8" t="s">
        <v>1279</v>
      </c>
      <c r="N86" s="8"/>
      <c r="O86" s="8"/>
      <c r="P86" s="43"/>
      <c r="Q86" s="8"/>
      <c r="R86" s="99"/>
    </row>
    <row r="87" spans="2:18" s="7" customFormat="1">
      <c r="B87" s="8"/>
      <c r="C87" s="52"/>
      <c r="D87" s="8"/>
      <c r="E87" s="8"/>
      <c r="F87" s="8"/>
      <c r="G87" s="8"/>
      <c r="H87" s="8"/>
      <c r="I87" s="11"/>
      <c r="J87" s="11"/>
      <c r="K87" s="11"/>
      <c r="L87" s="11"/>
      <c r="M87" s="8" t="s">
        <v>1279</v>
      </c>
      <c r="N87" s="8"/>
      <c r="O87" s="8"/>
      <c r="P87" s="43"/>
      <c r="Q87" s="8"/>
      <c r="R87" s="99"/>
    </row>
    <row r="88" spans="2:18" s="7" customFormat="1">
      <c r="B88" s="8"/>
      <c r="C88" s="52"/>
      <c r="D88" s="8"/>
      <c r="E88" s="8"/>
      <c r="F88" s="8"/>
      <c r="G88" s="8"/>
      <c r="H88" s="8"/>
      <c r="I88" s="11"/>
      <c r="J88" s="11"/>
      <c r="K88" s="11"/>
      <c r="L88" s="11"/>
      <c r="M88" s="8" t="s">
        <v>1279</v>
      </c>
      <c r="N88" s="8"/>
      <c r="O88" s="8"/>
      <c r="P88" s="43"/>
      <c r="Q88" s="8"/>
      <c r="R88" s="99"/>
    </row>
    <row r="89" spans="2:18" s="7" customFormat="1">
      <c r="B89" s="8"/>
      <c r="C89" s="52"/>
      <c r="D89" s="8"/>
      <c r="E89" s="8"/>
      <c r="F89" s="8"/>
      <c r="G89" s="8"/>
      <c r="H89" s="8"/>
      <c r="I89" s="11"/>
      <c r="J89" s="11"/>
      <c r="K89" s="11"/>
      <c r="L89" s="11"/>
      <c r="M89" s="8" t="s">
        <v>1279</v>
      </c>
      <c r="N89" s="8"/>
      <c r="O89" s="8"/>
      <c r="P89" s="43"/>
      <c r="Q89" s="8"/>
      <c r="R89" s="99"/>
    </row>
    <row r="90" spans="2:18" s="7" customFormat="1">
      <c r="B90" s="8"/>
      <c r="C90" s="52"/>
      <c r="D90" s="8"/>
      <c r="E90" s="8"/>
      <c r="F90" s="8"/>
      <c r="G90" s="8"/>
      <c r="H90" s="8"/>
      <c r="I90" s="11"/>
      <c r="J90" s="11"/>
      <c r="K90" s="11"/>
      <c r="L90" s="11"/>
      <c r="M90" s="8" t="s">
        <v>1279</v>
      </c>
      <c r="N90" s="8"/>
      <c r="O90" s="8"/>
      <c r="P90" s="43"/>
      <c r="Q90" s="8"/>
      <c r="R90" s="99"/>
    </row>
    <row r="91" spans="2:18" s="7" customFormat="1">
      <c r="B91" s="8"/>
      <c r="C91" s="52"/>
      <c r="D91" s="8"/>
      <c r="E91" s="8"/>
      <c r="F91" s="8"/>
      <c r="G91" s="8"/>
      <c r="H91" s="8"/>
      <c r="I91" s="11"/>
      <c r="J91" s="11"/>
      <c r="K91" s="11"/>
      <c r="L91" s="11"/>
      <c r="M91" s="8"/>
      <c r="N91" s="8"/>
      <c r="O91" s="8"/>
      <c r="P91" s="43"/>
      <c r="Q91" s="8"/>
      <c r="R91" s="99"/>
    </row>
    <row r="92" spans="2:18">
      <c r="B92" s="70"/>
      <c r="C92" s="71"/>
      <c r="D92" s="70"/>
      <c r="E92" s="70"/>
      <c r="F92" s="70"/>
      <c r="G92" s="70"/>
      <c r="H92" s="70"/>
      <c r="I92" s="72"/>
      <c r="J92" s="72"/>
      <c r="K92" s="72"/>
      <c r="L92" s="72"/>
      <c r="M92" s="70"/>
      <c r="N92" s="70"/>
      <c r="O92" s="70"/>
      <c r="P92" s="73"/>
      <c r="Q92" s="70"/>
    </row>
    <row r="93" spans="2:18">
      <c r="B93" s="74"/>
      <c r="C93" s="75"/>
      <c r="D93" s="74"/>
      <c r="E93" s="74"/>
      <c r="F93" s="74"/>
      <c r="G93" s="74"/>
      <c r="H93" s="74"/>
      <c r="I93" s="76"/>
      <c r="J93" s="76"/>
      <c r="K93" s="76"/>
      <c r="L93" s="76"/>
      <c r="M93" s="74"/>
      <c r="N93" s="74"/>
      <c r="O93" s="74"/>
      <c r="P93" s="77"/>
      <c r="Q93" s="74"/>
    </row>
    <row r="94" spans="2:18">
      <c r="B94" s="74"/>
      <c r="C94" s="75"/>
      <c r="D94" s="74"/>
      <c r="E94" s="74"/>
      <c r="F94" s="74"/>
      <c r="G94" s="74"/>
      <c r="H94" s="74"/>
      <c r="I94" s="76"/>
      <c r="J94" s="76"/>
      <c r="K94" s="76"/>
      <c r="L94" s="76"/>
      <c r="M94" s="74"/>
      <c r="N94" s="74"/>
      <c r="O94" s="74"/>
      <c r="P94" s="77"/>
      <c r="Q94" s="74"/>
    </row>
    <row r="95" spans="2:18">
      <c r="B95" s="74"/>
      <c r="C95" s="75"/>
      <c r="D95" s="74"/>
      <c r="E95" s="74"/>
      <c r="F95" s="74"/>
      <c r="G95" s="74"/>
      <c r="H95" s="74"/>
      <c r="I95" s="76"/>
      <c r="J95" s="76"/>
      <c r="K95" s="76"/>
      <c r="L95" s="76"/>
      <c r="M95" s="74"/>
      <c r="N95" s="74"/>
      <c r="O95" s="74"/>
      <c r="P95" s="77"/>
      <c r="Q95" s="74"/>
    </row>
    <row r="96" spans="2:18">
      <c r="B96" s="74"/>
      <c r="C96" s="75"/>
      <c r="D96" s="74"/>
      <c r="E96" s="74"/>
      <c r="F96" s="74"/>
      <c r="G96" s="74"/>
      <c r="H96" s="74"/>
      <c r="I96" s="76"/>
      <c r="J96" s="76"/>
      <c r="K96" s="76"/>
      <c r="L96" s="76"/>
      <c r="M96" s="74"/>
      <c r="N96" s="74"/>
      <c r="O96" s="74"/>
      <c r="P96" s="77"/>
      <c r="Q96" s="74"/>
    </row>
    <row r="97" spans="2:16">
      <c r="B97" s="74"/>
      <c r="C97" s="75"/>
      <c r="D97" s="74"/>
      <c r="E97" s="74"/>
      <c r="F97" s="74"/>
      <c r="G97" s="74"/>
      <c r="H97" s="74"/>
      <c r="I97" s="76"/>
      <c r="J97" s="76"/>
      <c r="K97" s="76"/>
      <c r="L97" s="76"/>
      <c r="M97" s="74"/>
      <c r="N97" s="74"/>
      <c r="O97" s="74"/>
      <c r="P97" s="77"/>
    </row>
    <row r="98" spans="2:16">
      <c r="B98" s="74"/>
      <c r="C98" s="75"/>
      <c r="D98" s="74"/>
      <c r="E98" s="74"/>
      <c r="F98" s="74"/>
      <c r="G98" s="74"/>
      <c r="H98" s="74"/>
      <c r="I98" s="76"/>
      <c r="J98" s="76"/>
      <c r="K98" s="76"/>
      <c r="L98" s="76"/>
      <c r="M98" s="74"/>
      <c r="N98" s="74"/>
      <c r="O98" s="74"/>
      <c r="P98" s="77"/>
    </row>
    <row r="99" spans="2:16">
      <c r="B99" s="74"/>
      <c r="C99" s="75"/>
      <c r="D99" s="74"/>
      <c r="E99" s="74"/>
      <c r="F99" s="74"/>
      <c r="G99" s="74"/>
      <c r="H99" s="74"/>
      <c r="I99" s="76"/>
      <c r="J99" s="76"/>
      <c r="K99" s="76"/>
      <c r="L99" s="76"/>
      <c r="M99" s="74"/>
      <c r="N99" s="74"/>
      <c r="O99" s="74"/>
      <c r="P99" s="77"/>
    </row>
    <row r="100" spans="2:16">
      <c r="B100" s="74"/>
      <c r="C100" s="75"/>
      <c r="D100" s="74"/>
      <c r="E100" s="74"/>
      <c r="F100" s="74"/>
      <c r="G100" s="74"/>
      <c r="H100" s="74"/>
      <c r="I100" s="76"/>
      <c r="J100" s="76"/>
      <c r="K100" s="76"/>
      <c r="L100" s="76"/>
      <c r="M100" s="74"/>
      <c r="N100" s="74"/>
      <c r="O100" s="74"/>
      <c r="P100" s="77"/>
    </row>
    <row r="101" spans="2:16">
      <c r="B101" s="74"/>
      <c r="C101" s="75"/>
      <c r="D101" s="74"/>
      <c r="E101" s="74"/>
      <c r="F101" s="74"/>
      <c r="G101" s="74"/>
      <c r="H101" s="74"/>
      <c r="I101" s="76"/>
      <c r="J101" s="76"/>
      <c r="K101" s="76"/>
      <c r="L101" s="76"/>
      <c r="M101" s="74"/>
      <c r="N101" s="74"/>
      <c r="O101" s="74"/>
      <c r="P101" s="77"/>
    </row>
    <row r="102" spans="2:16">
      <c r="B102" s="74"/>
      <c r="C102" s="75"/>
      <c r="D102" s="74"/>
      <c r="E102" s="74"/>
      <c r="F102" s="74"/>
      <c r="G102" s="74"/>
      <c r="H102" s="74"/>
      <c r="I102" s="76"/>
      <c r="J102" s="76"/>
      <c r="K102" s="76"/>
      <c r="L102" s="76"/>
      <c r="M102" s="74"/>
      <c r="N102" s="74"/>
      <c r="O102" s="74"/>
      <c r="P102" s="77"/>
    </row>
    <row r="103" spans="2:16">
      <c r="B103" s="74"/>
      <c r="C103" s="75"/>
      <c r="D103" s="74"/>
      <c r="E103" s="74"/>
      <c r="F103" s="74"/>
      <c r="G103" s="74"/>
      <c r="H103" s="74"/>
      <c r="I103" s="76"/>
      <c r="J103" s="76"/>
      <c r="K103" s="76"/>
      <c r="L103" s="76"/>
      <c r="M103" s="74"/>
      <c r="N103" s="74"/>
      <c r="O103" s="74"/>
      <c r="P103" s="77"/>
    </row>
    <row r="104" spans="2:16">
      <c r="B104" s="74"/>
      <c r="C104" s="75"/>
      <c r="D104" s="74"/>
      <c r="E104" s="74"/>
      <c r="F104" s="74"/>
      <c r="G104" s="74"/>
      <c r="H104" s="74"/>
      <c r="I104" s="76"/>
      <c r="J104" s="76"/>
      <c r="K104" s="76"/>
      <c r="L104" s="76"/>
      <c r="M104" s="74"/>
      <c r="N104" s="74"/>
      <c r="O104" s="74"/>
      <c r="P104" s="77"/>
    </row>
    <row r="105" spans="2:16">
      <c r="B105" s="74"/>
      <c r="C105" s="75"/>
      <c r="D105" s="74"/>
      <c r="E105" s="74"/>
      <c r="F105" s="74"/>
      <c r="G105" s="74"/>
      <c r="H105" s="74"/>
      <c r="I105" s="76"/>
      <c r="J105" s="76"/>
      <c r="K105" s="76"/>
      <c r="L105" s="76"/>
      <c r="M105" s="74"/>
      <c r="N105" s="74"/>
      <c r="O105" s="74"/>
      <c r="P105" s="77"/>
    </row>
    <row r="106" spans="2:16">
      <c r="B106" s="74"/>
      <c r="C106" s="75"/>
      <c r="D106" s="74"/>
      <c r="E106" s="74"/>
      <c r="F106" s="74"/>
      <c r="G106" s="74"/>
      <c r="H106" s="74"/>
      <c r="I106" s="76"/>
      <c r="J106" s="76"/>
      <c r="K106" s="76"/>
      <c r="L106" s="76"/>
      <c r="M106" s="74"/>
      <c r="N106" s="74"/>
      <c r="O106" s="74"/>
      <c r="P106" s="77"/>
    </row>
    <row r="107" spans="2:16">
      <c r="B107" s="74"/>
      <c r="C107" s="75"/>
      <c r="D107" s="74"/>
      <c r="E107" s="74"/>
      <c r="F107" s="74"/>
      <c r="G107" s="74"/>
      <c r="H107" s="74"/>
      <c r="I107" s="76"/>
      <c r="J107" s="76"/>
      <c r="K107" s="76"/>
      <c r="L107" s="76"/>
      <c r="M107" s="74"/>
      <c r="N107" s="74"/>
      <c r="O107" s="74"/>
      <c r="P107" s="77"/>
    </row>
    <row r="108" spans="2:16">
      <c r="B108" s="74"/>
      <c r="C108" s="75"/>
      <c r="D108" s="74"/>
      <c r="E108" s="74"/>
      <c r="F108" s="74"/>
      <c r="G108" s="74"/>
      <c r="H108" s="74"/>
      <c r="I108" s="76"/>
      <c r="J108" s="76"/>
      <c r="K108" s="76"/>
      <c r="L108" s="76"/>
      <c r="M108" s="74"/>
      <c r="N108" s="74"/>
      <c r="O108" s="74"/>
      <c r="P108" s="77"/>
    </row>
    <row r="109" spans="2:16">
      <c r="B109" s="74"/>
      <c r="C109" s="75"/>
      <c r="D109" s="74"/>
      <c r="E109" s="74"/>
      <c r="F109" s="74"/>
      <c r="G109" s="74"/>
      <c r="H109" s="74"/>
      <c r="I109" s="76"/>
      <c r="J109" s="76"/>
      <c r="K109" s="76"/>
      <c r="L109" s="76"/>
      <c r="M109" s="74"/>
      <c r="N109" s="74"/>
      <c r="O109" s="74"/>
      <c r="P109" s="77"/>
    </row>
    <row r="110" spans="2:16">
      <c r="B110" s="74"/>
      <c r="C110" s="75"/>
      <c r="D110" s="74"/>
      <c r="E110" s="74"/>
      <c r="F110" s="74"/>
      <c r="G110" s="74"/>
      <c r="H110" s="74"/>
      <c r="I110" s="76"/>
      <c r="J110" s="76"/>
      <c r="K110" s="76"/>
      <c r="L110" s="76"/>
      <c r="M110" s="74"/>
      <c r="N110" s="74"/>
      <c r="O110" s="74"/>
      <c r="P110" s="77"/>
    </row>
    <row r="111" spans="2:16">
      <c r="B111" s="74"/>
      <c r="C111" s="75"/>
      <c r="D111" s="74"/>
      <c r="E111" s="74"/>
      <c r="F111" s="74"/>
      <c r="G111" s="74"/>
      <c r="H111" s="74"/>
      <c r="I111" s="76"/>
      <c r="J111" s="76"/>
      <c r="K111" s="76"/>
      <c r="L111" s="76"/>
      <c r="M111" s="74"/>
      <c r="N111" s="74"/>
      <c r="O111" s="74"/>
      <c r="P111" s="77"/>
    </row>
    <row r="112" spans="2:16">
      <c r="B112" s="74"/>
      <c r="C112" s="75"/>
      <c r="D112" s="74"/>
      <c r="E112" s="74"/>
      <c r="F112" s="74"/>
      <c r="G112" s="74"/>
      <c r="H112" s="74"/>
      <c r="I112" s="76"/>
      <c r="J112" s="76"/>
      <c r="K112" s="76"/>
      <c r="L112" s="76"/>
      <c r="M112" s="74"/>
      <c r="N112" s="74"/>
      <c r="O112" s="74"/>
      <c r="P112" s="77"/>
    </row>
    <row r="113" spans="2:16">
      <c r="B113" s="74"/>
      <c r="C113" s="75"/>
      <c r="D113" s="74"/>
      <c r="E113" s="74"/>
      <c r="F113" s="74"/>
      <c r="G113" s="74"/>
      <c r="H113" s="74"/>
      <c r="I113" s="76"/>
      <c r="J113" s="76"/>
      <c r="K113" s="76"/>
      <c r="L113" s="76"/>
      <c r="M113" s="74"/>
      <c r="N113" s="74"/>
      <c r="O113" s="74"/>
      <c r="P113" s="77"/>
    </row>
    <row r="114" spans="2:16">
      <c r="B114" s="74"/>
      <c r="C114" s="75"/>
      <c r="D114" s="74"/>
      <c r="E114" s="74"/>
      <c r="F114" s="74"/>
      <c r="G114" s="74"/>
      <c r="H114" s="74"/>
      <c r="I114" s="76"/>
      <c r="J114" s="76"/>
      <c r="K114" s="76"/>
      <c r="L114" s="76"/>
      <c r="M114" s="74"/>
      <c r="N114" s="74"/>
      <c r="O114" s="74"/>
      <c r="P114" s="77"/>
    </row>
    <row r="115" spans="2:16">
      <c r="B115" s="74"/>
      <c r="C115" s="75"/>
      <c r="D115" s="74"/>
      <c r="E115" s="74"/>
      <c r="F115" s="74"/>
      <c r="G115" s="74"/>
      <c r="H115" s="74"/>
      <c r="I115" s="76"/>
      <c r="J115" s="76"/>
      <c r="K115" s="76"/>
      <c r="L115" s="76"/>
      <c r="M115" s="74"/>
      <c r="N115" s="74"/>
      <c r="O115" s="74"/>
      <c r="P115" s="77"/>
    </row>
    <row r="116" spans="2:16">
      <c r="B116" s="74"/>
      <c r="C116" s="75"/>
      <c r="D116" s="74"/>
      <c r="E116" s="74"/>
      <c r="F116" s="74"/>
      <c r="G116" s="74"/>
      <c r="H116" s="74"/>
      <c r="I116" s="76"/>
      <c r="J116" s="76"/>
      <c r="K116" s="76"/>
      <c r="L116" s="76"/>
      <c r="M116" s="74"/>
      <c r="N116" s="74"/>
      <c r="O116" s="74"/>
      <c r="P116" s="77"/>
    </row>
    <row r="117" spans="2:16">
      <c r="B117" s="74"/>
      <c r="C117" s="75"/>
      <c r="D117" s="74"/>
      <c r="E117" s="74"/>
      <c r="F117" s="74"/>
      <c r="G117" s="74"/>
      <c r="H117" s="74"/>
      <c r="I117" s="76"/>
      <c r="J117" s="76"/>
      <c r="K117" s="76"/>
      <c r="L117" s="76"/>
      <c r="M117" s="74"/>
      <c r="N117" s="74"/>
      <c r="O117" s="74"/>
      <c r="P117" s="77"/>
    </row>
    <row r="118" spans="2:16">
      <c r="B118" s="74"/>
      <c r="C118" s="75"/>
      <c r="D118" s="74"/>
      <c r="E118" s="74"/>
      <c r="F118" s="74"/>
      <c r="G118" s="74"/>
      <c r="H118" s="74"/>
      <c r="I118" s="76"/>
      <c r="J118" s="76"/>
      <c r="K118" s="76"/>
      <c r="L118" s="76"/>
      <c r="M118" s="74"/>
      <c r="N118" s="74"/>
      <c r="O118" s="74"/>
      <c r="P118" s="77"/>
    </row>
    <row r="119" spans="2:16">
      <c r="B119" s="74"/>
      <c r="C119" s="75"/>
      <c r="D119" s="74"/>
      <c r="E119" s="74"/>
      <c r="F119" s="74"/>
      <c r="G119" s="74"/>
      <c r="H119" s="74"/>
      <c r="I119" s="76"/>
      <c r="J119" s="76"/>
      <c r="K119" s="76"/>
      <c r="L119" s="76"/>
      <c r="M119" s="74"/>
      <c r="N119" s="74"/>
      <c r="O119" s="74"/>
      <c r="P119" s="77"/>
    </row>
    <row r="120" spans="2:16">
      <c r="B120" s="74"/>
      <c r="C120" s="75"/>
      <c r="D120" s="74"/>
      <c r="E120" s="74"/>
      <c r="F120" s="74"/>
      <c r="G120" s="74"/>
      <c r="H120" s="74"/>
      <c r="I120" s="76"/>
      <c r="J120" s="76"/>
      <c r="K120" s="76"/>
      <c r="L120" s="76"/>
      <c r="M120" s="74"/>
      <c r="N120" s="74"/>
      <c r="O120" s="74"/>
      <c r="P120" s="77"/>
    </row>
    <row r="121" spans="2:16">
      <c r="B121" s="74"/>
      <c r="C121" s="75"/>
      <c r="D121" s="74"/>
      <c r="E121" s="74"/>
      <c r="F121" s="74"/>
      <c r="G121" s="74"/>
      <c r="H121" s="74"/>
      <c r="I121" s="76"/>
      <c r="J121" s="76"/>
      <c r="K121" s="76"/>
      <c r="L121" s="76"/>
      <c r="M121" s="74"/>
      <c r="N121" s="74"/>
      <c r="O121" s="74"/>
      <c r="P121" s="77"/>
    </row>
    <row r="122" spans="2:16">
      <c r="B122" s="74"/>
      <c r="C122" s="75"/>
      <c r="D122" s="74"/>
      <c r="E122" s="74"/>
      <c r="F122" s="74"/>
      <c r="G122" s="74"/>
      <c r="H122" s="74"/>
      <c r="I122" s="76"/>
      <c r="J122" s="76"/>
      <c r="K122" s="76"/>
      <c r="L122" s="76"/>
      <c r="M122" s="74"/>
      <c r="N122" s="74"/>
      <c r="O122" s="74"/>
      <c r="P122" s="77"/>
    </row>
    <row r="123" spans="2:16">
      <c r="B123" s="74"/>
      <c r="C123" s="75"/>
      <c r="D123" s="74"/>
      <c r="E123" s="74"/>
      <c r="F123" s="74"/>
      <c r="G123" s="74"/>
      <c r="H123" s="74"/>
      <c r="I123" s="76"/>
      <c r="J123" s="76"/>
      <c r="K123" s="76"/>
      <c r="L123" s="76"/>
      <c r="M123" s="74"/>
      <c r="N123" s="74"/>
      <c r="O123" s="74"/>
      <c r="P123" s="77"/>
    </row>
    <row r="124" spans="2:16">
      <c r="B124" s="74"/>
      <c r="C124" s="75"/>
      <c r="D124" s="74"/>
      <c r="E124" s="74"/>
      <c r="F124" s="74"/>
      <c r="G124" s="74"/>
      <c r="H124" s="74"/>
      <c r="I124" s="76"/>
      <c r="J124" s="76"/>
      <c r="K124" s="76"/>
      <c r="L124" s="76"/>
      <c r="M124" s="74"/>
      <c r="N124" s="74"/>
      <c r="O124" s="74"/>
      <c r="P124" s="77"/>
    </row>
    <row r="125" spans="2:16">
      <c r="B125" s="74"/>
      <c r="C125" s="75"/>
      <c r="D125" s="74"/>
      <c r="E125" s="74"/>
      <c r="F125" s="74"/>
      <c r="G125" s="74"/>
      <c r="H125" s="74"/>
      <c r="I125" s="76"/>
      <c r="J125" s="76"/>
      <c r="K125" s="76"/>
      <c r="L125" s="76"/>
      <c r="M125" s="74"/>
      <c r="N125" s="74"/>
      <c r="O125" s="74"/>
      <c r="P125" s="77"/>
    </row>
    <row r="126" spans="2:16">
      <c r="B126" s="74"/>
      <c r="C126" s="75"/>
      <c r="D126" s="74"/>
      <c r="E126" s="74"/>
      <c r="F126" s="74"/>
      <c r="G126" s="74"/>
      <c r="H126" s="74"/>
      <c r="I126" s="76"/>
      <c r="J126" s="76"/>
      <c r="K126" s="76"/>
      <c r="L126" s="76"/>
      <c r="M126" s="74"/>
      <c r="N126" s="74"/>
      <c r="O126" s="74"/>
      <c r="P126" s="77"/>
    </row>
    <row r="127" spans="2:16">
      <c r="B127" s="74"/>
      <c r="C127" s="75"/>
      <c r="D127" s="74"/>
      <c r="E127" s="74"/>
      <c r="F127" s="74"/>
      <c r="G127" s="74"/>
      <c r="H127" s="74"/>
      <c r="I127" s="76"/>
      <c r="J127" s="76"/>
      <c r="K127" s="76"/>
      <c r="L127" s="76"/>
      <c r="M127" s="74"/>
      <c r="N127" s="74"/>
      <c r="O127" s="74"/>
      <c r="P127" s="77"/>
    </row>
    <row r="128" spans="2:16">
      <c r="B128" s="74"/>
      <c r="C128" s="75"/>
      <c r="D128" s="74"/>
      <c r="E128" s="74"/>
      <c r="F128" s="74"/>
      <c r="G128" s="74"/>
      <c r="H128" s="74"/>
      <c r="I128" s="76"/>
      <c r="J128" s="76"/>
      <c r="K128" s="76"/>
      <c r="L128" s="76"/>
      <c r="M128" s="74"/>
      <c r="N128" s="74"/>
      <c r="O128" s="74"/>
      <c r="P128" s="77"/>
    </row>
    <row r="129" spans="2:16">
      <c r="B129" s="74"/>
      <c r="C129" s="75"/>
      <c r="D129" s="74"/>
      <c r="E129" s="74"/>
      <c r="F129" s="74"/>
      <c r="G129" s="74"/>
      <c r="H129" s="74"/>
      <c r="I129" s="76"/>
      <c r="J129" s="76"/>
      <c r="K129" s="76"/>
      <c r="L129" s="76"/>
      <c r="M129" s="74"/>
      <c r="N129" s="74"/>
      <c r="O129" s="74"/>
      <c r="P129" s="77"/>
    </row>
    <row r="130" spans="2:16">
      <c r="B130" s="74"/>
      <c r="C130" s="75"/>
      <c r="D130" s="74"/>
      <c r="E130" s="74"/>
      <c r="F130" s="74"/>
      <c r="G130" s="74"/>
      <c r="H130" s="74"/>
      <c r="I130" s="76"/>
      <c r="J130" s="76"/>
      <c r="K130" s="76"/>
      <c r="L130" s="76"/>
      <c r="M130" s="74"/>
      <c r="N130" s="74"/>
      <c r="O130" s="74"/>
      <c r="P130" s="77"/>
    </row>
    <row r="131" spans="2:16">
      <c r="B131" s="74"/>
      <c r="C131" s="75"/>
      <c r="D131" s="74"/>
      <c r="E131" s="74"/>
      <c r="F131" s="74"/>
      <c r="G131" s="74"/>
      <c r="H131" s="74"/>
      <c r="I131" s="76"/>
      <c r="J131" s="76"/>
      <c r="K131" s="76"/>
      <c r="L131" s="76"/>
      <c r="M131" s="74"/>
      <c r="N131" s="74"/>
      <c r="O131" s="74"/>
      <c r="P131" s="77"/>
    </row>
    <row r="132" spans="2:16">
      <c r="B132" s="74"/>
      <c r="C132" s="75"/>
      <c r="D132" s="74"/>
      <c r="E132" s="74"/>
      <c r="F132" s="74"/>
      <c r="G132" s="74"/>
      <c r="H132" s="74"/>
      <c r="I132" s="76"/>
      <c r="J132" s="76"/>
      <c r="K132" s="76"/>
      <c r="L132" s="76"/>
      <c r="M132" s="74"/>
      <c r="N132" s="74"/>
      <c r="O132" s="74"/>
      <c r="P132" s="77"/>
    </row>
    <row r="133" spans="2:16">
      <c r="B133" s="74"/>
      <c r="C133" s="75"/>
      <c r="D133" s="74"/>
      <c r="E133" s="74"/>
      <c r="F133" s="74"/>
      <c r="G133" s="74"/>
      <c r="H133" s="74"/>
      <c r="I133" s="76"/>
      <c r="J133" s="76"/>
      <c r="K133" s="76"/>
      <c r="L133" s="76"/>
      <c r="M133" s="74"/>
      <c r="N133" s="74"/>
      <c r="O133" s="74"/>
      <c r="P133" s="77"/>
    </row>
    <row r="134" spans="2:16">
      <c r="B134" s="74"/>
      <c r="C134" s="75"/>
      <c r="D134" s="74"/>
      <c r="E134" s="74"/>
      <c r="F134" s="74"/>
      <c r="G134" s="74"/>
      <c r="H134" s="74"/>
      <c r="I134" s="76"/>
      <c r="J134" s="76"/>
      <c r="K134" s="76"/>
      <c r="L134" s="76"/>
      <c r="M134" s="74"/>
      <c r="N134" s="74"/>
      <c r="O134" s="74"/>
      <c r="P134" s="77"/>
    </row>
    <row r="135" spans="2:16">
      <c r="B135" s="74"/>
      <c r="C135" s="75"/>
      <c r="D135" s="74"/>
      <c r="E135" s="74"/>
      <c r="F135" s="74"/>
      <c r="G135" s="74"/>
      <c r="H135" s="74"/>
      <c r="I135" s="76"/>
      <c r="J135" s="76"/>
      <c r="K135" s="76"/>
      <c r="L135" s="76"/>
      <c r="M135" s="74"/>
      <c r="N135" s="74"/>
      <c r="O135" s="74"/>
      <c r="P135" s="77"/>
    </row>
    <row r="136" spans="2:16">
      <c r="B136" s="74"/>
      <c r="C136" s="75"/>
      <c r="D136" s="74"/>
      <c r="E136" s="74"/>
      <c r="F136" s="74"/>
      <c r="G136" s="74"/>
      <c r="H136" s="74"/>
      <c r="I136" s="76"/>
      <c r="J136" s="76"/>
      <c r="K136" s="76"/>
      <c r="L136" s="76"/>
      <c r="M136" s="74"/>
      <c r="N136" s="74"/>
      <c r="O136" s="74"/>
      <c r="P136" s="77"/>
    </row>
    <row r="137" spans="2:16">
      <c r="B137" s="74"/>
      <c r="C137" s="75"/>
      <c r="D137" s="74"/>
      <c r="E137" s="74"/>
      <c r="F137" s="74"/>
      <c r="G137" s="74"/>
      <c r="H137" s="74"/>
      <c r="I137" s="76"/>
      <c r="J137" s="76"/>
      <c r="K137" s="76"/>
      <c r="L137" s="76"/>
      <c r="M137" s="74"/>
      <c r="N137" s="74"/>
      <c r="O137" s="74"/>
      <c r="P137" s="77"/>
    </row>
    <row r="138" spans="2:16">
      <c r="B138" s="74"/>
      <c r="C138" s="75"/>
      <c r="D138" s="74"/>
      <c r="E138" s="74"/>
      <c r="F138" s="74"/>
      <c r="G138" s="74"/>
      <c r="H138" s="74"/>
      <c r="I138" s="76"/>
      <c r="J138" s="76"/>
      <c r="K138" s="76"/>
      <c r="L138" s="76"/>
      <c r="M138" s="74"/>
      <c r="N138" s="74"/>
      <c r="O138" s="74"/>
      <c r="P138" s="77"/>
    </row>
    <row r="139" spans="2:16">
      <c r="B139" s="74"/>
      <c r="C139" s="75"/>
      <c r="D139" s="74"/>
      <c r="E139" s="74"/>
      <c r="F139" s="74"/>
      <c r="G139" s="74"/>
      <c r="H139" s="74"/>
      <c r="I139" s="76"/>
      <c r="J139" s="76"/>
      <c r="K139" s="76"/>
      <c r="L139" s="76"/>
      <c r="M139" s="74"/>
      <c r="N139" s="74"/>
      <c r="O139" s="74"/>
      <c r="P139" s="77"/>
    </row>
    <row r="140" spans="2:16">
      <c r="B140" s="74"/>
      <c r="C140" s="75"/>
      <c r="D140" s="74"/>
      <c r="E140" s="74"/>
      <c r="F140" s="74"/>
      <c r="G140" s="74"/>
      <c r="H140" s="74"/>
      <c r="I140" s="76"/>
      <c r="J140" s="76"/>
      <c r="K140" s="76"/>
      <c r="L140" s="76"/>
      <c r="M140" s="74"/>
      <c r="N140" s="74"/>
      <c r="O140" s="74"/>
      <c r="P140" s="77"/>
    </row>
    <row r="141" spans="2:16">
      <c r="B141" s="74"/>
      <c r="C141" s="75"/>
      <c r="D141" s="74"/>
      <c r="E141" s="74"/>
      <c r="F141" s="74"/>
      <c r="G141" s="74"/>
      <c r="H141" s="74"/>
      <c r="I141" s="76"/>
      <c r="J141" s="76"/>
      <c r="K141" s="76"/>
      <c r="L141" s="76"/>
      <c r="M141" s="74"/>
      <c r="N141" s="74"/>
      <c r="O141" s="74"/>
      <c r="P141" s="77"/>
    </row>
    <row r="142" spans="2:16">
      <c r="B142" s="74"/>
      <c r="C142" s="75"/>
      <c r="D142" s="74"/>
      <c r="E142" s="74"/>
      <c r="F142" s="74"/>
      <c r="G142" s="74"/>
      <c r="H142" s="74"/>
      <c r="I142" s="76"/>
      <c r="J142" s="76"/>
      <c r="K142" s="76"/>
      <c r="L142" s="76"/>
      <c r="M142" s="74"/>
      <c r="N142" s="74"/>
      <c r="O142" s="74"/>
      <c r="P142" s="77"/>
    </row>
    <row r="143" spans="2:16">
      <c r="B143" s="74"/>
      <c r="C143" s="75"/>
      <c r="D143" s="74"/>
      <c r="E143" s="74"/>
      <c r="F143" s="74"/>
      <c r="G143" s="74"/>
      <c r="H143" s="74"/>
      <c r="I143" s="76"/>
      <c r="J143" s="76"/>
      <c r="K143" s="76"/>
      <c r="L143" s="76"/>
      <c r="M143" s="74"/>
      <c r="N143" s="74"/>
      <c r="O143" s="74"/>
      <c r="P143" s="77"/>
    </row>
    <row r="144" spans="2:16">
      <c r="B144" s="74"/>
      <c r="C144" s="75"/>
      <c r="D144" s="74"/>
      <c r="E144" s="74"/>
      <c r="F144" s="74"/>
      <c r="G144" s="74"/>
      <c r="H144" s="74"/>
      <c r="I144" s="76"/>
      <c r="J144" s="76"/>
      <c r="K144" s="76"/>
      <c r="L144" s="76"/>
      <c r="M144" s="74"/>
      <c r="N144" s="74"/>
      <c r="O144" s="74"/>
      <c r="P144" s="77"/>
    </row>
    <row r="145" spans="2:16">
      <c r="B145" s="74"/>
      <c r="C145" s="75"/>
      <c r="D145" s="74"/>
      <c r="E145" s="74"/>
      <c r="F145" s="74"/>
      <c r="G145" s="74"/>
      <c r="H145" s="74"/>
      <c r="I145" s="76"/>
      <c r="J145" s="76"/>
      <c r="K145" s="76"/>
      <c r="L145" s="76"/>
      <c r="M145" s="74"/>
      <c r="N145" s="74"/>
      <c r="O145" s="74"/>
      <c r="P145" s="77"/>
    </row>
    <row r="146" spans="2:16">
      <c r="B146" s="74"/>
      <c r="C146" s="75"/>
      <c r="D146" s="74"/>
      <c r="E146" s="74"/>
      <c r="F146" s="74"/>
      <c r="G146" s="74"/>
      <c r="H146" s="74"/>
      <c r="I146" s="76"/>
      <c r="J146" s="76"/>
      <c r="K146" s="76"/>
      <c r="L146" s="76"/>
      <c r="M146" s="74"/>
      <c r="N146" s="74"/>
      <c r="O146" s="74"/>
      <c r="P146" s="77"/>
    </row>
    <row r="147" spans="2:16">
      <c r="B147" s="74"/>
      <c r="C147" s="75"/>
      <c r="D147" s="74"/>
      <c r="E147" s="74"/>
      <c r="F147" s="74"/>
      <c r="G147" s="74"/>
      <c r="H147" s="74"/>
      <c r="I147" s="76"/>
      <c r="J147" s="76"/>
      <c r="K147" s="76"/>
      <c r="L147" s="76"/>
      <c r="M147" s="74"/>
      <c r="N147" s="74"/>
      <c r="O147" s="74"/>
      <c r="P147" s="77"/>
    </row>
    <row r="148" spans="2:16">
      <c r="B148" s="74"/>
      <c r="C148" s="75"/>
      <c r="D148" s="74"/>
      <c r="E148" s="74"/>
      <c r="F148" s="74"/>
      <c r="G148" s="74"/>
      <c r="H148" s="74"/>
      <c r="I148" s="76"/>
      <c r="J148" s="76"/>
      <c r="K148" s="76"/>
      <c r="L148" s="76"/>
      <c r="M148" s="74"/>
      <c r="N148" s="74"/>
      <c r="O148" s="74"/>
      <c r="P148" s="77"/>
    </row>
    <row r="149" spans="2:16">
      <c r="B149" s="74"/>
      <c r="C149" s="75"/>
      <c r="D149" s="74"/>
      <c r="E149" s="74"/>
      <c r="F149" s="74"/>
      <c r="G149" s="74"/>
      <c r="H149" s="74"/>
      <c r="I149" s="76"/>
      <c r="J149" s="76"/>
      <c r="K149" s="76"/>
      <c r="L149" s="76"/>
      <c r="M149" s="74"/>
      <c r="N149" s="74"/>
      <c r="O149" s="74"/>
      <c r="P149" s="77"/>
    </row>
    <row r="150" spans="2:16">
      <c r="B150" s="74"/>
      <c r="C150" s="75"/>
      <c r="D150" s="74"/>
      <c r="E150" s="74"/>
      <c r="F150" s="74"/>
      <c r="G150" s="74"/>
      <c r="H150" s="74"/>
      <c r="I150" s="76"/>
      <c r="J150" s="76"/>
      <c r="K150" s="76"/>
      <c r="L150" s="76"/>
      <c r="M150" s="74"/>
      <c r="N150" s="74"/>
      <c r="O150" s="74"/>
      <c r="P150" s="77"/>
    </row>
    <row r="151" spans="2:16">
      <c r="B151" s="74"/>
      <c r="C151" s="75"/>
      <c r="D151" s="74"/>
      <c r="E151" s="74"/>
      <c r="F151" s="74"/>
      <c r="G151" s="74"/>
      <c r="H151" s="74"/>
      <c r="I151" s="76"/>
      <c r="J151" s="76"/>
      <c r="K151" s="76"/>
      <c r="L151" s="76"/>
      <c r="M151" s="74"/>
      <c r="N151" s="74"/>
      <c r="O151" s="74"/>
      <c r="P151" s="77"/>
    </row>
    <row r="152" spans="2:16">
      <c r="B152" s="74"/>
      <c r="C152" s="75"/>
      <c r="D152" s="74"/>
      <c r="E152" s="74"/>
      <c r="F152" s="74"/>
      <c r="G152" s="74"/>
      <c r="H152" s="74"/>
      <c r="I152" s="76"/>
      <c r="J152" s="76"/>
      <c r="K152" s="76"/>
      <c r="L152" s="76"/>
      <c r="M152" s="74"/>
      <c r="N152" s="74"/>
      <c r="O152" s="74"/>
      <c r="P152" s="77"/>
    </row>
    <row r="153" spans="2:16">
      <c r="B153" s="74"/>
      <c r="C153" s="75"/>
      <c r="D153" s="74"/>
      <c r="E153" s="74"/>
      <c r="F153" s="74"/>
      <c r="G153" s="74"/>
      <c r="H153" s="74"/>
      <c r="I153" s="76"/>
      <c r="J153" s="76"/>
      <c r="K153" s="76"/>
      <c r="L153" s="76"/>
      <c r="M153" s="74"/>
      <c r="N153" s="74"/>
      <c r="O153" s="74"/>
      <c r="P153" s="77"/>
    </row>
    <row r="154" spans="2:16">
      <c r="B154" s="74"/>
      <c r="C154" s="75"/>
      <c r="D154" s="74"/>
      <c r="E154" s="74"/>
      <c r="F154" s="74"/>
      <c r="G154" s="74"/>
      <c r="H154" s="74"/>
      <c r="I154" s="76"/>
      <c r="J154" s="76"/>
      <c r="K154" s="76"/>
      <c r="L154" s="76"/>
      <c r="M154" s="74"/>
      <c r="N154" s="74"/>
      <c r="O154" s="74"/>
      <c r="P154" s="77"/>
    </row>
    <row r="155" spans="2:16">
      <c r="B155" s="74"/>
      <c r="C155" s="75"/>
      <c r="D155" s="74"/>
      <c r="E155" s="74"/>
      <c r="F155" s="74"/>
      <c r="G155" s="74"/>
      <c r="H155" s="74"/>
      <c r="I155" s="76"/>
      <c r="J155" s="76"/>
      <c r="K155" s="76"/>
      <c r="L155" s="76"/>
      <c r="M155" s="74"/>
      <c r="N155" s="74"/>
      <c r="O155" s="74"/>
      <c r="P155" s="77"/>
    </row>
    <row r="156" spans="2:16">
      <c r="B156" s="74"/>
      <c r="C156" s="75"/>
      <c r="D156" s="74"/>
      <c r="E156" s="74"/>
      <c r="F156" s="74"/>
      <c r="G156" s="74"/>
      <c r="H156" s="74"/>
      <c r="I156" s="76"/>
      <c r="J156" s="76"/>
      <c r="K156" s="76"/>
      <c r="L156" s="76"/>
      <c r="M156" s="74"/>
      <c r="N156" s="74"/>
      <c r="O156" s="74"/>
      <c r="P156" s="77"/>
    </row>
    <row r="157" spans="2:16">
      <c r="B157" s="74"/>
      <c r="C157" s="75"/>
      <c r="D157" s="74"/>
      <c r="E157" s="74"/>
      <c r="F157" s="74"/>
      <c r="G157" s="74"/>
      <c r="H157" s="74"/>
      <c r="I157" s="76"/>
      <c r="J157" s="76"/>
      <c r="K157" s="76"/>
      <c r="L157" s="76"/>
      <c r="M157" s="74"/>
      <c r="N157" s="74"/>
      <c r="O157" s="74"/>
      <c r="P157" s="77"/>
    </row>
    <row r="158" spans="2:16">
      <c r="B158" s="74"/>
      <c r="C158" s="75"/>
      <c r="D158" s="74"/>
      <c r="E158" s="74"/>
      <c r="F158" s="74"/>
      <c r="G158" s="74"/>
      <c r="H158" s="74"/>
      <c r="I158" s="76"/>
      <c r="J158" s="76"/>
      <c r="K158" s="76"/>
      <c r="L158" s="76"/>
      <c r="M158" s="74"/>
      <c r="N158" s="74"/>
      <c r="O158" s="74"/>
      <c r="P158" s="77"/>
    </row>
    <row r="159" spans="2:16">
      <c r="B159" s="74"/>
      <c r="C159" s="75"/>
      <c r="D159" s="74"/>
      <c r="E159" s="74"/>
      <c r="F159" s="74"/>
      <c r="G159" s="74"/>
      <c r="H159" s="74"/>
      <c r="I159" s="76"/>
      <c r="J159" s="76"/>
      <c r="K159" s="76"/>
      <c r="L159" s="76"/>
      <c r="M159" s="74"/>
      <c r="N159" s="74"/>
      <c r="O159" s="74"/>
      <c r="P159" s="77"/>
    </row>
    <row r="160" spans="2:16">
      <c r="B160" s="74"/>
      <c r="C160" s="75"/>
      <c r="D160" s="74"/>
      <c r="E160" s="74"/>
      <c r="F160" s="74"/>
      <c r="G160" s="74"/>
      <c r="H160" s="74"/>
      <c r="I160" s="76"/>
      <c r="J160" s="76"/>
      <c r="K160" s="76"/>
      <c r="L160" s="76"/>
      <c r="M160" s="74"/>
      <c r="N160" s="74"/>
      <c r="O160" s="74"/>
      <c r="P160" s="77"/>
    </row>
    <row r="161" spans="2:16">
      <c r="B161" s="74"/>
      <c r="C161" s="75"/>
      <c r="D161" s="74"/>
      <c r="E161" s="74"/>
      <c r="F161" s="74"/>
      <c r="G161" s="74"/>
      <c r="H161" s="74"/>
      <c r="I161" s="76"/>
      <c r="J161" s="76"/>
      <c r="K161" s="76"/>
      <c r="L161" s="76"/>
      <c r="M161" s="74"/>
      <c r="N161" s="74"/>
      <c r="O161" s="74"/>
      <c r="P161" s="77"/>
    </row>
    <row r="162" spans="2:16">
      <c r="B162" s="74"/>
      <c r="C162" s="75"/>
      <c r="D162" s="74"/>
      <c r="E162" s="74"/>
      <c r="F162" s="74"/>
      <c r="G162" s="74"/>
      <c r="H162" s="74"/>
      <c r="I162" s="76"/>
      <c r="J162" s="76"/>
      <c r="K162" s="76"/>
      <c r="L162" s="76"/>
      <c r="M162" s="74"/>
      <c r="N162" s="74"/>
      <c r="O162" s="74"/>
      <c r="P162" s="77"/>
    </row>
    <row r="163" spans="2:16">
      <c r="B163" s="74"/>
      <c r="C163" s="75"/>
      <c r="D163" s="74"/>
      <c r="E163" s="74"/>
      <c r="F163" s="74"/>
      <c r="G163" s="74"/>
      <c r="H163" s="74"/>
      <c r="I163" s="76"/>
      <c r="J163" s="76"/>
      <c r="K163" s="76"/>
      <c r="L163" s="76"/>
      <c r="M163" s="74"/>
      <c r="N163" s="74"/>
      <c r="O163" s="74"/>
      <c r="P163" s="77"/>
    </row>
    <row r="164" spans="2:16">
      <c r="B164" s="74"/>
      <c r="C164" s="75"/>
      <c r="D164" s="74"/>
      <c r="E164" s="74"/>
      <c r="F164" s="74"/>
      <c r="G164" s="74"/>
      <c r="H164" s="74"/>
      <c r="I164" s="76"/>
      <c r="J164" s="76"/>
      <c r="K164" s="76"/>
      <c r="L164" s="76"/>
      <c r="M164" s="74"/>
      <c r="N164" s="74"/>
      <c r="O164" s="74"/>
      <c r="P164" s="77"/>
    </row>
    <row r="165" spans="2:16">
      <c r="B165" s="74"/>
      <c r="C165" s="75"/>
      <c r="D165" s="74"/>
      <c r="E165" s="74"/>
      <c r="F165" s="74"/>
      <c r="G165" s="74"/>
      <c r="H165" s="74"/>
      <c r="I165" s="76"/>
      <c r="J165" s="76"/>
      <c r="K165" s="76"/>
      <c r="L165" s="76"/>
      <c r="M165" s="74"/>
      <c r="N165" s="74"/>
      <c r="O165" s="74"/>
      <c r="P165" s="77"/>
    </row>
    <row r="166" spans="2:16">
      <c r="B166" s="74"/>
      <c r="C166" s="75"/>
      <c r="D166" s="74"/>
      <c r="E166" s="74"/>
      <c r="F166" s="74"/>
      <c r="G166" s="74"/>
      <c r="H166" s="74"/>
      <c r="I166" s="76"/>
      <c r="J166" s="76"/>
      <c r="K166" s="76"/>
      <c r="L166" s="76"/>
      <c r="M166" s="74"/>
      <c r="N166" s="74"/>
      <c r="O166" s="74"/>
      <c r="P166" s="77"/>
    </row>
    <row r="167" spans="2:16">
      <c r="B167" s="74"/>
      <c r="C167" s="75"/>
      <c r="D167" s="74"/>
      <c r="E167" s="74"/>
      <c r="F167" s="74"/>
      <c r="G167" s="74"/>
      <c r="H167" s="74"/>
      <c r="I167" s="76"/>
      <c r="J167" s="76"/>
      <c r="K167" s="76"/>
      <c r="L167" s="76"/>
      <c r="M167" s="74"/>
      <c r="N167" s="74"/>
      <c r="O167" s="74"/>
      <c r="P167" s="77"/>
    </row>
    <row r="168" spans="2:16">
      <c r="B168" s="74"/>
      <c r="C168" s="75"/>
      <c r="D168" s="74"/>
      <c r="E168" s="74"/>
      <c r="F168" s="74"/>
      <c r="G168" s="74"/>
      <c r="H168" s="74"/>
      <c r="I168" s="76"/>
      <c r="J168" s="76"/>
      <c r="K168" s="76"/>
      <c r="L168" s="76"/>
      <c r="M168" s="74"/>
      <c r="N168" s="74"/>
      <c r="O168" s="74"/>
      <c r="P168" s="77"/>
    </row>
    <row r="169" spans="2:16">
      <c r="B169" s="74"/>
      <c r="C169" s="75"/>
      <c r="D169" s="74"/>
      <c r="E169" s="74"/>
      <c r="F169" s="74"/>
      <c r="G169" s="74"/>
      <c r="H169" s="74"/>
      <c r="I169" s="76"/>
      <c r="J169" s="76"/>
      <c r="K169" s="76"/>
      <c r="L169" s="76"/>
      <c r="M169" s="74"/>
      <c r="N169" s="74"/>
      <c r="O169" s="74"/>
      <c r="P169" s="77"/>
    </row>
    <row r="170" spans="2:16">
      <c r="B170" s="74"/>
      <c r="C170" s="75"/>
      <c r="D170" s="74"/>
      <c r="E170" s="74"/>
      <c r="F170" s="74"/>
      <c r="G170" s="74"/>
      <c r="H170" s="74"/>
      <c r="I170" s="76"/>
      <c r="J170" s="76"/>
      <c r="K170" s="76"/>
      <c r="L170" s="76"/>
      <c r="M170" s="74"/>
      <c r="N170" s="74"/>
      <c r="O170" s="74"/>
      <c r="P170" s="77"/>
    </row>
    <row r="171" spans="2:16">
      <c r="B171" s="74"/>
      <c r="C171" s="75"/>
      <c r="D171" s="74"/>
      <c r="E171" s="74"/>
      <c r="F171" s="74"/>
      <c r="G171" s="74"/>
      <c r="H171" s="74"/>
      <c r="I171" s="76"/>
      <c r="J171" s="76"/>
      <c r="K171" s="76"/>
      <c r="L171" s="76"/>
      <c r="M171" s="74"/>
      <c r="N171" s="74"/>
      <c r="O171" s="74"/>
      <c r="P171" s="77"/>
    </row>
    <row r="172" spans="2:16">
      <c r="B172" s="74"/>
      <c r="C172" s="75"/>
      <c r="D172" s="74"/>
      <c r="E172" s="74"/>
      <c r="F172" s="74"/>
      <c r="G172" s="74"/>
      <c r="H172" s="74"/>
      <c r="I172" s="76"/>
      <c r="J172" s="76"/>
      <c r="K172" s="76"/>
      <c r="L172" s="76"/>
      <c r="M172" s="74"/>
      <c r="N172" s="74"/>
      <c r="O172" s="74"/>
      <c r="P172" s="77"/>
    </row>
    <row r="173" spans="2:16">
      <c r="B173" s="74"/>
      <c r="C173" s="75"/>
      <c r="D173" s="74"/>
      <c r="E173" s="74"/>
      <c r="F173" s="74"/>
      <c r="G173" s="74"/>
      <c r="H173" s="74"/>
      <c r="I173" s="76"/>
      <c r="J173" s="76"/>
      <c r="K173" s="76"/>
      <c r="L173" s="76"/>
      <c r="M173" s="74"/>
      <c r="N173" s="74"/>
      <c r="O173" s="74"/>
      <c r="P173" s="77"/>
    </row>
    <row r="174" spans="2:16">
      <c r="B174" s="74"/>
      <c r="C174" s="75"/>
      <c r="D174" s="74"/>
      <c r="E174" s="74"/>
      <c r="F174" s="74"/>
      <c r="G174" s="74"/>
      <c r="H174" s="74"/>
      <c r="I174" s="76"/>
      <c r="J174" s="76"/>
      <c r="K174" s="76"/>
      <c r="L174" s="76"/>
      <c r="M174" s="74"/>
      <c r="N174" s="74"/>
      <c r="O174" s="74"/>
      <c r="P174" s="77"/>
    </row>
    <row r="175" spans="2:16">
      <c r="B175" s="74"/>
      <c r="C175" s="75"/>
      <c r="D175" s="74"/>
      <c r="E175" s="74"/>
      <c r="F175" s="74"/>
      <c r="G175" s="74"/>
      <c r="H175" s="74"/>
      <c r="I175" s="76"/>
      <c r="J175" s="76"/>
      <c r="K175" s="76"/>
      <c r="L175" s="76"/>
      <c r="M175" s="74"/>
      <c r="N175" s="74"/>
      <c r="O175" s="74"/>
      <c r="P175" s="77"/>
    </row>
    <row r="176" spans="2:16">
      <c r="B176" s="74"/>
      <c r="C176" s="75"/>
      <c r="D176" s="74"/>
      <c r="E176" s="74"/>
      <c r="F176" s="74"/>
      <c r="G176" s="74"/>
      <c r="H176" s="74"/>
      <c r="I176" s="76"/>
      <c r="J176" s="76"/>
      <c r="K176" s="76"/>
      <c r="L176" s="76"/>
      <c r="M176" s="74"/>
      <c r="N176" s="74"/>
      <c r="O176" s="74"/>
      <c r="P176" s="77"/>
    </row>
    <row r="177" spans="2:16">
      <c r="B177" s="74"/>
      <c r="C177" s="75"/>
      <c r="D177" s="74"/>
      <c r="E177" s="74"/>
      <c r="F177" s="74"/>
      <c r="G177" s="74"/>
      <c r="H177" s="74"/>
      <c r="I177" s="76"/>
      <c r="J177" s="76"/>
      <c r="K177" s="76"/>
      <c r="L177" s="76"/>
      <c r="M177" s="74"/>
      <c r="N177" s="74"/>
      <c r="O177" s="74"/>
      <c r="P177" s="77"/>
    </row>
    <row r="178" spans="2:16">
      <c r="B178" s="74"/>
      <c r="C178" s="75"/>
      <c r="D178" s="74"/>
      <c r="E178" s="74"/>
      <c r="F178" s="74"/>
      <c r="G178" s="74"/>
      <c r="H178" s="74"/>
      <c r="I178" s="76"/>
      <c r="J178" s="76"/>
      <c r="K178" s="76"/>
      <c r="L178" s="76"/>
      <c r="M178" s="74"/>
      <c r="N178" s="74"/>
      <c r="O178" s="74"/>
      <c r="P178" s="77"/>
    </row>
    <row r="179" spans="2:16">
      <c r="B179" s="74"/>
      <c r="C179" s="75"/>
      <c r="D179" s="74"/>
      <c r="E179" s="74"/>
      <c r="F179" s="74"/>
      <c r="G179" s="74"/>
      <c r="H179" s="74"/>
      <c r="I179" s="76"/>
      <c r="J179" s="76"/>
      <c r="K179" s="76"/>
      <c r="L179" s="76"/>
      <c r="M179" s="74"/>
      <c r="N179" s="74"/>
      <c r="O179" s="74"/>
      <c r="P179" s="77"/>
    </row>
    <row r="180" spans="2:16">
      <c r="B180" s="74"/>
      <c r="C180" s="75"/>
      <c r="D180" s="74"/>
      <c r="E180" s="74"/>
      <c r="F180" s="74"/>
      <c r="G180" s="74"/>
      <c r="H180" s="74"/>
      <c r="I180" s="76"/>
      <c r="J180" s="76"/>
      <c r="K180" s="76"/>
      <c r="L180" s="76"/>
      <c r="M180" s="74"/>
      <c r="N180" s="74"/>
      <c r="O180" s="74"/>
      <c r="P180" s="77"/>
    </row>
    <row r="181" spans="2:16">
      <c r="B181" s="74"/>
      <c r="C181" s="75"/>
      <c r="D181" s="74"/>
      <c r="E181" s="74"/>
      <c r="F181" s="74"/>
      <c r="G181" s="74"/>
      <c r="H181" s="74"/>
      <c r="I181" s="76"/>
      <c r="J181" s="76"/>
      <c r="K181" s="76"/>
      <c r="L181" s="76"/>
      <c r="M181" s="74"/>
      <c r="N181" s="74"/>
      <c r="O181" s="74"/>
      <c r="P181" s="77"/>
    </row>
    <row r="182" spans="2:16">
      <c r="B182" s="74"/>
      <c r="C182" s="75"/>
      <c r="D182" s="74"/>
      <c r="E182" s="74"/>
      <c r="F182" s="74"/>
      <c r="G182" s="74"/>
      <c r="H182" s="74"/>
      <c r="I182" s="76"/>
      <c r="J182" s="76"/>
      <c r="K182" s="76"/>
      <c r="L182" s="76"/>
      <c r="M182" s="74"/>
      <c r="N182" s="74"/>
      <c r="O182" s="74"/>
      <c r="P182" s="77"/>
    </row>
    <row r="183" spans="2:16">
      <c r="B183" s="74"/>
      <c r="C183" s="75"/>
      <c r="D183" s="74"/>
      <c r="E183" s="74"/>
      <c r="F183" s="74"/>
      <c r="G183" s="74"/>
      <c r="H183" s="74"/>
      <c r="I183" s="76"/>
      <c r="J183" s="76"/>
      <c r="K183" s="76"/>
      <c r="L183" s="76"/>
      <c r="M183" s="74"/>
      <c r="N183" s="74"/>
      <c r="O183" s="74"/>
      <c r="P183" s="77"/>
    </row>
    <row r="184" spans="2:16">
      <c r="B184" s="74"/>
      <c r="C184" s="75"/>
      <c r="D184" s="74"/>
      <c r="E184" s="74"/>
      <c r="F184" s="74"/>
      <c r="G184" s="74"/>
      <c r="H184" s="74"/>
      <c r="I184" s="76"/>
      <c r="J184" s="76"/>
      <c r="K184" s="76"/>
      <c r="L184" s="76"/>
      <c r="M184" s="74"/>
      <c r="N184" s="74"/>
      <c r="O184" s="74"/>
      <c r="P184" s="77"/>
    </row>
    <row r="185" spans="2:16">
      <c r="B185" s="74"/>
      <c r="C185" s="75"/>
      <c r="D185" s="74"/>
      <c r="E185" s="74"/>
      <c r="F185" s="74"/>
      <c r="G185" s="74"/>
      <c r="H185" s="74"/>
      <c r="I185" s="76"/>
      <c r="J185" s="76"/>
      <c r="K185" s="76"/>
      <c r="L185" s="76"/>
      <c r="M185" s="74"/>
      <c r="N185" s="74"/>
      <c r="O185" s="74"/>
      <c r="P185" s="77"/>
    </row>
    <row r="186" spans="2:16">
      <c r="B186" s="74"/>
      <c r="C186" s="75"/>
      <c r="D186" s="74"/>
      <c r="E186" s="74"/>
      <c r="F186" s="74"/>
      <c r="G186" s="74"/>
      <c r="H186" s="74"/>
      <c r="I186" s="76"/>
      <c r="J186" s="76"/>
      <c r="K186" s="76"/>
      <c r="L186" s="76"/>
      <c r="M186" s="74"/>
      <c r="N186" s="74"/>
      <c r="O186" s="74"/>
      <c r="P186" s="77"/>
    </row>
    <row r="187" spans="2:16">
      <c r="B187" s="74"/>
      <c r="C187" s="75"/>
      <c r="D187" s="74"/>
      <c r="E187" s="74"/>
      <c r="F187" s="74"/>
      <c r="G187" s="74"/>
      <c r="H187" s="74"/>
      <c r="I187" s="76"/>
      <c r="J187" s="76"/>
      <c r="K187" s="76"/>
      <c r="L187" s="76"/>
      <c r="M187" s="74"/>
      <c r="N187" s="74"/>
      <c r="O187" s="74"/>
      <c r="P187" s="77"/>
    </row>
    <row r="188" spans="2:16">
      <c r="B188" s="74"/>
      <c r="C188" s="75"/>
      <c r="D188" s="74"/>
      <c r="E188" s="74"/>
      <c r="F188" s="74"/>
      <c r="G188" s="74"/>
      <c r="H188" s="74"/>
      <c r="I188" s="76"/>
      <c r="J188" s="76"/>
      <c r="K188" s="76"/>
      <c r="L188" s="76"/>
      <c r="M188" s="74"/>
      <c r="N188" s="74"/>
      <c r="O188" s="74"/>
      <c r="P188" s="77"/>
    </row>
    <row r="189" spans="2:16">
      <c r="B189" s="74"/>
      <c r="C189" s="75"/>
      <c r="D189" s="74"/>
      <c r="E189" s="74"/>
      <c r="F189" s="74"/>
      <c r="G189" s="74"/>
      <c r="H189" s="74"/>
      <c r="I189" s="76"/>
      <c r="J189" s="76"/>
      <c r="K189" s="76"/>
      <c r="L189" s="76"/>
      <c r="M189" s="74"/>
      <c r="N189" s="74"/>
      <c r="O189" s="74"/>
      <c r="P189" s="77"/>
    </row>
    <row r="190" spans="2:16">
      <c r="B190" s="74"/>
      <c r="C190" s="75"/>
      <c r="D190" s="74"/>
      <c r="E190" s="74"/>
      <c r="F190" s="74"/>
      <c r="G190" s="74"/>
      <c r="H190" s="74"/>
      <c r="I190" s="76"/>
      <c r="J190" s="76"/>
      <c r="K190" s="76"/>
      <c r="L190" s="76"/>
      <c r="M190" s="74"/>
      <c r="N190" s="74"/>
      <c r="O190" s="74"/>
      <c r="P190" s="77"/>
    </row>
    <row r="191" spans="2:16">
      <c r="B191" s="74"/>
      <c r="C191" s="75"/>
      <c r="D191" s="74"/>
      <c r="E191" s="74"/>
      <c r="F191" s="74"/>
      <c r="G191" s="74"/>
      <c r="H191" s="74"/>
      <c r="I191" s="76"/>
      <c r="J191" s="76"/>
      <c r="K191" s="76"/>
      <c r="L191" s="76"/>
      <c r="M191" s="74"/>
      <c r="N191" s="74"/>
      <c r="O191" s="74"/>
      <c r="P191" s="77"/>
    </row>
    <row r="192" spans="2:16">
      <c r="B192" s="74"/>
      <c r="C192" s="75"/>
      <c r="D192" s="74"/>
      <c r="E192" s="74"/>
      <c r="F192" s="74"/>
      <c r="G192" s="74"/>
      <c r="H192" s="74"/>
      <c r="I192" s="76"/>
      <c r="J192" s="76"/>
      <c r="K192" s="76"/>
      <c r="L192" s="76"/>
      <c r="M192" s="74"/>
      <c r="N192" s="74"/>
      <c r="O192" s="74"/>
      <c r="P192" s="77"/>
    </row>
    <row r="193" spans="2:16">
      <c r="B193" s="74"/>
      <c r="C193" s="75"/>
      <c r="D193" s="74"/>
      <c r="E193" s="74"/>
      <c r="F193" s="74"/>
      <c r="G193" s="74"/>
      <c r="H193" s="74"/>
      <c r="I193" s="76"/>
      <c r="J193" s="76"/>
      <c r="K193" s="76"/>
      <c r="L193" s="76"/>
      <c r="M193" s="74"/>
      <c r="N193" s="74"/>
      <c r="O193" s="74"/>
      <c r="P193" s="77"/>
    </row>
    <row r="194" spans="2:16">
      <c r="B194" s="74"/>
      <c r="C194" s="75"/>
      <c r="D194" s="74"/>
      <c r="E194" s="74"/>
      <c r="F194" s="74"/>
      <c r="G194" s="74"/>
      <c r="H194" s="74"/>
      <c r="I194" s="76"/>
      <c r="J194" s="76"/>
      <c r="K194" s="76"/>
      <c r="L194" s="76"/>
      <c r="M194" s="74"/>
      <c r="N194" s="74"/>
      <c r="O194" s="74"/>
      <c r="P194" s="77"/>
    </row>
    <row r="195" spans="2:16">
      <c r="B195" s="74"/>
      <c r="C195" s="75"/>
      <c r="D195" s="74"/>
      <c r="E195" s="74"/>
      <c r="F195" s="74"/>
      <c r="G195" s="74"/>
      <c r="H195" s="74"/>
      <c r="I195" s="76"/>
      <c r="J195" s="76"/>
      <c r="K195" s="76"/>
      <c r="L195" s="76"/>
      <c r="M195" s="74"/>
      <c r="N195" s="74"/>
      <c r="O195" s="74"/>
      <c r="P195" s="77"/>
    </row>
    <row r="196" spans="2:16">
      <c r="B196" s="74"/>
      <c r="C196" s="75"/>
      <c r="D196" s="74"/>
      <c r="E196" s="74"/>
      <c r="F196" s="74"/>
      <c r="G196" s="74"/>
      <c r="H196" s="74"/>
      <c r="I196" s="76"/>
      <c r="J196" s="76"/>
      <c r="K196" s="76"/>
      <c r="L196" s="76"/>
      <c r="M196" s="74"/>
      <c r="N196" s="74"/>
      <c r="O196" s="74"/>
      <c r="P196" s="77"/>
    </row>
    <row r="197" spans="2:16">
      <c r="B197" s="74"/>
      <c r="C197" s="75"/>
      <c r="D197" s="74"/>
      <c r="E197" s="74"/>
      <c r="F197" s="74"/>
      <c r="G197" s="74"/>
      <c r="H197" s="74"/>
      <c r="I197" s="76"/>
      <c r="J197" s="76"/>
      <c r="K197" s="76"/>
      <c r="L197" s="76"/>
      <c r="M197" s="74"/>
      <c r="N197" s="74"/>
      <c r="O197" s="74"/>
      <c r="P197" s="77"/>
    </row>
    <row r="198" spans="2:16">
      <c r="B198" s="74"/>
      <c r="C198" s="75"/>
      <c r="D198" s="74"/>
      <c r="E198" s="74"/>
      <c r="F198" s="74"/>
      <c r="G198" s="74"/>
      <c r="H198" s="74"/>
      <c r="I198" s="76"/>
      <c r="J198" s="76"/>
      <c r="K198" s="76"/>
      <c r="L198" s="76"/>
      <c r="M198" s="74"/>
      <c r="N198" s="74"/>
      <c r="O198" s="74"/>
      <c r="P198" s="77"/>
    </row>
    <row r="199" spans="2:16">
      <c r="B199" s="74"/>
      <c r="C199" s="75"/>
      <c r="D199" s="74"/>
      <c r="E199" s="74"/>
      <c r="F199" s="74"/>
      <c r="G199" s="74"/>
      <c r="H199" s="74"/>
      <c r="I199" s="76"/>
      <c r="J199" s="76"/>
      <c r="K199" s="76"/>
      <c r="L199" s="76"/>
      <c r="M199" s="74"/>
      <c r="N199" s="74"/>
      <c r="O199" s="74"/>
      <c r="P199" s="77"/>
    </row>
    <row r="200" spans="2:16">
      <c r="B200" s="74"/>
      <c r="C200" s="75"/>
      <c r="D200" s="74"/>
      <c r="E200" s="74"/>
      <c r="F200" s="74"/>
      <c r="G200" s="74"/>
      <c r="H200" s="74"/>
      <c r="I200" s="76"/>
      <c r="J200" s="76"/>
      <c r="K200" s="76"/>
      <c r="L200" s="76"/>
      <c r="M200" s="74"/>
      <c r="N200" s="74"/>
      <c r="O200" s="74"/>
      <c r="P200" s="77"/>
    </row>
    <row r="201" spans="2:16">
      <c r="B201" s="74"/>
      <c r="C201" s="75"/>
      <c r="D201" s="74"/>
      <c r="E201" s="74"/>
      <c r="F201" s="74"/>
      <c r="G201" s="74"/>
      <c r="H201" s="74"/>
      <c r="I201" s="76"/>
      <c r="J201" s="76"/>
      <c r="K201" s="76"/>
      <c r="L201" s="76"/>
      <c r="M201" s="74"/>
      <c r="N201" s="74"/>
      <c r="O201" s="74"/>
      <c r="P201" s="77"/>
    </row>
    <row r="202" spans="2:16">
      <c r="B202" s="74"/>
      <c r="C202" s="75"/>
      <c r="D202" s="74"/>
      <c r="E202" s="74"/>
      <c r="F202" s="74"/>
      <c r="G202" s="74"/>
      <c r="H202" s="74"/>
      <c r="I202" s="76"/>
      <c r="J202" s="76"/>
      <c r="K202" s="76"/>
      <c r="L202" s="76"/>
      <c r="M202" s="74"/>
      <c r="N202" s="74"/>
      <c r="O202" s="74"/>
      <c r="P202" s="77"/>
    </row>
    <row r="203" spans="2:16">
      <c r="B203" s="74"/>
      <c r="C203" s="75"/>
      <c r="D203" s="74"/>
      <c r="E203" s="74"/>
      <c r="F203" s="74"/>
      <c r="G203" s="74"/>
      <c r="H203" s="74"/>
      <c r="I203" s="76"/>
      <c r="J203" s="76"/>
      <c r="K203" s="76"/>
      <c r="L203" s="76"/>
      <c r="M203" s="74"/>
      <c r="N203" s="74"/>
      <c r="O203" s="74"/>
      <c r="P203" s="77"/>
    </row>
    <row r="204" spans="2:16">
      <c r="B204" s="74"/>
      <c r="C204" s="75"/>
      <c r="D204" s="74"/>
      <c r="E204" s="74"/>
      <c r="F204" s="74"/>
      <c r="G204" s="74"/>
      <c r="H204" s="74"/>
      <c r="I204" s="76"/>
      <c r="J204" s="76"/>
      <c r="K204" s="76"/>
      <c r="L204" s="76"/>
      <c r="M204" s="74"/>
      <c r="N204" s="74"/>
      <c r="O204" s="74"/>
      <c r="P204" s="77"/>
    </row>
    <row r="205" spans="2:16">
      <c r="B205" s="74"/>
      <c r="C205" s="75"/>
      <c r="D205" s="74"/>
      <c r="E205" s="74"/>
      <c r="F205" s="74"/>
      <c r="G205" s="74"/>
      <c r="H205" s="74"/>
      <c r="I205" s="76"/>
      <c r="J205" s="76"/>
      <c r="K205" s="76"/>
      <c r="L205" s="76"/>
      <c r="M205" s="74"/>
      <c r="N205" s="74"/>
      <c r="O205" s="74"/>
      <c r="P205" s="77"/>
    </row>
    <row r="206" spans="2:16">
      <c r="B206" s="74"/>
      <c r="C206" s="75"/>
      <c r="D206" s="74"/>
      <c r="E206" s="74"/>
      <c r="F206" s="74"/>
      <c r="G206" s="74"/>
      <c r="H206" s="74"/>
      <c r="I206" s="76"/>
      <c r="J206" s="76"/>
      <c r="K206" s="76"/>
      <c r="L206" s="76"/>
      <c r="M206" s="74"/>
      <c r="N206" s="74"/>
      <c r="O206" s="74"/>
      <c r="P206" s="77"/>
    </row>
    <row r="207" spans="2:16">
      <c r="B207" s="74"/>
      <c r="C207" s="75"/>
      <c r="D207" s="74"/>
      <c r="E207" s="74"/>
      <c r="F207" s="74"/>
      <c r="G207" s="74"/>
      <c r="H207" s="74"/>
      <c r="I207" s="76"/>
      <c r="J207" s="76"/>
      <c r="K207" s="76"/>
      <c r="L207" s="76"/>
      <c r="M207" s="74"/>
      <c r="N207" s="74"/>
      <c r="O207" s="74"/>
      <c r="P207" s="77"/>
    </row>
    <row r="208" spans="2:16">
      <c r="B208" s="74"/>
      <c r="C208" s="75"/>
      <c r="D208" s="74"/>
      <c r="E208" s="74"/>
      <c r="F208" s="74"/>
      <c r="G208" s="74"/>
      <c r="H208" s="74"/>
      <c r="I208" s="76"/>
      <c r="J208" s="76"/>
      <c r="K208" s="76"/>
      <c r="L208" s="76"/>
      <c r="M208" s="74"/>
      <c r="N208" s="74"/>
      <c r="O208" s="74"/>
      <c r="P208" s="77"/>
    </row>
    <row r="209" spans="2:16">
      <c r="B209" s="74"/>
      <c r="C209" s="75"/>
      <c r="D209" s="74"/>
      <c r="E209" s="74"/>
      <c r="F209" s="74"/>
      <c r="G209" s="74"/>
      <c r="H209" s="74"/>
      <c r="I209" s="76"/>
      <c r="J209" s="76"/>
      <c r="K209" s="76"/>
      <c r="L209" s="76"/>
      <c r="M209" s="74"/>
      <c r="N209" s="74"/>
      <c r="O209" s="74"/>
      <c r="P209" s="77"/>
    </row>
    <row r="210" spans="2:16">
      <c r="B210" s="74"/>
      <c r="C210" s="75"/>
      <c r="D210" s="74"/>
      <c r="E210" s="74"/>
      <c r="F210" s="74"/>
      <c r="G210" s="74"/>
      <c r="H210" s="74"/>
      <c r="I210" s="76"/>
      <c r="J210" s="76"/>
      <c r="K210" s="76"/>
      <c r="L210" s="76"/>
      <c r="M210" s="74"/>
      <c r="N210" s="74"/>
      <c r="O210" s="74"/>
      <c r="P210" s="77"/>
    </row>
    <row r="211" spans="2:16">
      <c r="B211" s="74"/>
      <c r="C211" s="75"/>
      <c r="D211" s="74"/>
      <c r="E211" s="74"/>
      <c r="F211" s="74"/>
      <c r="G211" s="74"/>
      <c r="H211" s="74"/>
      <c r="I211" s="76"/>
      <c r="J211" s="76"/>
      <c r="K211" s="76"/>
      <c r="L211" s="76"/>
      <c r="M211" s="74"/>
      <c r="N211" s="74"/>
      <c r="O211" s="74"/>
      <c r="P211" s="77"/>
    </row>
    <row r="212" spans="2:16">
      <c r="B212" s="74"/>
      <c r="C212" s="75"/>
      <c r="D212" s="74"/>
      <c r="E212" s="74"/>
      <c r="F212" s="74"/>
      <c r="G212" s="74"/>
      <c r="H212" s="74"/>
      <c r="I212" s="76"/>
      <c r="J212" s="76"/>
      <c r="K212" s="76"/>
      <c r="L212" s="76"/>
      <c r="M212" s="74"/>
      <c r="N212" s="74"/>
      <c r="O212" s="74"/>
      <c r="P212" s="77"/>
    </row>
    <row r="213" spans="2:16">
      <c r="B213" s="74"/>
      <c r="C213" s="75"/>
      <c r="D213" s="74"/>
      <c r="E213" s="74"/>
      <c r="F213" s="74"/>
      <c r="G213" s="74"/>
      <c r="H213" s="74"/>
      <c r="I213" s="76"/>
      <c r="J213" s="76"/>
      <c r="K213" s="76"/>
      <c r="L213" s="76"/>
      <c r="M213" s="74"/>
      <c r="N213" s="74"/>
      <c r="O213" s="74"/>
      <c r="P213" s="77"/>
    </row>
    <row r="214" spans="2:16">
      <c r="B214" s="74"/>
      <c r="C214" s="75"/>
      <c r="D214" s="74"/>
      <c r="E214" s="74"/>
      <c r="F214" s="74"/>
      <c r="G214" s="74"/>
      <c r="H214" s="74"/>
      <c r="I214" s="76"/>
      <c r="J214" s="76"/>
      <c r="K214" s="76"/>
      <c r="L214" s="76"/>
      <c r="M214" s="74"/>
      <c r="N214" s="74"/>
      <c r="O214" s="74"/>
      <c r="P214" s="77"/>
    </row>
    <row r="215" spans="2:16">
      <c r="B215" s="74"/>
      <c r="C215" s="75"/>
      <c r="D215" s="74"/>
      <c r="E215" s="74"/>
      <c r="F215" s="74"/>
      <c r="G215" s="74"/>
      <c r="H215" s="74"/>
      <c r="I215" s="76"/>
      <c r="J215" s="76"/>
      <c r="K215" s="76"/>
      <c r="L215" s="76"/>
      <c r="M215" s="74"/>
      <c r="N215" s="74"/>
      <c r="O215" s="74"/>
      <c r="P215" s="77"/>
    </row>
    <row r="216" spans="2:16">
      <c r="B216" s="74"/>
      <c r="C216" s="75"/>
      <c r="D216" s="74"/>
      <c r="E216" s="74"/>
      <c r="F216" s="74"/>
      <c r="G216" s="74"/>
      <c r="H216" s="74"/>
      <c r="I216" s="76"/>
      <c r="J216" s="76"/>
      <c r="K216" s="76"/>
      <c r="L216" s="76"/>
      <c r="M216" s="74"/>
      <c r="N216" s="74"/>
      <c r="O216" s="74"/>
      <c r="P216" s="77"/>
    </row>
    <row r="217" spans="2:16">
      <c r="B217" s="74"/>
      <c r="C217" s="75"/>
      <c r="D217" s="74"/>
      <c r="E217" s="74"/>
      <c r="F217" s="74"/>
      <c r="G217" s="74"/>
      <c r="H217" s="74"/>
      <c r="I217" s="76"/>
      <c r="J217" s="76"/>
      <c r="K217" s="76"/>
      <c r="L217" s="76"/>
      <c r="M217" s="74"/>
      <c r="N217" s="74"/>
      <c r="O217" s="74"/>
      <c r="P217" s="77"/>
    </row>
    <row r="218" spans="2:16">
      <c r="B218" s="74"/>
      <c r="C218" s="75"/>
      <c r="D218" s="74"/>
      <c r="E218" s="74"/>
      <c r="F218" s="74"/>
      <c r="G218" s="74"/>
      <c r="H218" s="74"/>
      <c r="I218" s="76"/>
      <c r="J218" s="76"/>
      <c r="K218" s="76"/>
      <c r="L218" s="76"/>
      <c r="M218" s="74"/>
      <c r="N218" s="74"/>
      <c r="O218" s="74"/>
      <c r="P218" s="77"/>
    </row>
    <row r="219" spans="2:16">
      <c r="B219" s="74"/>
      <c r="C219" s="75"/>
      <c r="D219" s="74"/>
      <c r="E219" s="74"/>
      <c r="F219" s="74"/>
      <c r="G219" s="74"/>
      <c r="H219" s="74"/>
      <c r="I219" s="76"/>
      <c r="J219" s="76"/>
      <c r="K219" s="76"/>
      <c r="L219" s="76"/>
      <c r="M219" s="74"/>
      <c r="N219" s="74"/>
      <c r="O219" s="74"/>
      <c r="P219" s="77"/>
    </row>
    <row r="220" spans="2:16">
      <c r="B220" s="74"/>
      <c r="C220" s="75"/>
      <c r="D220" s="74"/>
      <c r="E220" s="74"/>
      <c r="F220" s="74"/>
      <c r="G220" s="74"/>
      <c r="H220" s="74"/>
      <c r="I220" s="76"/>
      <c r="J220" s="76"/>
      <c r="K220" s="76"/>
      <c r="L220" s="76"/>
      <c r="M220" s="74"/>
      <c r="N220" s="74"/>
      <c r="O220" s="74"/>
      <c r="P220" s="77"/>
    </row>
    <row r="221" spans="2:16">
      <c r="B221" s="74"/>
      <c r="C221" s="75"/>
      <c r="D221" s="74"/>
      <c r="E221" s="74"/>
      <c r="F221" s="74"/>
      <c r="G221" s="74"/>
      <c r="H221" s="74"/>
      <c r="I221" s="76"/>
      <c r="J221" s="76"/>
      <c r="K221" s="76"/>
      <c r="L221" s="76"/>
      <c r="M221" s="74"/>
      <c r="N221" s="74"/>
      <c r="O221" s="74"/>
      <c r="P221" s="77"/>
    </row>
    <row r="222" spans="2:16">
      <c r="B222" s="74"/>
      <c r="C222" s="75"/>
      <c r="D222" s="74"/>
      <c r="E222" s="74"/>
      <c r="F222" s="74"/>
      <c r="G222" s="74"/>
      <c r="H222" s="74"/>
      <c r="I222" s="76"/>
      <c r="J222" s="76"/>
      <c r="K222" s="76"/>
      <c r="L222" s="76"/>
      <c r="M222" s="74"/>
      <c r="N222" s="74"/>
      <c r="O222" s="74"/>
      <c r="P222" s="77"/>
    </row>
    <row r="223" spans="2:16">
      <c r="B223" s="74"/>
      <c r="C223" s="75"/>
      <c r="D223" s="74"/>
      <c r="E223" s="74"/>
      <c r="F223" s="74"/>
      <c r="G223" s="74"/>
      <c r="H223" s="74"/>
      <c r="I223" s="76"/>
      <c r="J223" s="76"/>
      <c r="K223" s="76"/>
      <c r="L223" s="76"/>
      <c r="M223" s="74"/>
      <c r="N223" s="74"/>
      <c r="O223" s="74"/>
      <c r="P223" s="77"/>
    </row>
    <row r="224" spans="2:16">
      <c r="B224" s="74"/>
      <c r="C224" s="75"/>
      <c r="D224" s="74"/>
      <c r="E224" s="74"/>
      <c r="F224" s="74"/>
      <c r="G224" s="74"/>
      <c r="H224" s="74"/>
      <c r="I224" s="76"/>
      <c r="J224" s="76"/>
      <c r="K224" s="76"/>
      <c r="L224" s="76"/>
      <c r="M224" s="74"/>
      <c r="N224" s="74"/>
      <c r="O224" s="74"/>
      <c r="P224" s="77"/>
    </row>
    <row r="225" spans="2:16">
      <c r="B225" s="74"/>
      <c r="C225" s="75"/>
      <c r="D225" s="74"/>
      <c r="E225" s="74"/>
      <c r="F225" s="74"/>
      <c r="G225" s="74"/>
      <c r="H225" s="74"/>
      <c r="I225" s="76"/>
      <c r="J225" s="76"/>
      <c r="K225" s="76"/>
      <c r="L225" s="76"/>
      <c r="M225" s="74"/>
      <c r="N225" s="74"/>
      <c r="O225" s="74"/>
      <c r="P225" s="77"/>
    </row>
    <row r="226" spans="2:16">
      <c r="B226" s="74"/>
      <c r="C226" s="75"/>
      <c r="D226" s="74"/>
      <c r="E226" s="74"/>
      <c r="F226" s="74"/>
      <c r="G226" s="74"/>
      <c r="H226" s="74"/>
      <c r="I226" s="76"/>
      <c r="J226" s="76"/>
      <c r="K226" s="76"/>
      <c r="L226" s="76"/>
      <c r="M226" s="74"/>
      <c r="N226" s="74"/>
      <c r="O226" s="74"/>
      <c r="P226" s="77"/>
    </row>
    <row r="227" spans="2:16">
      <c r="B227" s="74"/>
      <c r="C227" s="75"/>
      <c r="D227" s="74"/>
      <c r="E227" s="74"/>
      <c r="F227" s="74"/>
      <c r="G227" s="74"/>
      <c r="H227" s="74"/>
      <c r="I227" s="76"/>
      <c r="J227" s="76"/>
      <c r="K227" s="76"/>
      <c r="L227" s="76"/>
      <c r="M227" s="74"/>
      <c r="N227" s="74"/>
      <c r="O227" s="74"/>
      <c r="P227" s="77"/>
    </row>
    <row r="228" spans="2:16">
      <c r="B228" s="74"/>
      <c r="C228" s="75"/>
      <c r="D228" s="74"/>
      <c r="E228" s="74"/>
      <c r="F228" s="74"/>
      <c r="G228" s="74"/>
      <c r="H228" s="74"/>
      <c r="I228" s="76"/>
      <c r="J228" s="76"/>
      <c r="K228" s="76"/>
      <c r="L228" s="76"/>
      <c r="M228" s="74"/>
      <c r="N228" s="74"/>
      <c r="O228" s="74"/>
      <c r="P228" s="77"/>
    </row>
    <row r="229" spans="2:16">
      <c r="B229" s="74"/>
      <c r="C229" s="75"/>
      <c r="D229" s="74"/>
      <c r="E229" s="74"/>
      <c r="F229" s="74"/>
      <c r="G229" s="74"/>
      <c r="H229" s="74"/>
      <c r="I229" s="76"/>
      <c r="J229" s="76"/>
      <c r="K229" s="76"/>
      <c r="L229" s="76"/>
      <c r="M229" s="74"/>
      <c r="N229" s="74"/>
      <c r="O229" s="74"/>
      <c r="P229" s="77"/>
    </row>
    <row r="230" spans="2:16">
      <c r="B230" s="74"/>
      <c r="C230" s="75"/>
      <c r="D230" s="74"/>
      <c r="E230" s="74"/>
      <c r="F230" s="74"/>
      <c r="G230" s="74"/>
      <c r="H230" s="74"/>
      <c r="I230" s="76"/>
      <c r="J230" s="76"/>
      <c r="K230" s="76"/>
      <c r="L230" s="76"/>
      <c r="M230" s="74"/>
      <c r="N230" s="74"/>
      <c r="O230" s="74"/>
      <c r="P230" s="77"/>
    </row>
    <row r="231" spans="2:16">
      <c r="B231" s="74"/>
      <c r="C231" s="75"/>
      <c r="D231" s="74"/>
      <c r="E231" s="74"/>
      <c r="F231" s="74"/>
      <c r="G231" s="74"/>
      <c r="H231" s="74"/>
      <c r="I231" s="76"/>
      <c r="J231" s="76"/>
      <c r="K231" s="76"/>
      <c r="L231" s="76"/>
      <c r="M231" s="74"/>
      <c r="N231" s="74"/>
      <c r="O231" s="74"/>
      <c r="P231" s="77"/>
    </row>
    <row r="232" spans="2:16">
      <c r="B232" s="74"/>
      <c r="C232" s="75"/>
      <c r="D232" s="74"/>
      <c r="E232" s="74"/>
      <c r="F232" s="74"/>
      <c r="G232" s="74"/>
      <c r="H232" s="74"/>
      <c r="I232" s="76"/>
      <c r="J232" s="76"/>
      <c r="K232" s="76"/>
      <c r="L232" s="76"/>
      <c r="M232" s="74"/>
      <c r="N232" s="74"/>
      <c r="O232" s="74"/>
      <c r="P232" s="77"/>
    </row>
    <row r="233" spans="2:16">
      <c r="B233" s="74"/>
      <c r="C233" s="75"/>
      <c r="D233" s="74"/>
      <c r="E233" s="74"/>
      <c r="F233" s="74"/>
      <c r="G233" s="74"/>
      <c r="H233" s="74"/>
      <c r="I233" s="76"/>
      <c r="J233" s="76"/>
      <c r="K233" s="76"/>
      <c r="L233" s="76"/>
      <c r="M233" s="74"/>
      <c r="N233" s="74"/>
      <c r="O233" s="74"/>
      <c r="P233" s="77"/>
    </row>
    <row r="234" spans="2:16">
      <c r="B234" s="74"/>
      <c r="C234" s="75"/>
      <c r="D234" s="74"/>
      <c r="E234" s="74"/>
      <c r="F234" s="74"/>
      <c r="G234" s="74"/>
      <c r="H234" s="74"/>
      <c r="I234" s="76"/>
      <c r="J234" s="76"/>
      <c r="K234" s="76"/>
      <c r="L234" s="76"/>
      <c r="M234" s="74"/>
      <c r="N234" s="74"/>
      <c r="O234" s="74"/>
      <c r="P234" s="77"/>
    </row>
    <row r="235" spans="2:16">
      <c r="B235" s="74"/>
      <c r="C235" s="75"/>
      <c r="D235" s="74"/>
      <c r="E235" s="74"/>
      <c r="F235" s="74"/>
      <c r="G235" s="74"/>
      <c r="H235" s="74"/>
      <c r="I235" s="76"/>
      <c r="J235" s="76"/>
      <c r="K235" s="76"/>
      <c r="L235" s="76"/>
      <c r="M235" s="74"/>
      <c r="N235" s="74"/>
      <c r="O235" s="74"/>
      <c r="P235" s="77"/>
    </row>
    <row r="236" spans="2:16">
      <c r="B236" s="74"/>
      <c r="C236" s="75"/>
      <c r="D236" s="74"/>
      <c r="E236" s="74"/>
      <c r="F236" s="74"/>
      <c r="G236" s="74"/>
      <c r="H236" s="74"/>
      <c r="I236" s="76"/>
      <c r="J236" s="76"/>
      <c r="K236" s="76"/>
      <c r="L236" s="76"/>
      <c r="M236" s="74"/>
      <c r="N236" s="74"/>
      <c r="O236" s="74"/>
      <c r="P236" s="77"/>
    </row>
    <row r="237" spans="2:16">
      <c r="B237" s="74"/>
      <c r="C237" s="75"/>
      <c r="D237" s="74"/>
      <c r="E237" s="74"/>
      <c r="F237" s="74"/>
      <c r="G237" s="74"/>
      <c r="H237" s="74"/>
      <c r="I237" s="76"/>
      <c r="J237" s="76"/>
      <c r="K237" s="76"/>
      <c r="L237" s="76"/>
      <c r="M237" s="74"/>
      <c r="N237" s="74"/>
      <c r="O237" s="74"/>
      <c r="P237" s="77"/>
    </row>
    <row r="238" spans="2:16">
      <c r="B238" s="74"/>
      <c r="C238" s="75"/>
      <c r="D238" s="74"/>
      <c r="E238" s="74"/>
      <c r="F238" s="74"/>
      <c r="G238" s="74"/>
      <c r="H238" s="74"/>
      <c r="I238" s="76"/>
      <c r="J238" s="76"/>
      <c r="K238" s="76"/>
      <c r="L238" s="76"/>
      <c r="M238" s="74"/>
      <c r="N238" s="74"/>
      <c r="O238" s="74"/>
      <c r="P238" s="77"/>
    </row>
    <row r="239" spans="2:16">
      <c r="B239" s="74"/>
      <c r="C239" s="75"/>
      <c r="D239" s="74"/>
      <c r="E239" s="74"/>
      <c r="F239" s="74"/>
      <c r="G239" s="74"/>
      <c r="H239" s="74"/>
      <c r="I239" s="76"/>
      <c r="J239" s="76"/>
      <c r="K239" s="76"/>
      <c r="L239" s="76"/>
      <c r="M239" s="74"/>
      <c r="N239" s="74"/>
      <c r="O239" s="74"/>
      <c r="P239" s="77"/>
    </row>
    <row r="240" spans="2:16">
      <c r="B240" s="74"/>
      <c r="C240" s="75"/>
      <c r="D240" s="74"/>
      <c r="E240" s="74"/>
      <c r="F240" s="74"/>
      <c r="G240" s="74"/>
      <c r="H240" s="74"/>
      <c r="I240" s="76"/>
      <c r="J240" s="76"/>
      <c r="K240" s="76"/>
      <c r="L240" s="76"/>
      <c r="M240" s="74"/>
      <c r="N240" s="74"/>
      <c r="O240" s="74"/>
      <c r="P240" s="77"/>
    </row>
    <row r="241" spans="2:16">
      <c r="B241" s="74"/>
      <c r="C241" s="75"/>
      <c r="D241" s="74"/>
      <c r="E241" s="74"/>
      <c r="F241" s="74"/>
      <c r="G241" s="74"/>
      <c r="H241" s="74"/>
      <c r="I241" s="76"/>
      <c r="J241" s="76"/>
      <c r="K241" s="76"/>
      <c r="L241" s="76"/>
      <c r="M241" s="74"/>
      <c r="N241" s="74"/>
      <c r="O241" s="74"/>
      <c r="P241" s="77"/>
    </row>
    <row r="242" spans="2:16">
      <c r="B242" s="74"/>
      <c r="C242" s="75"/>
      <c r="D242" s="74"/>
      <c r="E242" s="74"/>
      <c r="F242" s="74"/>
      <c r="G242" s="74"/>
      <c r="H242" s="74"/>
      <c r="I242" s="76"/>
      <c r="J242" s="76"/>
      <c r="K242" s="76"/>
      <c r="L242" s="76"/>
      <c r="M242" s="74"/>
      <c r="N242" s="74"/>
      <c r="O242" s="74"/>
      <c r="P242" s="77"/>
    </row>
    <row r="243" spans="2:16">
      <c r="B243" s="74"/>
      <c r="C243" s="75"/>
      <c r="D243" s="74"/>
      <c r="E243" s="74"/>
      <c r="F243" s="74"/>
      <c r="G243" s="74"/>
      <c r="H243" s="74"/>
      <c r="I243" s="76"/>
      <c r="J243" s="76"/>
      <c r="K243" s="76"/>
      <c r="L243" s="76"/>
      <c r="M243" s="74"/>
      <c r="N243" s="74"/>
      <c r="O243" s="74"/>
      <c r="P243" s="77"/>
    </row>
    <row r="244" spans="2:16">
      <c r="B244" s="74"/>
      <c r="C244" s="75"/>
      <c r="D244" s="74"/>
      <c r="E244" s="74"/>
      <c r="F244" s="74"/>
      <c r="G244" s="74"/>
      <c r="H244" s="74"/>
      <c r="I244" s="76"/>
      <c r="J244" s="76"/>
      <c r="K244" s="76"/>
      <c r="L244" s="76"/>
      <c r="M244" s="74"/>
      <c r="N244" s="74"/>
      <c r="O244" s="74"/>
      <c r="P244" s="77"/>
    </row>
    <row r="245" spans="2:16">
      <c r="B245" s="74"/>
      <c r="C245" s="75"/>
      <c r="D245" s="74"/>
      <c r="E245" s="74"/>
      <c r="F245" s="74"/>
      <c r="G245" s="74"/>
      <c r="H245" s="74"/>
      <c r="I245" s="76"/>
      <c r="J245" s="76"/>
      <c r="K245" s="76"/>
      <c r="L245" s="76"/>
      <c r="M245" s="74"/>
      <c r="N245" s="74"/>
      <c r="O245" s="74"/>
      <c r="P245" s="77"/>
    </row>
    <row r="246" spans="2:16">
      <c r="B246" s="74"/>
      <c r="C246" s="75"/>
      <c r="D246" s="74"/>
      <c r="E246" s="74"/>
      <c r="F246" s="74"/>
      <c r="G246" s="74"/>
      <c r="H246" s="74"/>
      <c r="I246" s="76"/>
      <c r="J246" s="76"/>
      <c r="K246" s="76"/>
      <c r="L246" s="76"/>
      <c r="M246" s="74"/>
      <c r="N246" s="74"/>
      <c r="O246" s="74"/>
      <c r="P246" s="77"/>
    </row>
    <row r="247" spans="2:16">
      <c r="B247" s="74"/>
      <c r="C247" s="75"/>
      <c r="D247" s="74"/>
      <c r="E247" s="74"/>
      <c r="F247" s="74"/>
      <c r="G247" s="74"/>
      <c r="H247" s="74"/>
      <c r="I247" s="76"/>
      <c r="J247" s="76"/>
      <c r="K247" s="76"/>
      <c r="L247" s="76"/>
      <c r="M247" s="74"/>
      <c r="N247" s="74"/>
      <c r="O247" s="74"/>
      <c r="P247" s="77"/>
    </row>
    <row r="248" spans="2:16">
      <c r="B248" s="74"/>
      <c r="C248" s="75"/>
      <c r="D248" s="74"/>
      <c r="E248" s="74"/>
      <c r="F248" s="74"/>
      <c r="G248" s="74"/>
      <c r="H248" s="74"/>
      <c r="I248" s="76"/>
      <c r="J248" s="76"/>
      <c r="K248" s="76"/>
      <c r="L248" s="76"/>
      <c r="M248" s="74"/>
      <c r="N248" s="74"/>
      <c r="O248" s="74"/>
      <c r="P248" s="77"/>
    </row>
    <row r="249" spans="2:16">
      <c r="B249" s="74"/>
      <c r="C249" s="75"/>
      <c r="D249" s="74"/>
      <c r="E249" s="74"/>
      <c r="F249" s="74"/>
      <c r="G249" s="74"/>
      <c r="H249" s="74"/>
      <c r="I249" s="76"/>
      <c r="J249" s="76"/>
      <c r="K249" s="76"/>
      <c r="L249" s="76"/>
      <c r="M249" s="74"/>
      <c r="N249" s="74"/>
      <c r="O249" s="74"/>
      <c r="P249" s="77"/>
    </row>
    <row r="250" spans="2:16">
      <c r="B250" s="74"/>
      <c r="C250" s="75"/>
      <c r="D250" s="74"/>
      <c r="E250" s="74"/>
      <c r="F250" s="74"/>
      <c r="G250" s="74"/>
      <c r="H250" s="74"/>
      <c r="I250" s="76"/>
      <c r="J250" s="76"/>
      <c r="K250" s="76"/>
      <c r="L250" s="76"/>
      <c r="M250" s="74"/>
      <c r="N250" s="74"/>
      <c r="O250" s="74"/>
      <c r="P250" s="77"/>
    </row>
    <row r="251" spans="2:16">
      <c r="B251" s="74"/>
      <c r="C251" s="75"/>
      <c r="D251" s="74"/>
      <c r="E251" s="74"/>
      <c r="F251" s="74"/>
      <c r="G251" s="74"/>
      <c r="H251" s="74"/>
      <c r="I251" s="76"/>
      <c r="J251" s="76"/>
      <c r="K251" s="76"/>
      <c r="L251" s="76"/>
      <c r="M251" s="74"/>
      <c r="N251" s="74"/>
      <c r="O251" s="74"/>
      <c r="P251" s="77"/>
    </row>
    <row r="252" spans="2:16">
      <c r="B252" s="74"/>
      <c r="C252" s="75"/>
      <c r="D252" s="74"/>
      <c r="E252" s="74"/>
      <c r="F252" s="74"/>
      <c r="G252" s="74"/>
      <c r="H252" s="74"/>
      <c r="I252" s="76"/>
      <c r="J252" s="76"/>
      <c r="K252" s="76"/>
      <c r="L252" s="76"/>
      <c r="M252" s="74"/>
      <c r="N252" s="74"/>
      <c r="O252" s="74"/>
      <c r="P252" s="77"/>
    </row>
    <row r="253" spans="2:16">
      <c r="B253" s="74"/>
      <c r="C253" s="75"/>
      <c r="D253" s="74"/>
      <c r="E253" s="74"/>
      <c r="F253" s="74"/>
      <c r="G253" s="74"/>
      <c r="H253" s="74"/>
      <c r="I253" s="76"/>
      <c r="J253" s="76"/>
      <c r="K253" s="76"/>
      <c r="L253" s="76"/>
      <c r="M253" s="74"/>
      <c r="N253" s="74"/>
      <c r="O253" s="74"/>
      <c r="P253" s="77"/>
    </row>
    <row r="254" spans="2:16">
      <c r="B254" s="74"/>
      <c r="C254" s="75"/>
      <c r="D254" s="74"/>
      <c r="E254" s="74"/>
      <c r="F254" s="74"/>
      <c r="G254" s="74"/>
      <c r="H254" s="74"/>
      <c r="I254" s="76"/>
      <c r="J254" s="76"/>
      <c r="K254" s="76"/>
      <c r="L254" s="76"/>
      <c r="M254" s="74"/>
      <c r="N254" s="74"/>
      <c r="O254" s="74"/>
      <c r="P254" s="77"/>
    </row>
    <row r="255" spans="2:16">
      <c r="B255" s="74"/>
      <c r="C255" s="75"/>
      <c r="D255" s="74"/>
      <c r="E255" s="74"/>
      <c r="F255" s="74"/>
      <c r="G255" s="74"/>
      <c r="H255" s="74"/>
      <c r="I255" s="76"/>
      <c r="J255" s="76"/>
      <c r="K255" s="76"/>
      <c r="L255" s="76"/>
      <c r="M255" s="74"/>
      <c r="N255" s="74"/>
      <c r="O255" s="74"/>
      <c r="P255" s="77"/>
    </row>
    <row r="256" spans="2:16">
      <c r="B256" s="74"/>
      <c r="C256" s="75"/>
      <c r="D256" s="74"/>
      <c r="E256" s="74"/>
      <c r="F256" s="74"/>
      <c r="G256" s="74"/>
      <c r="H256" s="74"/>
      <c r="I256" s="76"/>
      <c r="J256" s="76"/>
      <c r="K256" s="76"/>
      <c r="L256" s="76"/>
      <c r="M256" s="74"/>
      <c r="N256" s="74"/>
      <c r="O256" s="74"/>
      <c r="P256" s="77"/>
    </row>
    <row r="257" spans="2:16">
      <c r="B257" s="74"/>
      <c r="C257" s="75"/>
      <c r="D257" s="74"/>
      <c r="E257" s="74"/>
      <c r="F257" s="74"/>
      <c r="G257" s="74"/>
      <c r="H257" s="74"/>
      <c r="I257" s="76"/>
      <c r="J257" s="76"/>
      <c r="K257" s="76"/>
      <c r="L257" s="76"/>
      <c r="M257" s="74"/>
      <c r="N257" s="74"/>
      <c r="O257" s="74"/>
      <c r="P257" s="77"/>
    </row>
    <row r="258" spans="2:16">
      <c r="B258" s="74"/>
      <c r="C258" s="75"/>
      <c r="D258" s="74"/>
      <c r="E258" s="74"/>
      <c r="F258" s="74"/>
      <c r="G258" s="74"/>
      <c r="H258" s="74"/>
      <c r="I258" s="76"/>
      <c r="J258" s="76"/>
      <c r="K258" s="76"/>
      <c r="L258" s="76"/>
      <c r="M258" s="74"/>
      <c r="N258" s="74"/>
      <c r="O258" s="74"/>
      <c r="P258" s="77"/>
    </row>
    <row r="259" spans="2:16">
      <c r="B259" s="74"/>
      <c r="C259" s="75"/>
      <c r="D259" s="74"/>
      <c r="E259" s="74"/>
      <c r="F259" s="74"/>
      <c r="G259" s="74"/>
      <c r="H259" s="74"/>
      <c r="I259" s="76"/>
      <c r="J259" s="76"/>
      <c r="K259" s="76"/>
      <c r="L259" s="76"/>
      <c r="M259" s="74"/>
      <c r="N259" s="74"/>
      <c r="O259" s="74"/>
      <c r="P259" s="77"/>
    </row>
    <row r="260" spans="2:16">
      <c r="B260" s="74"/>
      <c r="C260" s="75"/>
      <c r="D260" s="74"/>
      <c r="E260" s="74"/>
      <c r="F260" s="74"/>
      <c r="G260" s="74"/>
      <c r="H260" s="74"/>
      <c r="I260" s="76"/>
      <c r="J260" s="76"/>
      <c r="K260" s="76"/>
      <c r="L260" s="76"/>
      <c r="M260" s="74"/>
      <c r="N260" s="74"/>
      <c r="O260" s="74"/>
      <c r="P260" s="77"/>
    </row>
    <row r="261" spans="2:16">
      <c r="B261" s="74"/>
      <c r="C261" s="75"/>
      <c r="D261" s="74"/>
      <c r="E261" s="74"/>
      <c r="F261" s="74"/>
      <c r="G261" s="74"/>
      <c r="H261" s="74"/>
      <c r="I261" s="76"/>
      <c r="J261" s="76"/>
      <c r="K261" s="76"/>
      <c r="L261" s="76"/>
      <c r="M261" s="74"/>
      <c r="N261" s="74"/>
      <c r="O261" s="74"/>
      <c r="P261" s="77"/>
    </row>
    <row r="262" spans="2:16">
      <c r="B262" s="74"/>
      <c r="C262" s="75"/>
      <c r="D262" s="74"/>
      <c r="E262" s="74"/>
      <c r="F262" s="74"/>
      <c r="G262" s="74"/>
      <c r="H262" s="74"/>
      <c r="I262" s="76"/>
      <c r="J262" s="76"/>
      <c r="K262" s="76"/>
      <c r="L262" s="76"/>
      <c r="M262" s="74"/>
      <c r="N262" s="74"/>
      <c r="O262" s="74"/>
      <c r="P262" s="77"/>
    </row>
    <row r="263" spans="2:16">
      <c r="B263" s="74"/>
      <c r="C263" s="75"/>
      <c r="D263" s="74"/>
      <c r="E263" s="74"/>
      <c r="F263" s="74"/>
      <c r="G263" s="74"/>
      <c r="H263" s="74"/>
      <c r="I263" s="76"/>
      <c r="J263" s="76"/>
      <c r="K263" s="76"/>
      <c r="L263" s="76"/>
      <c r="M263" s="74"/>
      <c r="N263" s="74"/>
      <c r="O263" s="74"/>
      <c r="P263" s="77"/>
    </row>
    <row r="264" spans="2:16">
      <c r="B264" s="74"/>
      <c r="C264" s="75"/>
      <c r="D264" s="74"/>
      <c r="E264" s="74"/>
      <c r="F264" s="74"/>
      <c r="G264" s="74"/>
      <c r="H264" s="74"/>
      <c r="I264" s="76"/>
      <c r="J264" s="76"/>
      <c r="K264" s="76"/>
      <c r="L264" s="76"/>
      <c r="M264" s="74"/>
      <c r="N264" s="74"/>
      <c r="O264" s="74"/>
      <c r="P264" s="77"/>
    </row>
    <row r="265" spans="2:16">
      <c r="B265" s="74"/>
      <c r="C265" s="75"/>
      <c r="D265" s="74"/>
      <c r="E265" s="74"/>
      <c r="F265" s="74"/>
      <c r="G265" s="74"/>
      <c r="H265" s="74"/>
      <c r="I265" s="76"/>
      <c r="J265" s="76"/>
      <c r="K265" s="76"/>
      <c r="L265" s="76"/>
      <c r="M265" s="74"/>
      <c r="N265" s="74"/>
      <c r="O265" s="74"/>
      <c r="P265" s="77"/>
    </row>
    <row r="266" spans="2:16">
      <c r="B266" s="74"/>
      <c r="C266" s="75"/>
      <c r="D266" s="74"/>
      <c r="E266" s="74"/>
      <c r="F266" s="74"/>
      <c r="G266" s="74"/>
      <c r="H266" s="74"/>
      <c r="I266" s="76"/>
      <c r="J266" s="76"/>
      <c r="K266" s="76"/>
      <c r="L266" s="76"/>
      <c r="M266" s="74"/>
      <c r="N266" s="74"/>
      <c r="O266" s="74"/>
      <c r="P266" s="77"/>
    </row>
    <row r="267" spans="2:16">
      <c r="B267" s="74"/>
      <c r="C267" s="75"/>
      <c r="D267" s="74"/>
      <c r="E267" s="74"/>
      <c r="F267" s="74"/>
      <c r="G267" s="74"/>
      <c r="H267" s="74"/>
      <c r="I267" s="76"/>
      <c r="J267" s="76"/>
      <c r="K267" s="76"/>
      <c r="L267" s="76"/>
      <c r="M267" s="74"/>
      <c r="N267" s="74"/>
      <c r="O267" s="74"/>
      <c r="P267" s="77"/>
    </row>
    <row r="268" spans="2:16">
      <c r="B268" s="74"/>
      <c r="C268" s="75"/>
      <c r="D268" s="74"/>
      <c r="E268" s="74"/>
      <c r="F268" s="74"/>
      <c r="G268" s="74"/>
      <c r="H268" s="74"/>
      <c r="I268" s="76"/>
      <c r="J268" s="76"/>
      <c r="K268" s="76"/>
      <c r="L268" s="76"/>
      <c r="M268" s="74"/>
      <c r="N268" s="74"/>
      <c r="O268" s="74"/>
      <c r="P268" s="77"/>
    </row>
    <row r="269" spans="2:16">
      <c r="B269" s="74"/>
      <c r="C269" s="75"/>
      <c r="D269" s="74"/>
      <c r="E269" s="74"/>
      <c r="F269" s="74"/>
      <c r="G269" s="74"/>
      <c r="H269" s="74"/>
      <c r="I269" s="76"/>
      <c r="J269" s="76"/>
      <c r="K269" s="76"/>
      <c r="L269" s="76"/>
      <c r="M269" s="74"/>
      <c r="N269" s="74"/>
      <c r="O269" s="74"/>
      <c r="P269" s="77"/>
    </row>
    <row r="270" spans="2:16">
      <c r="B270" s="74"/>
      <c r="C270" s="75"/>
      <c r="D270" s="74"/>
      <c r="E270" s="74"/>
      <c r="F270" s="74"/>
      <c r="G270" s="74"/>
      <c r="H270" s="74"/>
      <c r="I270" s="76"/>
      <c r="J270" s="76"/>
      <c r="K270" s="76"/>
      <c r="L270" s="76"/>
      <c r="M270" s="74"/>
      <c r="N270" s="74"/>
      <c r="O270" s="74"/>
      <c r="P270" s="77"/>
    </row>
    <row r="271" spans="2:16">
      <c r="B271" s="74"/>
      <c r="C271" s="75"/>
      <c r="D271" s="74"/>
      <c r="E271" s="74"/>
      <c r="F271" s="74"/>
      <c r="G271" s="74"/>
      <c r="H271" s="74"/>
      <c r="I271" s="76"/>
      <c r="J271" s="76"/>
      <c r="K271" s="76"/>
      <c r="L271" s="76"/>
      <c r="M271" s="74"/>
      <c r="N271" s="74"/>
      <c r="O271" s="74"/>
      <c r="P271" s="77"/>
    </row>
    <row r="272" spans="2:16">
      <c r="B272" s="74"/>
      <c r="C272" s="75"/>
      <c r="D272" s="74"/>
      <c r="E272" s="74"/>
      <c r="F272" s="74"/>
      <c r="G272" s="74"/>
      <c r="H272" s="74"/>
      <c r="I272" s="76"/>
      <c r="J272" s="76"/>
      <c r="K272" s="76"/>
      <c r="L272" s="76"/>
      <c r="M272" s="74"/>
      <c r="N272" s="74"/>
      <c r="O272" s="74"/>
      <c r="P272" s="77"/>
    </row>
    <row r="273" spans="2:16">
      <c r="B273" s="74"/>
      <c r="C273" s="75"/>
      <c r="D273" s="74"/>
      <c r="E273" s="74"/>
      <c r="F273" s="74"/>
      <c r="G273" s="74"/>
      <c r="H273" s="74"/>
      <c r="I273" s="76"/>
      <c r="J273" s="76"/>
      <c r="K273" s="76"/>
      <c r="L273" s="76"/>
      <c r="M273" s="74"/>
      <c r="N273" s="74"/>
      <c r="O273" s="74"/>
      <c r="P273" s="77"/>
    </row>
    <row r="274" spans="2:16">
      <c r="B274" s="74"/>
      <c r="C274" s="75"/>
      <c r="D274" s="74"/>
      <c r="E274" s="74"/>
      <c r="F274" s="74"/>
      <c r="G274" s="74"/>
      <c r="H274" s="74"/>
      <c r="I274" s="76"/>
      <c r="J274" s="76"/>
      <c r="K274" s="76"/>
      <c r="L274" s="76"/>
      <c r="M274" s="74"/>
      <c r="N274" s="74"/>
      <c r="O274" s="74"/>
      <c r="P274" s="77"/>
    </row>
    <row r="275" spans="2:16">
      <c r="B275" s="74"/>
      <c r="C275" s="75"/>
      <c r="D275" s="74"/>
      <c r="E275" s="74"/>
      <c r="F275" s="74"/>
      <c r="G275" s="74"/>
      <c r="H275" s="74"/>
      <c r="I275" s="76"/>
      <c r="J275" s="76"/>
      <c r="K275" s="76"/>
      <c r="L275" s="76"/>
      <c r="M275" s="74"/>
      <c r="N275" s="74"/>
      <c r="O275" s="74"/>
      <c r="P275" s="77"/>
    </row>
    <row r="276" spans="2:16">
      <c r="B276" s="74"/>
      <c r="C276" s="75"/>
      <c r="D276" s="74"/>
      <c r="E276" s="74"/>
      <c r="F276" s="74"/>
      <c r="G276" s="74"/>
      <c r="H276" s="74"/>
      <c r="I276" s="76"/>
      <c r="J276" s="76"/>
      <c r="K276" s="76"/>
      <c r="L276" s="76"/>
      <c r="M276" s="74"/>
      <c r="N276" s="74"/>
      <c r="O276" s="74"/>
      <c r="P276" s="77"/>
    </row>
    <row r="277" spans="2:16">
      <c r="B277" s="74"/>
      <c r="C277" s="75"/>
      <c r="D277" s="74"/>
      <c r="E277" s="74"/>
      <c r="F277" s="74"/>
      <c r="G277" s="74"/>
      <c r="H277" s="74"/>
      <c r="I277" s="76"/>
      <c r="J277" s="76"/>
      <c r="K277" s="76"/>
      <c r="L277" s="76"/>
      <c r="M277" s="74"/>
      <c r="N277" s="74"/>
      <c r="O277" s="74"/>
      <c r="P277" s="77"/>
    </row>
    <row r="278" spans="2:16">
      <c r="B278" s="74"/>
      <c r="C278" s="75"/>
      <c r="D278" s="74"/>
      <c r="E278" s="74"/>
      <c r="F278" s="74"/>
      <c r="G278" s="74"/>
      <c r="H278" s="74"/>
      <c r="I278" s="76"/>
      <c r="J278" s="76"/>
      <c r="K278" s="76"/>
      <c r="L278" s="76"/>
      <c r="M278" s="74"/>
      <c r="N278" s="74"/>
      <c r="O278" s="74"/>
      <c r="P278" s="77"/>
    </row>
    <row r="279" spans="2:16">
      <c r="B279" s="74"/>
      <c r="C279" s="75"/>
      <c r="D279" s="74"/>
      <c r="E279" s="74"/>
      <c r="F279" s="74"/>
      <c r="G279" s="74"/>
      <c r="H279" s="74"/>
      <c r="I279" s="76"/>
      <c r="J279" s="76"/>
      <c r="K279" s="76"/>
      <c r="L279" s="76"/>
      <c r="M279" s="74"/>
      <c r="N279" s="74"/>
      <c r="O279" s="74"/>
      <c r="P279" s="77"/>
    </row>
    <row r="280" spans="2:16">
      <c r="B280" s="74"/>
      <c r="C280" s="75"/>
      <c r="D280" s="74"/>
      <c r="E280" s="74"/>
      <c r="F280" s="74"/>
      <c r="G280" s="74"/>
      <c r="H280" s="74"/>
      <c r="I280" s="76"/>
      <c r="J280" s="76"/>
      <c r="K280" s="76"/>
      <c r="L280" s="76"/>
      <c r="M280" s="74"/>
      <c r="N280" s="74"/>
      <c r="O280" s="74"/>
      <c r="P280" s="77"/>
    </row>
    <row r="281" spans="2:16">
      <c r="B281" s="74"/>
      <c r="C281" s="75"/>
      <c r="D281" s="74"/>
      <c r="E281" s="74"/>
      <c r="F281" s="74"/>
      <c r="G281" s="74"/>
      <c r="H281" s="74"/>
      <c r="I281" s="76"/>
      <c r="J281" s="76"/>
      <c r="K281" s="76"/>
      <c r="L281" s="76"/>
      <c r="M281" s="74"/>
      <c r="N281" s="74"/>
      <c r="O281" s="74"/>
      <c r="P281" s="77"/>
    </row>
    <row r="282" spans="2:16">
      <c r="B282" s="74"/>
      <c r="C282" s="75"/>
      <c r="D282" s="74"/>
      <c r="E282" s="74"/>
      <c r="F282" s="74"/>
      <c r="G282" s="74"/>
      <c r="H282" s="74"/>
      <c r="I282" s="76"/>
      <c r="J282" s="76"/>
      <c r="K282" s="76"/>
      <c r="L282" s="76"/>
      <c r="M282" s="74"/>
      <c r="N282" s="74"/>
      <c r="O282" s="74"/>
      <c r="P282" s="77"/>
    </row>
    <row r="283" spans="2:16">
      <c r="B283" s="74"/>
      <c r="C283" s="75"/>
      <c r="D283" s="74"/>
      <c r="E283" s="74"/>
      <c r="F283" s="74"/>
      <c r="G283" s="74"/>
      <c r="H283" s="74"/>
      <c r="I283" s="76"/>
      <c r="J283" s="76"/>
      <c r="K283" s="76"/>
      <c r="L283" s="76"/>
      <c r="M283" s="74"/>
      <c r="N283" s="74"/>
      <c r="O283" s="74"/>
      <c r="P283" s="77"/>
    </row>
    <row r="284" spans="2:16">
      <c r="B284" s="74"/>
      <c r="C284" s="75"/>
      <c r="D284" s="74"/>
      <c r="E284" s="74"/>
      <c r="F284" s="74"/>
      <c r="G284" s="74"/>
      <c r="H284" s="74"/>
      <c r="I284" s="76"/>
      <c r="J284" s="76"/>
      <c r="K284" s="76"/>
      <c r="L284" s="76"/>
      <c r="M284" s="74"/>
      <c r="N284" s="74"/>
      <c r="O284" s="74"/>
      <c r="P284" s="77"/>
    </row>
    <row r="285" spans="2:16">
      <c r="B285" s="74"/>
      <c r="C285" s="75"/>
      <c r="D285" s="74"/>
      <c r="E285" s="74"/>
      <c r="F285" s="74"/>
      <c r="G285" s="74"/>
      <c r="H285" s="74"/>
      <c r="I285" s="76"/>
      <c r="J285" s="76"/>
      <c r="K285" s="76"/>
      <c r="L285" s="76"/>
      <c r="M285" s="74"/>
      <c r="N285" s="74"/>
      <c r="O285" s="74"/>
      <c r="P285" s="77"/>
    </row>
    <row r="286" spans="2:16">
      <c r="B286" s="74"/>
      <c r="C286" s="75"/>
      <c r="D286" s="74"/>
      <c r="E286" s="74"/>
      <c r="F286" s="74"/>
      <c r="G286" s="74"/>
      <c r="H286" s="74"/>
      <c r="I286" s="76"/>
      <c r="J286" s="76"/>
      <c r="K286" s="76"/>
      <c r="L286" s="76"/>
      <c r="M286" s="74"/>
      <c r="N286" s="74"/>
      <c r="O286" s="74"/>
      <c r="P286" s="77"/>
    </row>
    <row r="287" spans="2:16">
      <c r="B287" s="74"/>
      <c r="C287" s="75"/>
      <c r="D287" s="74"/>
      <c r="E287" s="74"/>
      <c r="F287" s="74"/>
      <c r="G287" s="74"/>
      <c r="H287" s="74"/>
      <c r="I287" s="76"/>
      <c r="J287" s="76"/>
      <c r="K287" s="76"/>
      <c r="L287" s="76"/>
      <c r="M287" s="74"/>
      <c r="N287" s="74"/>
      <c r="O287" s="74"/>
      <c r="P287" s="77"/>
    </row>
    <row r="288" spans="2:16">
      <c r="B288" s="74"/>
      <c r="C288" s="75"/>
      <c r="D288" s="74"/>
      <c r="E288" s="74"/>
      <c r="F288" s="74"/>
      <c r="G288" s="74"/>
      <c r="H288" s="74"/>
      <c r="I288" s="76"/>
      <c r="J288" s="76"/>
      <c r="K288" s="76"/>
      <c r="L288" s="76"/>
      <c r="M288" s="74"/>
      <c r="N288" s="74"/>
      <c r="O288" s="74"/>
      <c r="P288" s="77"/>
    </row>
    <row r="289" spans="2:16">
      <c r="B289" s="74"/>
      <c r="C289" s="75"/>
      <c r="D289" s="74"/>
      <c r="E289" s="74"/>
      <c r="F289" s="74"/>
      <c r="G289" s="74"/>
      <c r="H289" s="74"/>
      <c r="I289" s="74"/>
      <c r="J289" s="74"/>
      <c r="K289" s="74"/>
      <c r="L289" s="76"/>
      <c r="M289" s="74"/>
      <c r="N289" s="74"/>
      <c r="O289" s="74"/>
      <c r="P289" s="77"/>
    </row>
    <row r="290" spans="2:16">
      <c r="B290" s="74"/>
      <c r="C290" s="75"/>
      <c r="D290" s="74"/>
      <c r="E290" s="74"/>
      <c r="F290" s="74"/>
      <c r="G290" s="74"/>
      <c r="H290" s="74"/>
      <c r="I290" s="74"/>
      <c r="J290" s="74"/>
      <c r="K290" s="74"/>
      <c r="L290" s="76"/>
      <c r="M290" s="74"/>
      <c r="N290" s="74"/>
      <c r="O290" s="74"/>
      <c r="P290" s="77"/>
    </row>
    <row r="291" spans="2:16">
      <c r="B291" s="74"/>
      <c r="C291" s="75"/>
      <c r="D291" s="74"/>
      <c r="E291" s="74"/>
      <c r="F291" s="74"/>
      <c r="G291" s="74"/>
      <c r="H291" s="74"/>
      <c r="I291" s="74"/>
      <c r="J291" s="74"/>
      <c r="K291" s="74"/>
      <c r="L291" s="76"/>
      <c r="M291" s="74"/>
      <c r="N291" s="74"/>
      <c r="O291" s="74"/>
      <c r="P291" s="77"/>
    </row>
    <row r="292" spans="2:16">
      <c r="B292" s="74"/>
      <c r="C292" s="75"/>
      <c r="D292" s="74"/>
      <c r="E292" s="74"/>
      <c r="F292" s="74"/>
      <c r="G292" s="74"/>
      <c r="H292" s="74"/>
      <c r="I292" s="74"/>
      <c r="J292" s="74"/>
      <c r="K292" s="74"/>
      <c r="L292" s="76"/>
      <c r="M292" s="74"/>
      <c r="N292" s="74"/>
      <c r="O292" s="74"/>
      <c r="P292" s="77"/>
    </row>
    <row r="293" spans="2:16">
      <c r="B293" s="74"/>
      <c r="C293" s="75"/>
      <c r="D293" s="74"/>
      <c r="E293" s="74"/>
      <c r="F293" s="74"/>
      <c r="G293" s="74"/>
      <c r="H293" s="74"/>
      <c r="I293" s="74"/>
      <c r="J293" s="74"/>
      <c r="K293" s="74"/>
      <c r="L293" s="76"/>
      <c r="M293" s="74"/>
      <c r="N293" s="74"/>
      <c r="O293" s="74"/>
      <c r="P293" s="77"/>
    </row>
    <row r="294" spans="2:16">
      <c r="B294" s="74"/>
      <c r="C294" s="78"/>
      <c r="D294" s="74"/>
      <c r="E294" s="74"/>
      <c r="F294" s="74"/>
      <c r="G294" s="74"/>
      <c r="H294" s="74"/>
      <c r="I294" s="74"/>
      <c r="J294" s="74"/>
      <c r="K294" s="74"/>
      <c r="L294" s="74"/>
      <c r="M294" s="74"/>
      <c r="N294" s="74"/>
      <c r="O294" s="74"/>
    </row>
    <row r="295" spans="2:16">
      <c r="B295" s="74"/>
      <c r="C295" s="78"/>
      <c r="D295" s="74"/>
      <c r="E295" s="74"/>
      <c r="F295" s="74"/>
      <c r="G295" s="74"/>
      <c r="H295" s="74"/>
      <c r="I295" s="74"/>
      <c r="J295" s="74"/>
      <c r="K295" s="74"/>
      <c r="L295" s="74"/>
      <c r="M295" s="74"/>
      <c r="N295" s="74"/>
      <c r="O295" s="74"/>
    </row>
    <row r="296" spans="2:16">
      <c r="B296" s="74"/>
      <c r="C296" s="78"/>
      <c r="D296" s="74"/>
      <c r="E296" s="74"/>
      <c r="F296" s="74"/>
      <c r="G296" s="74"/>
      <c r="H296" s="74"/>
      <c r="I296" s="74"/>
      <c r="J296" s="74"/>
      <c r="K296" s="74"/>
      <c r="L296" s="74"/>
      <c r="M296" s="74"/>
      <c r="N296" s="74"/>
      <c r="O296" s="74"/>
    </row>
    <row r="297" spans="2:16">
      <c r="B297" s="74"/>
      <c r="C297" s="78"/>
      <c r="L297" s="74"/>
      <c r="M297" s="74"/>
      <c r="N297" s="74"/>
      <c r="O297" s="74"/>
    </row>
    <row r="298" spans="2:16">
      <c r="B298" s="74"/>
      <c r="C298" s="78"/>
      <c r="L298" s="74"/>
      <c r="M298" s="74"/>
      <c r="N298" s="74"/>
      <c r="O298" s="74"/>
    </row>
    <row r="299" spans="2:16">
      <c r="B299" s="74"/>
      <c r="C299" s="78"/>
      <c r="L299" s="74"/>
      <c r="M299" s="74"/>
      <c r="N299" s="74"/>
      <c r="O299" s="74"/>
    </row>
    <row r="300" spans="2:16">
      <c r="B300" s="74"/>
      <c r="C300" s="78"/>
      <c r="L300" s="74"/>
      <c r="M300" s="74"/>
      <c r="N300" s="74"/>
      <c r="O300" s="74"/>
    </row>
    <row r="301" spans="2:16">
      <c r="B301" s="74"/>
      <c r="C301" s="78"/>
      <c r="L301" s="74"/>
      <c r="M301" s="74"/>
      <c r="N301" s="74"/>
      <c r="O301" s="74"/>
    </row>
  </sheetData>
  <mergeCells count="1">
    <mergeCell ref="B1:R1"/>
  </mergeCells>
  <pageMargins left="0.75" right="0.75" top="1" bottom="1" header="0.5" footer="0.5"/>
  <pageSetup paperSize="3" scale="70" orientation="landscape" r:id="rId1"/>
  <headerFooter alignWithMargins="0">
    <oddHeader>&amp;A</oddHeader>
    <oddFooter>&amp;L&amp;B Confidential&amp;B&amp;C&amp;D&amp;RPage &amp;P</oddFooter>
  </headerFooter>
  <colBreaks count="1" manualBreakCount="1">
    <brk id="18" max="1048575" man="1"/>
  </colBreaks>
  <drawing r:id="rId2"/>
  <tableParts count="1">
    <tablePart r:id="rId3"/>
  </tableParts>
</worksheet>
</file>

<file path=xl/worksheets/sheet8.xml><?xml version="1.0" encoding="utf-8"?>
<worksheet xmlns="http://schemas.openxmlformats.org/spreadsheetml/2006/main" xmlns:r="http://schemas.openxmlformats.org/officeDocument/2006/relationships">
  <sheetPr codeName="Sheet7">
    <tabColor theme="6"/>
  </sheetPr>
  <dimension ref="A1:F14"/>
  <sheetViews>
    <sheetView zoomScaleNormal="100" workbookViewId="0">
      <pane xSplit="1" ySplit="2" topLeftCell="B3" activePane="bottomRight" state="frozen"/>
      <selection activeCell="B3" sqref="B3"/>
      <selection pane="topRight" activeCell="B3" sqref="B3"/>
      <selection pane="bottomLeft" activeCell="B3" sqref="B3"/>
      <selection pane="bottomRight" activeCell="B16" sqref="B16"/>
    </sheetView>
  </sheetViews>
  <sheetFormatPr defaultColWidth="46.7109375" defaultRowHeight="15"/>
  <cols>
    <col min="1" max="1" width="3" bestFit="1" customWidth="1"/>
    <col min="2" max="2" width="23.140625" bestFit="1" customWidth="1"/>
    <col min="3" max="3" width="17.7109375" bestFit="1" customWidth="1"/>
    <col min="4" max="4" width="12.42578125" customWidth="1"/>
    <col min="5" max="5" width="5.7109375" bestFit="1" customWidth="1"/>
    <col min="6" max="6" width="62.140625" customWidth="1"/>
  </cols>
  <sheetData>
    <row r="1" spans="1:6">
      <c r="A1" t="s">
        <v>1280</v>
      </c>
    </row>
    <row r="2" spans="1:6">
      <c r="A2" s="25" t="s">
        <v>1281</v>
      </c>
      <c r="B2" s="25" t="s">
        <v>922</v>
      </c>
      <c r="C2" s="25" t="s">
        <v>1282</v>
      </c>
      <c r="D2" s="25" t="s">
        <v>1283</v>
      </c>
      <c r="E2" s="25" t="s">
        <v>167</v>
      </c>
      <c r="F2" s="25" t="s">
        <v>30</v>
      </c>
    </row>
    <row r="3" spans="1:6">
      <c r="A3" s="79">
        <v>1</v>
      </c>
      <c r="B3" s="80" t="s">
        <v>1284</v>
      </c>
      <c r="C3" s="80" t="s">
        <v>926</v>
      </c>
      <c r="D3" s="166">
        <v>0</v>
      </c>
      <c r="E3" s="80"/>
    </row>
    <row r="4" spans="1:6">
      <c r="A4" s="79">
        <v>2</v>
      </c>
      <c r="B4" s="80" t="s">
        <v>928</v>
      </c>
      <c r="C4" t="s">
        <v>1535</v>
      </c>
      <c r="D4" s="166">
        <v>10000</v>
      </c>
      <c r="E4" s="80" t="s">
        <v>1285</v>
      </c>
      <c r="F4" s="81" t="s">
        <v>1286</v>
      </c>
    </row>
    <row r="5" spans="1:6">
      <c r="A5" s="79">
        <v>3</v>
      </c>
      <c r="B5" s="80" t="s">
        <v>1287</v>
      </c>
      <c r="C5" t="s">
        <v>1536</v>
      </c>
      <c r="D5" s="166">
        <v>20000</v>
      </c>
      <c r="E5" s="80" t="s">
        <v>205</v>
      </c>
      <c r="F5" s="81" t="s">
        <v>1288</v>
      </c>
    </row>
    <row r="6" spans="1:6">
      <c r="A6" s="79">
        <v>4</v>
      </c>
      <c r="B6" s="80" t="s">
        <v>1287</v>
      </c>
      <c r="C6" t="s">
        <v>1537</v>
      </c>
      <c r="D6" s="166">
        <v>10000</v>
      </c>
      <c r="E6" s="80" t="s">
        <v>205</v>
      </c>
      <c r="F6" s="81" t="s">
        <v>1288</v>
      </c>
    </row>
    <row r="7" spans="1:6" ht="75">
      <c r="A7" s="79">
        <v>5</v>
      </c>
      <c r="B7" s="80" t="s">
        <v>1287</v>
      </c>
      <c r="C7" t="s">
        <v>1538</v>
      </c>
      <c r="D7" s="166">
        <v>1500</v>
      </c>
      <c r="E7" s="80" t="s">
        <v>205</v>
      </c>
      <c r="F7" s="81" t="s">
        <v>1539</v>
      </c>
    </row>
    <row r="8" spans="1:6">
      <c r="A8" s="79">
        <v>6</v>
      </c>
      <c r="B8" s="80" t="s">
        <v>1287</v>
      </c>
      <c r="C8" t="s">
        <v>1540</v>
      </c>
      <c r="D8" s="166">
        <v>40000</v>
      </c>
      <c r="E8" s="80" t="s">
        <v>205</v>
      </c>
      <c r="F8" s="81" t="s">
        <v>1288</v>
      </c>
    </row>
    <row r="9" spans="1:6">
      <c r="A9" s="79">
        <v>7</v>
      </c>
      <c r="B9" s="80" t="s">
        <v>932</v>
      </c>
      <c r="C9" t="s">
        <v>1541</v>
      </c>
      <c r="D9" s="166">
        <v>10000</v>
      </c>
      <c r="E9" s="80" t="s">
        <v>1285</v>
      </c>
      <c r="F9" s="81" t="s">
        <v>1289</v>
      </c>
    </row>
    <row r="10" spans="1:6">
      <c r="A10" s="79">
        <v>8</v>
      </c>
      <c r="B10" s="80" t="s">
        <v>933</v>
      </c>
      <c r="C10" t="s">
        <v>1542</v>
      </c>
      <c r="D10" s="166">
        <v>10000</v>
      </c>
      <c r="E10" s="80" t="s">
        <v>1285</v>
      </c>
      <c r="F10" s="81" t="s">
        <v>1289</v>
      </c>
    </row>
    <row r="11" spans="1:6">
      <c r="A11" s="79">
        <v>9</v>
      </c>
      <c r="B11" s="80" t="s">
        <v>935</v>
      </c>
      <c r="C11" t="s">
        <v>1543</v>
      </c>
      <c r="D11" s="166">
        <v>10000</v>
      </c>
      <c r="E11" s="80" t="s">
        <v>1285</v>
      </c>
      <c r="F11" s="81" t="s">
        <v>1289</v>
      </c>
    </row>
    <row r="12" spans="1:6">
      <c r="A12" s="79">
        <v>10</v>
      </c>
      <c r="B12" s="80" t="s">
        <v>935</v>
      </c>
      <c r="C12" t="s">
        <v>1544</v>
      </c>
      <c r="D12" s="166">
        <v>5000</v>
      </c>
      <c r="E12" s="80" t="s">
        <v>1290</v>
      </c>
      <c r="F12" s="81" t="s">
        <v>1291</v>
      </c>
    </row>
    <row r="13" spans="1:6">
      <c r="A13" s="79">
        <v>11</v>
      </c>
      <c r="B13" s="80" t="s">
        <v>1292</v>
      </c>
      <c r="C13" t="s">
        <v>1545</v>
      </c>
      <c r="D13" s="166">
        <v>500</v>
      </c>
      <c r="E13" s="80" t="s">
        <v>1293</v>
      </c>
      <c r="F13" s="82" t="s">
        <v>1294</v>
      </c>
    </row>
    <row r="14" spans="1:6">
      <c r="A14" s="79">
        <v>12</v>
      </c>
      <c r="B14" s="81" t="s">
        <v>1014</v>
      </c>
      <c r="C14" t="s">
        <v>1546</v>
      </c>
      <c r="D14" s="167">
        <v>500</v>
      </c>
      <c r="E14" s="81" t="s">
        <v>1293</v>
      </c>
      <c r="F14" s="82" t="s">
        <v>1294</v>
      </c>
    </row>
  </sheetData>
  <pageMargins left="0.7" right="0.7" top="0.75" bottom="0.75" header="0.3" footer="0.3"/>
  <pageSetup scale="99" orientation="landscape" horizontalDpi="0" verticalDpi="0" r:id="rId1"/>
  <headerFooter>
    <oddHeader>&amp;A</oddHeader>
    <oddFooter>&amp;L&amp;B Confidential&amp;B&amp;C&amp;D&amp;RPage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TM-A0001-AA</vt:lpstr>
      <vt:lpstr>TM-00001-AA</vt:lpstr>
      <vt:lpstr>tblMaterials</vt:lpstr>
      <vt:lpstr>tblMaterialsCrossReference</vt:lpstr>
      <vt:lpstr>tblProcesses</vt:lpstr>
      <vt:lpstr>tblProcessMultipliers</vt:lpstr>
      <vt:lpstr>tblFasteners</vt:lpstr>
      <vt:lpstr>tblTooling</vt:lpstr>
      <vt:lpstr>tblFasteners!Print_Area</vt:lpstr>
      <vt:lpstr>tblMaterials!Print_Area</vt:lpstr>
      <vt:lpstr>tblProcesses!Print_Area</vt:lpstr>
      <vt:lpstr>tblFasteners!Print_Titles</vt:lpstr>
      <vt:lpstr>tblMaterials!Print_Titles</vt:lpstr>
      <vt:lpstr>tblProcesses!Print_Titles</vt:lpstr>
      <vt:lpstr>tblProcessMultipliers!Print_Titles</vt:lpstr>
      <vt:lpstr>tblTooling!Print_Titles</vt:lpstr>
    </vt:vector>
  </TitlesOfParts>
  <Company>GM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Riley</dc:creator>
  <cp:lastModifiedBy>Philippe T. Pinard</cp:lastModifiedBy>
  <cp:lastPrinted>2010-03-02T01:18:18Z</cp:lastPrinted>
  <dcterms:created xsi:type="dcterms:W3CDTF">2008-10-07T18:47:36Z</dcterms:created>
  <dcterms:modified xsi:type="dcterms:W3CDTF">2011-02-12T15:50:00Z</dcterms:modified>
</cp:coreProperties>
</file>